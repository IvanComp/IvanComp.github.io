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5"/>
    <sheet name="LEGGIMI" sheetId="2" r:id="rId6"/>
    <sheet name="Riepilogo" sheetId="3" r:id="rId7"/>
    <sheet name="Tutti i giocatori" sheetId="4" r:id="rId8"/>
    <sheet name="Portieri" sheetId="5" r:id="rId9"/>
    <sheet name="Difensori" sheetId="6" r:id="rId10"/>
    <sheet name="Centrocampisti" sheetId="7" r:id="rId11"/>
    <sheet name="Attaccanti" sheetId="8" r:id="rId12"/>
  </sheets>
</workbook>
</file>

<file path=xl/comments1.xml><?xml version="1.0" encoding="utf-8"?>
<comments xmlns="http://schemas.openxmlformats.org/spreadsheetml/2006/main">
  <authors>
    <author>Codex</author>
  </authors>
  <commentList>
    <comment ref="C4" authorId="0">
      <text>
        <r>
          <rPr>
            <sz val="11"/>
            <color indexed="8"/>
            <rFont val="Helvetica Neue"/>
          </rPr>
          <t>Codex:
Casella manuale: fai clic per selezionare un giocatore. Puoi poi filtrare TRUE per vedere solo i selezionati.</t>
        </r>
      </text>
    </comment>
    <comment ref="O4" authorId="0">
      <text>
        <r>
          <rPr>
            <sz val="11"/>
            <color indexed="8"/>
            <rFont val="Helvetica Neue"/>
          </rPr>
          <t>Codex:
Il mese tra parentesi deriva dal calendario Serie A Enilive 2026/27: https://www.legaseriea.it/serie-a/news/calendario-della-serie-a-enilive-2026-27</t>
        </r>
      </text>
    </comment>
    <comment ref="J5" authorId="0">
      <text>
        <r>
          <rPr>
            <sz val="11"/>
            <color indexed="8"/>
            <rFont val="Helvetica Neue"/>
          </rPr>
          <t>Codex:
Fonte anagrafica: https://www.fantacalcio.it/serie-a/squadre/roma/svilar/5841/2026-27/italia</t>
        </r>
      </text>
    </comment>
    <comment ref="J6" authorId="0">
      <text>
        <r>
          <rPr>
            <sz val="11"/>
            <color indexed="8"/>
            <rFont val="Helvetica Neue"/>
          </rPr>
          <t>Codex:
Fonte anagrafica: https://www.fantacalcio.it/serie-a/squadre/atalanta/carnesecchi/4431/2026-27/italia</t>
        </r>
      </text>
    </comment>
    <comment ref="J7" authorId="0">
      <text>
        <r>
          <rPr>
            <sz val="11"/>
            <color indexed="8"/>
            <rFont val="Helvetica Neue"/>
          </rPr>
          <t>Codex:
Fonte anagrafica: https://www.fantacalcio.it/serie-a/squadre/milan/maignan/4312/2026-27/italia</t>
        </r>
      </text>
    </comment>
    <comment ref="J8" authorId="0">
      <text>
        <r>
          <rPr>
            <sz val="11"/>
            <color indexed="8"/>
            <rFont val="Helvetica Neue"/>
          </rPr>
          <t>Codex:
Fonte anagrafica: https://www.fantacalcio.it/serie-a/squadre/inter/martinez-jo/5116/2026-27/italia</t>
        </r>
      </text>
    </comment>
    <comment ref="J9" authorId="0">
      <text>
        <r>
          <rPr>
            <sz val="11"/>
            <color indexed="8"/>
            <rFont val="Helvetica Neue"/>
          </rPr>
          <t>Codex:
Fonte anagrafica: https://www.fantacalcio.it/serie-a/squadre/juventus/vicario/4964/2026-27/italia</t>
        </r>
      </text>
    </comment>
    <comment ref="J10" authorId="0">
      <text>
        <r>
          <rPr>
            <sz val="11"/>
            <color indexed="8"/>
            <rFont val="Helvetica Neue"/>
          </rPr>
          <t>Codex:
Fonte anagrafica: https://www.fantacalcio.it/serie-a/squadre/como/butez/6966/2026-27/italia</t>
        </r>
      </text>
    </comment>
    <comment ref="J11" authorId="0">
      <text>
        <r>
          <rPr>
            <sz val="11"/>
            <color indexed="8"/>
            <rFont val="Helvetica Neue"/>
          </rPr>
          <t>Codex:
Fonte anagrafica: https://www.fantacalcio.it/serie-a/squadre/bologna/skorupski/133/2026-27/italia</t>
        </r>
      </text>
    </comment>
    <comment ref="J12" authorId="0">
      <text>
        <r>
          <rPr>
            <sz val="11"/>
            <color indexed="8"/>
            <rFont val="Helvetica Neue"/>
          </rPr>
          <t>Codex:
Fonte anagrafica: https://www.fantacalcio.it/serie-a/squadre/cagliari/caprile/4360/2026-27/italia</t>
        </r>
      </text>
    </comment>
    <comment ref="J13" authorId="0">
      <text>
        <r>
          <rPr>
            <sz val="11"/>
            <color indexed="8"/>
            <rFont val="Helvetica Neue"/>
          </rPr>
          <t>Codex:
Fonte anagrafica: https://www.fantacalcio.it/serie-a/squadre/lazio/mandas/6482/2026-27/italia</t>
        </r>
      </text>
    </comment>
    <comment ref="J14" authorId="0">
      <text>
        <r>
          <rPr>
            <sz val="11"/>
            <color indexed="8"/>
            <rFont val="Helvetica Neue"/>
          </rPr>
          <t>Codex:
Fonte anagrafica: https://www.fantacalcio.it/serie-a/squadre/napoli/meret/572/2026-27/italia</t>
        </r>
      </text>
    </comment>
    <comment ref="J15" authorId="0">
      <text>
        <r>
          <rPr>
            <sz val="11"/>
            <color indexed="8"/>
            <rFont val="Helvetica Neue"/>
          </rPr>
          <t>Codex:
Fonte anagrafica: https://www.fantacalcio.it/serie-a/squadre/genoa/bijlow/7332/2026-27/italia</t>
        </r>
      </text>
    </comment>
    <comment ref="J16" authorId="0">
      <text>
        <r>
          <rPr>
            <sz val="11"/>
            <color indexed="8"/>
            <rFont val="Helvetica Neue"/>
          </rPr>
          <t>Codex:
Fonte anagrafica: https://www.fantacalcio.it/serie-a/squadre/udinese/okoye/6462/2026-27/italia</t>
        </r>
      </text>
    </comment>
    <comment ref="J17" authorId="0">
      <text>
        <r>
          <rPr>
            <sz val="11"/>
            <color indexed="8"/>
            <rFont val="Helvetica Neue"/>
          </rPr>
          <t>Codex:
Fonte anagrafica: https://www.fantacalcio.it/serie-a/squadre/torino/perri/6534/2026-27/italia</t>
        </r>
      </text>
    </comment>
    <comment ref="J18" authorId="0">
      <text>
        <r>
          <rPr>
            <sz val="11"/>
            <color indexed="8"/>
            <rFont val="Helvetica Neue"/>
          </rPr>
          <t>Codex:
Fonte anagrafica: https://www.fantacalcio.it/serie-a/squadre/lecce/falcone/2134/2026-27/italia</t>
        </r>
      </text>
    </comment>
    <comment ref="J19" authorId="0">
      <text>
        <r>
          <rPr>
            <sz val="11"/>
            <color indexed="8"/>
            <rFont val="Helvetica Neue"/>
          </rPr>
          <t>Codex:
Fonte anagrafica: https://www.fantacalcio.it/serie-a/squadre/fiorentina/de-gea/2521/2026-27/italia</t>
        </r>
      </text>
    </comment>
    <comment ref="J20" authorId="0">
      <text>
        <r>
          <rPr>
            <sz val="11"/>
            <color indexed="8"/>
            <rFont val="Helvetica Neue"/>
          </rPr>
          <t>Codex:
Fonte anagrafica: https://www.fantacalcio.it/serie-a/squadre/sassuolo/muric/4236/2026-27/italia</t>
        </r>
      </text>
    </comment>
    <comment ref="J21" authorId="0">
      <text>
        <r>
          <rPr>
            <sz val="11"/>
            <color indexed="8"/>
            <rFont val="Helvetica Neue"/>
          </rPr>
          <t>Codex:
Fonte anagrafica: https://www.fantacalcio.it/serie-a/squadre/napoli/milinkovic-savic-v/2170/2026-27/italia</t>
        </r>
      </text>
    </comment>
    <comment ref="J22" authorId="0">
      <text>
        <r>
          <rPr>
            <sz val="11"/>
            <color indexed="8"/>
            <rFont val="Helvetica Neue"/>
          </rPr>
          <t>Codex:
Fonte anagrafica: https://www.fantacalcio.it/serie-a/squadre/frosinone/palmisani/6415/2026-27/italia</t>
        </r>
      </text>
    </comment>
    <comment ref="J23" authorId="0">
      <text>
        <r>
          <rPr>
            <sz val="11"/>
            <color indexed="8"/>
            <rFont val="Helvetica Neue"/>
          </rPr>
          <t>Codex:
Fonte anagrafica: https://www.fantacalcio.it/serie-a/squadre/venezia/stankovic-f/6248/2026-27/italia</t>
        </r>
      </text>
    </comment>
    <comment ref="J24" authorId="0">
      <text>
        <r>
          <rPr>
            <sz val="11"/>
            <color indexed="8"/>
            <rFont val="Helvetica Neue"/>
          </rPr>
          <t>Codex:
Fonte anagrafica: https://www.fantacalcio.it/serie-a/squadre/torino/paleari/5320/2026-27/italia</t>
        </r>
      </text>
    </comment>
    <comment ref="J25" authorId="0">
      <text>
        <r>
          <rPr>
            <sz val="11"/>
            <color indexed="8"/>
            <rFont val="Helvetica Neue"/>
          </rPr>
          <t>Codex:
Fonte anagrafica: https://www.fantacalcio.it/serie-a/squadre/monza/thiam/4485/2026-27/italia</t>
        </r>
      </text>
    </comment>
    <comment ref="J26" authorId="0">
      <text>
        <r>
          <rPr>
            <sz val="11"/>
            <color indexed="8"/>
            <rFont val="Helvetica Neue"/>
          </rPr>
          <t>Codex:
Fonte anagrafica: https://www.fantacalcio.it/serie-a/squadre/parma/daffara/7411/2026-27/italia</t>
        </r>
      </text>
    </comment>
    <comment ref="J27" authorId="0">
      <text>
        <r>
          <rPr>
            <sz val="11"/>
            <color indexed="8"/>
            <rFont val="Helvetica Neue"/>
          </rPr>
          <t>Codex:
Fonte anagrafica: https://www.fantacalcio.it/serie-a/squadre/monza/tornqvist/7301/2026-27/italia</t>
        </r>
      </text>
    </comment>
    <comment ref="J28" authorId="0">
      <text>
        <r>
          <rPr>
            <sz val="11"/>
            <color indexed="8"/>
            <rFont val="Helvetica Neue"/>
          </rPr>
          <t>Codex:
Fonte anagrafica: https://www.fantacalcio.it/serie-a/squadre/parma/corvi/6662/2026-27/italia</t>
        </r>
      </text>
    </comment>
    <comment ref="J29" authorId="0">
      <text>
        <r>
          <rPr>
            <sz val="11"/>
            <color indexed="8"/>
            <rFont val="Helvetica Neue"/>
          </rPr>
          <t>Codex:
Fonte anagrafica: https://www.fantacalcio.it/serie-a/squadre/venezia/montipò/4957/2026-27/italia</t>
        </r>
      </text>
    </comment>
    <comment ref="J30" authorId="0">
      <text>
        <r>
          <rPr>
            <sz val="11"/>
            <color indexed="8"/>
            <rFont val="Helvetica Neue"/>
          </rPr>
          <t>Codex:
Fonte anagrafica: https://www.fantacalcio.it/serie-a/squadre/inter/provedel/2814/2026-27/italia</t>
        </r>
      </text>
    </comment>
    <comment ref="J31" authorId="0">
      <text>
        <r>
          <rPr>
            <sz val="11"/>
            <color indexed="8"/>
            <rFont val="Helvetica Neue"/>
          </rPr>
          <t>Codex:
Fonte anagrafica: https://serieaspelare.se/</t>
        </r>
      </text>
    </comment>
    <comment ref="J32" authorId="0">
      <text>
        <r>
          <rPr>
            <sz val="11"/>
            <color indexed="8"/>
            <rFont val="Helvetica Neue"/>
          </rPr>
          <t>Codex:
Fonte anagrafica: https://www.fantacalcio.it/serie-a/squadre/fiorentina/christensen-o/6403/2026-27/italia</t>
        </r>
      </text>
    </comment>
    <comment ref="J33" authorId="0">
      <text>
        <r>
          <rPr>
            <sz val="11"/>
            <color indexed="8"/>
            <rFont val="Helvetica Neue"/>
          </rPr>
          <t>Codex:
Fonte anagrafica: https://www.fantacalcio.it/serie-a/squadre/milan/terracciano/2815/2026-27/italia</t>
        </r>
      </text>
    </comment>
    <comment ref="J34" authorId="0">
      <text>
        <r>
          <rPr>
            <sz val="11"/>
            <color indexed="8"/>
            <rFont val="Helvetica Neue"/>
          </rPr>
          <t>Codex:
Fonte anagrafica: https://www.fantacalcio.it/serie-a/squadre/torino/mascardi/7457/2026-27/italia</t>
        </r>
      </text>
    </comment>
    <comment ref="J35" authorId="0">
      <text>
        <r>
          <rPr>
            <sz val="11"/>
            <color indexed="8"/>
            <rFont val="Helvetica Neue"/>
          </rPr>
          <t>Codex:
Fonte anagrafica: https://www.fantacalcio.it/serie-a/squadre/lazio/motta/7337/2026-27/italia</t>
        </r>
      </text>
    </comment>
    <comment ref="J36" authorId="0">
      <text>
        <r>
          <rPr>
            <sz val="11"/>
            <color indexed="8"/>
            <rFont val="Helvetica Neue"/>
          </rPr>
          <t>Codex:
Fonte anagrafica: https://www.fantacalcio.it/serie-a/squadre/bologna/pessina-mas/7172/2026-27/italia</t>
        </r>
      </text>
    </comment>
    <comment ref="J37" authorId="0">
      <text>
        <r>
          <rPr>
            <sz val="11"/>
            <color indexed="8"/>
            <rFont val="Helvetica Neue"/>
          </rPr>
          <t>Codex:
Fonte anagrafica: https://www.fantacalcio.it/serie-a/squadre/sassuolo/turati/4867/2026-27/italia</t>
        </r>
      </text>
    </comment>
    <comment ref="J38" authorId="0">
      <text>
        <r>
          <rPr>
            <sz val="11"/>
            <color indexed="8"/>
            <rFont val="Helvetica Neue"/>
          </rPr>
          <t>Codex:
Fonte anagrafica: https://www.fantacalcio.it/serie-a/squadre/udinese/padelli/543/2026-27/italia</t>
        </r>
      </text>
    </comment>
    <comment ref="J39" authorId="0">
      <text>
        <r>
          <rPr>
            <sz val="11"/>
            <color indexed="8"/>
            <rFont val="Helvetica Neue"/>
          </rPr>
          <t>Codex:
Fonte anagrafica: https://serieaspelare.se/</t>
        </r>
      </text>
    </comment>
    <comment ref="J40" authorId="0">
      <text>
        <r>
          <rPr>
            <sz val="11"/>
            <color indexed="8"/>
            <rFont val="Helvetica Neue"/>
          </rPr>
          <t>Codex:
Fonte anagrafica: https://www.fantacalcio.it/serie-a/squadre/genoa/sommariva/219/2026-27/italia</t>
        </r>
      </text>
    </comment>
    <comment ref="J41" authorId="0">
      <text>
        <r>
          <rPr>
            <sz val="11"/>
            <color indexed="8"/>
            <rFont val="Helvetica Neue"/>
          </rPr>
          <t>Codex:
Fonte anagrafica: https://www.fantacalcio.it/serie-a/squadre/atalanta/sportiello/4/2026-27/italia</t>
        </r>
      </text>
    </comment>
    <comment ref="J42" authorId="0">
      <text>
        <r>
          <rPr>
            <sz val="11"/>
            <color indexed="8"/>
            <rFont val="Helvetica Neue"/>
          </rPr>
          <t>Codex:
Fonte anagrafica: https://www.fantacalcio.it/serie-a/squadre/inter/di-gennaro/1926/2026-27/italia</t>
        </r>
      </text>
    </comment>
    <comment ref="J43" authorId="0">
      <text>
        <r>
          <rPr>
            <sz val="11"/>
            <color indexed="8"/>
            <rFont val="Helvetica Neue"/>
          </rPr>
          <t>Codex:
Fonte anagrafica: https://www.fantacalcio.it/serie-a/squadre/frosinone/desplanches/7463/2026-27/italia</t>
        </r>
      </text>
    </comment>
    <comment ref="J44" authorId="0">
      <text>
        <r>
          <rPr>
            <sz val="11"/>
            <color indexed="8"/>
            <rFont val="Helvetica Neue"/>
          </rPr>
          <t>Codex:
Fonte anagrafica: https://www.fantacalcio.it/serie-a/squadre/cagliari/sherri/6650/2026-27/italia</t>
        </r>
      </text>
    </comment>
    <comment ref="J45" authorId="0">
      <text>
        <r>
          <rPr>
            <sz val="11"/>
            <color indexed="8"/>
            <rFont val="Helvetica Neue"/>
          </rPr>
          <t>Codex:
Fonte anagrafica: https://www.fantacalcio.it/serie-a/squadre/venezia/pozzi/7531/2026-27/italia</t>
        </r>
      </text>
    </comment>
    <comment ref="J46" authorId="0">
      <text>
        <r>
          <rPr>
            <sz val="11"/>
            <color indexed="8"/>
            <rFont val="Helvetica Neue"/>
          </rPr>
          <t>Codex:
Fonte anagrafica: https://www.fantacalcio.it/serie-a/squadre/monza/strajnar/7475/2026-27/italia</t>
        </r>
      </text>
    </comment>
    <comment ref="J47" authorId="0">
      <text>
        <r>
          <rPr>
            <sz val="11"/>
            <color indexed="8"/>
            <rFont val="Helvetica Neue"/>
          </rPr>
          <t>Codex:
Fonte anagrafica: https://www.fantacalcio.it/serie-a/squadre/udinese/mrozek/7611/2026-27/italia</t>
        </r>
      </text>
    </comment>
    <comment ref="J48" authorId="0">
      <text>
        <r>
          <rPr>
            <sz val="11"/>
            <color indexed="8"/>
            <rFont val="Helvetica Neue"/>
          </rPr>
          <t>Codex:
Fonte anagrafica: https://www.fantacalcio.it/serie-a/squadre/cagliari/radunovic/3/2026-27/italia</t>
        </r>
      </text>
    </comment>
    <comment ref="J49" authorId="0">
      <text>
        <r>
          <rPr>
            <sz val="11"/>
            <color indexed="8"/>
            <rFont val="Helvetica Neue"/>
          </rPr>
          <t>Codex:
Fonte anagrafica: https://www.fantacalcio.it/serie-a/squadre/juventus/pinsoglio/1930/2026-27/italia</t>
        </r>
      </text>
    </comment>
    <comment ref="J50" authorId="0">
      <text>
        <r>
          <rPr>
            <sz val="11"/>
            <color indexed="8"/>
            <rFont val="Helvetica Neue"/>
          </rPr>
          <t>Codex:
Fonte anagrafica: https://www.fantacalcio.it/serie-a/squadre/lazio/renzetti/7534/2026-27/italia</t>
        </r>
      </text>
    </comment>
    <comment ref="J51" authorId="0">
      <text>
        <r>
          <rPr>
            <sz val="11"/>
            <color indexed="8"/>
            <rFont val="Helvetica Neue"/>
          </rPr>
          <t>Codex:
Fonte anagrafica: https://www.fantacalcio.it/serie-a/squadre/roma/vasquez-d/6125/2025-26/italia</t>
        </r>
      </text>
    </comment>
    <comment ref="J52" authorId="0">
      <text>
        <r>
          <rPr>
            <sz val="11"/>
            <color indexed="8"/>
            <rFont val="Helvetica Neue"/>
          </rPr>
          <t>Codex:
Fonte anagrafica: https://www.fantacalcio.it/serie-a/squadre/udinese/piana/5707/2026-27/italia</t>
        </r>
      </text>
    </comment>
    <comment ref="J53" authorId="0">
      <text>
        <r>
          <rPr>
            <sz val="11"/>
            <color indexed="8"/>
            <rFont val="Helvetica Neue"/>
          </rPr>
          <t>Codex:
Fonte anagrafica: https://www.fantacalcio.it/serie-a/squadre/frosinone/lolic/7466/2026-27/italia</t>
        </r>
      </text>
    </comment>
    <comment ref="J54" authorId="0">
      <text>
        <r>
          <rPr>
            <sz val="11"/>
            <color indexed="8"/>
            <rFont val="Helvetica Neue"/>
          </rPr>
          <t>Codex:
Fonte anagrafica: https://www.fantacalcio.it/serie-a/squadre/atalanta/rossi-f/2297/2026-27/italia</t>
        </r>
      </text>
    </comment>
    <comment ref="J55" authorId="0">
      <text>
        <r>
          <rPr>
            <sz val="11"/>
            <color indexed="8"/>
            <rFont val="Helvetica Neue"/>
          </rPr>
          <t>Codex:
Fonte anagrafica: https://www.fantacalcio.it/serie-a/squadre/genoa/stolz/6569/2026-27/italia</t>
        </r>
      </text>
    </comment>
    <comment ref="J56" authorId="0">
      <text>
        <r>
          <rPr>
            <sz val="11"/>
            <color indexed="8"/>
            <rFont val="Helvetica Neue"/>
          </rPr>
          <t>Codex:
Fonte anagrafica: https://www.fantacalcio.it/serie-a/squadre/sassuolo/satalino/2127/2026-27/italia</t>
        </r>
      </text>
    </comment>
    <comment ref="J57" authorId="0">
      <text>
        <r>
          <rPr>
            <sz val="11"/>
            <color indexed="8"/>
            <rFont val="Helvetica Neue"/>
          </rPr>
          <t>Codex:
Fonte anagrafica: https://www.fantacalcio.it/serie-a/squadre/roma/de-marzi/7048/2026-27/italia</t>
        </r>
      </text>
    </comment>
    <comment ref="J58" authorId="0">
      <text>
        <r>
          <rPr>
            <sz val="11"/>
            <color indexed="8"/>
            <rFont val="Helvetica Neue"/>
          </rPr>
          <t>Codex:
Fonte anagrafica: https://www.fantacalcio.it/serie-a/squadre/juventus/grabara/7603/2026-27/italia</t>
        </r>
      </text>
    </comment>
    <comment ref="J59" authorId="0">
      <text>
        <r>
          <rPr>
            <sz val="11"/>
            <color indexed="8"/>
            <rFont val="Helvetica Neue"/>
          </rPr>
          <t>Codex:
Fonte anagrafica: https://www.fantacalcio.it/serie-a/squadre/torino/siviero/7363/2026-27/italia</t>
        </r>
      </text>
    </comment>
    <comment ref="J60" authorId="0">
      <text>
        <r>
          <rPr>
            <sz val="11"/>
            <color indexed="8"/>
            <rFont val="Helvetica Neue"/>
          </rPr>
          <t>Codex:
Fonte anagrafica: https://www.fantacalcio.it/serie-a/squadre/milan/torriani/6813/2026-27/italia</t>
        </r>
      </text>
    </comment>
    <comment ref="J61" authorId="0">
      <text>
        <r>
          <rPr>
            <sz val="11"/>
            <color indexed="8"/>
            <rFont val="Helvetica Neue"/>
          </rPr>
          <t>Codex:
Fonte anagrafica: https://www.fantacalcio.it/serie-a/squadre/fiorentina/lezzerini/158/2026-27/italia</t>
        </r>
      </text>
    </comment>
    <comment ref="J62" authorId="0">
      <text>
        <r>
          <rPr>
            <sz val="11"/>
            <color indexed="8"/>
            <rFont val="Helvetica Neue"/>
          </rPr>
          <t>Codex:
Fonte anagrafica: https://www.fantacalcio.it/serie-a/squadre/lecce/bleve/4468/2026-27/italia</t>
        </r>
      </text>
    </comment>
    <comment ref="J63" authorId="0">
      <text>
        <r>
          <rPr>
            <sz val="11"/>
            <color indexed="8"/>
            <rFont val="Helvetica Neue"/>
          </rPr>
          <t>Codex:
Fonte anagrafica: https://www.fantacalcio.it/serie-a/squadre/venezia/grandi/6671/2026-27/italia</t>
        </r>
      </text>
    </comment>
    <comment ref="J64" authorId="0">
      <text>
        <r>
          <rPr>
            <sz val="11"/>
            <color indexed="8"/>
            <rFont val="Helvetica Neue"/>
          </rPr>
          <t>Codex:
Fonte anagrafica: https://www.fantacalcio.it/serie-a/squadre/frosinone/pisseri/7560/2026-27/italia</t>
        </r>
      </text>
    </comment>
    <comment ref="J65" authorId="0">
      <text>
        <r>
          <rPr>
            <sz val="11"/>
            <color indexed="8"/>
            <rFont val="Helvetica Neue"/>
          </rPr>
          <t>Codex:
Fonte anagrafica: https://serieaspelare.se/</t>
        </r>
      </text>
    </comment>
    <comment ref="J66" authorId="0">
      <text>
        <r>
          <rPr>
            <sz val="11"/>
            <color indexed="8"/>
            <rFont val="Helvetica Neue"/>
          </rPr>
          <t>Codex:
Fonte anagrafica: https://www.fantacalcio.it/serie-a/squadre/como/vigorito/2809/2026-27/italia</t>
        </r>
      </text>
    </comment>
    <comment ref="J67" authorId="0">
      <text>
        <r>
          <rPr>
            <sz val="11"/>
            <color indexed="8"/>
            <rFont val="Helvetica Neue"/>
          </rPr>
          <t>Codex:
Fonte anagrafica: https://www.fantacalcio.it/serie-a/squadre/napoli/contini/2845/2026-27/italia</t>
        </r>
      </text>
    </comment>
    <comment ref="J68" authorId="0">
      <text>
        <r>
          <rPr>
            <sz val="11"/>
            <color indexed="8"/>
            <rFont val="Helvetica Neue"/>
          </rPr>
          <t>Codex:
Fonte anagrafica: https://www.fantacalcio.it/serie-a/squadre/roma/gollini/610/2026-27/italia</t>
        </r>
      </text>
    </comment>
    <comment ref="J69" authorId="0">
      <text>
        <r>
          <rPr>
            <sz val="11"/>
            <color indexed="8"/>
            <rFont val="Helvetica Neue"/>
          </rPr>
          <t>Codex:
Fonte anagrafica: https://www.transfermarkt.com/piotr-pardel/profil/spieler/970683</t>
        </r>
      </text>
    </comment>
    <comment ref="J70" authorId="0">
      <text>
        <r>
          <rPr>
            <sz val="11"/>
            <color indexed="8"/>
            <rFont val="Helvetica Neue"/>
          </rPr>
          <t>Codex:
Fonte anagrafica: https://www.fantacalcio.it/serie-a/squadre/lecce/penev/7557/2026-27/italia</t>
        </r>
      </text>
    </comment>
    <comment ref="J71" authorId="0">
      <text>
        <r>
          <rPr>
            <sz val="11"/>
            <color indexed="8"/>
            <rFont val="Helvetica Neue"/>
          </rPr>
          <t>Codex:
Fonte anagrafica: https://www.transfermarkt.com/riccardo-radu/profil/spieler/1124104</t>
        </r>
      </text>
    </comment>
    <comment ref="J72" authorId="0">
      <text>
        <r>
          <rPr>
            <sz val="11"/>
            <color indexed="8"/>
            <rFont val="Helvetica Neue"/>
          </rPr>
          <t>Codex:
Fonte anagrafica: https://www.fantacalcio.it/serie-a/squadre/como/sanchez-ro/6344/2026-27/italia</t>
        </r>
      </text>
    </comment>
    <comment ref="J73" authorId="0">
      <text>
        <r>
          <rPr>
            <sz val="11"/>
            <color indexed="8"/>
            <rFont val="Helvetica Neue"/>
          </rPr>
          <t>Codex:
Fonte anagrafica: https://www.fantacalcio.it/serie-a/squadre/parma/ghidotti/2874/2026-27/italia</t>
        </r>
      </text>
    </comment>
    <comment ref="J74" authorId="0">
      <text>
        <r>
          <rPr>
            <sz val="11"/>
            <color indexed="8"/>
            <rFont val="Helvetica Neue"/>
          </rPr>
          <t>Codex:
Fonte anagrafica: https://www.fantacalcio.it/serie-a/squadre/atalanta/pompei/7626/2026-27/italia</t>
        </r>
      </text>
    </comment>
    <comment ref="J75" authorId="0">
      <text>
        <r>
          <rPr>
            <sz val="11"/>
            <color indexed="8"/>
            <rFont val="Helvetica Neue"/>
          </rPr>
          <t>Codex:
Fonte anagrafica: https://www.fantacalcio.it/serie-a/squadre/bologna/happonen/7533/2026-27/italia</t>
        </r>
      </text>
    </comment>
    <comment ref="J76" authorId="0">
      <text>
        <r>
          <rPr>
            <sz val="11"/>
            <color indexed="8"/>
            <rFont val="Helvetica Neue"/>
          </rPr>
          <t>Codex:
Fonte anagrafica: https://serieaspelare.se/</t>
        </r>
      </text>
    </comment>
    <comment ref="J77" authorId="0">
      <text>
        <r>
          <rPr>
            <sz val="11"/>
            <color indexed="8"/>
            <rFont val="Helvetica Neue"/>
          </rPr>
          <t>Codex:
Fonte anagrafica: https://www.fantacalcio.it/serie-a/squadre/inter/dimarco/254/2026-27/italia</t>
        </r>
      </text>
    </comment>
    <comment ref="J78" authorId="0">
      <text>
        <r>
          <rPr>
            <sz val="11"/>
            <color indexed="8"/>
            <rFont val="Helvetica Neue"/>
          </rPr>
          <t>Codex:
Fonte anagrafica: https://www.fantacalcio.it/serie-a/squadre/roma/mancini/2296/2026-27/italia</t>
        </r>
      </text>
    </comment>
    <comment ref="J79" authorId="0">
      <text>
        <r>
          <rPr>
            <sz val="11"/>
            <color indexed="8"/>
            <rFont val="Helvetica Neue"/>
          </rPr>
          <t>Codex:
Fonte anagrafica: https://www.fantacalcio.it/serie-a/squadre/juventus/bremer/2788/2026-27/italia</t>
        </r>
      </text>
    </comment>
    <comment ref="J80" authorId="0">
      <text>
        <r>
          <rPr>
            <sz val="11"/>
            <color indexed="8"/>
            <rFont val="Helvetica Neue"/>
          </rPr>
          <t>Codex:
Fonte anagrafica: https://www.fantacalcio.it/serie-a/squadre/roma/wesley/7181/2026-27/italia</t>
        </r>
      </text>
    </comment>
    <comment ref="J81" authorId="0">
      <text>
        <r>
          <rPr>
            <sz val="11"/>
            <color indexed="8"/>
            <rFont val="Helvetica Neue"/>
          </rPr>
          <t>Codex:
Fonte anagrafica: https://www.fantacalcio.it/serie-a/squadre/inter/bastoni/2120/2026-27/italia</t>
        </r>
      </text>
    </comment>
    <comment ref="J82" authorId="0">
      <text>
        <r>
          <rPr>
            <sz val="11"/>
            <color indexed="8"/>
            <rFont val="Helvetica Neue"/>
          </rPr>
          <t>Codex:
Fonte anagrafica: https://www.fantacalcio.it/serie-a/squadre/atalanta/zappacosta/554/2026-27/italia</t>
        </r>
      </text>
    </comment>
    <comment ref="J83" authorId="0">
      <text>
        <r>
          <rPr>
            <sz val="11"/>
            <color indexed="8"/>
            <rFont val="Helvetica Neue"/>
          </rPr>
          <t>Codex:
Fonte anagrafica: https://www.fantacalcio.it/serie-a/squadre/roma/n-dicka/4317/2026-27/italia</t>
        </r>
      </text>
    </comment>
    <comment ref="J84" authorId="0">
      <text>
        <r>
          <rPr>
            <sz val="11"/>
            <color indexed="8"/>
            <rFont val="Helvetica Neue"/>
          </rPr>
          <t>Codex:
Fonte anagrafica: https://www.fantacalcio.it/serie-a/squadre/juventus/kalulu/4976/2026-27/italia</t>
        </r>
      </text>
    </comment>
    <comment ref="J85" authorId="0">
      <text>
        <r>
          <rPr>
            <sz val="11"/>
            <color indexed="8"/>
            <rFont val="Helvetica Neue"/>
          </rPr>
          <t>Codex:
Fonte anagrafica: https://www.fantacalcio.it/serie-a/squadre/udinese/solet/6956/2026-27/italia</t>
        </r>
      </text>
    </comment>
    <comment ref="J86" authorId="0">
      <text>
        <r>
          <rPr>
            <sz val="11"/>
            <color indexed="8"/>
            <rFont val="Helvetica Neue"/>
          </rPr>
          <t>Codex:
Fonte anagrafica: https://www.fantacalcio.it/serie-a/squadre/milan/pavlovic/5022/2026-27/italia</t>
        </r>
      </text>
    </comment>
    <comment ref="J87" authorId="0">
      <text>
        <r>
          <rPr>
            <sz val="11"/>
            <color indexed="8"/>
            <rFont val="Helvetica Neue"/>
          </rPr>
          <t>Codex:
Fonte anagrafica: https://www.fantacalcio.it/serie-a/squadre/napoli/di-lorenzo/2816/2026-27/italia</t>
        </r>
      </text>
    </comment>
    <comment ref="J88" authorId="0">
      <text>
        <r>
          <rPr>
            <sz val="11"/>
            <color indexed="8"/>
            <rFont val="Helvetica Neue"/>
          </rPr>
          <t>Codex:
Fonte anagrafica: https://www.fantacalcio.it/serie-a/squadre/inter/akanji/4159/2026-27/italia</t>
        </r>
      </text>
    </comment>
    <comment ref="J89" authorId="0">
      <text>
        <r>
          <rPr>
            <sz val="11"/>
            <color indexed="8"/>
            <rFont val="Helvetica Neue"/>
          </rPr>
          <t>Codex:
Fonte anagrafica: https://www.fantacalcio.it/serie-a/squadre/roma/hermoso/4807/2026-27/italia</t>
        </r>
      </text>
    </comment>
    <comment ref="J90" authorId="0">
      <text>
        <r>
          <rPr>
            <sz val="11"/>
            <color indexed="8"/>
            <rFont val="Helvetica Neue"/>
          </rPr>
          <t>Codex:
Fonte anagrafica: https://www.fantacalcio.it/serie-a/squadre/inter/stones/2514/2026-27/italia</t>
        </r>
      </text>
    </comment>
    <comment ref="J91" authorId="0">
      <text>
        <r>
          <rPr>
            <sz val="11"/>
            <color indexed="8"/>
            <rFont val="Helvetica Neue"/>
          </rPr>
          <t>Codex:
Fonte anagrafica: https://www.fantacalcio.it/serie-a/squadre/napoli/spinazzola/1852/2026-27/italia</t>
        </r>
      </text>
    </comment>
    <comment ref="J92" authorId="0">
      <text>
        <r>
          <rPr>
            <sz val="11"/>
            <color indexed="8"/>
            <rFont val="Helvetica Neue"/>
          </rPr>
          <t>Codex:
Fonte anagrafica: https://www.fantacalcio.it/serie-a/squadre/atalanta/scalvini/5526/2026-27/italia</t>
        </r>
      </text>
    </comment>
    <comment ref="J93" authorId="0">
      <text>
        <r>
          <rPr>
            <sz val="11"/>
            <color indexed="8"/>
            <rFont val="Helvetica Neue"/>
          </rPr>
          <t>Codex:
Fonte anagrafica: https://www.fantacalcio.it/serie-a/squadre/juventus/cambiaso/5520/2026-27/italia</t>
        </r>
      </text>
    </comment>
    <comment ref="J94" authorId="0">
      <text>
        <r>
          <rPr>
            <sz val="11"/>
            <color indexed="8"/>
            <rFont val="Helvetica Neue"/>
          </rPr>
          <t>Codex:
Fonte anagrafica: https://www.fantacalcio.it/serie-a/squadre/genoa/ostigard/5750/2026-27/italia</t>
        </r>
      </text>
    </comment>
    <comment ref="J95" authorId="0">
      <text>
        <r>
          <rPr>
            <sz val="11"/>
            <color indexed="8"/>
            <rFont val="Helvetica Neue"/>
          </rPr>
          <t>Codex:
Fonte anagrafica: https://www.fantacalcio.it/serie-a/squadre/roma/molina-n/4998/2026-27/italia</t>
        </r>
      </text>
    </comment>
    <comment ref="J96" authorId="0">
      <text>
        <r>
          <rPr>
            <sz val="11"/>
            <color indexed="8"/>
            <rFont val="Helvetica Neue"/>
          </rPr>
          <t>Codex:
Fonte anagrafica: https://www.fantacalcio.it/serie-a/squadre/milan/gila/5833/2026-27/italia</t>
        </r>
      </text>
    </comment>
    <comment ref="J97" authorId="0">
      <text>
        <r>
          <rPr>
            <sz val="11"/>
            <color indexed="8"/>
            <rFont val="Helvetica Neue"/>
          </rPr>
          <t>Codex:
Fonte anagrafica: https://www.fantacalcio.it/serie-a/squadre/como/ramon/6869/2026-27/italia</t>
        </r>
      </text>
    </comment>
    <comment ref="J98" authorId="0">
      <text>
        <r>
          <rPr>
            <sz val="11"/>
            <color indexed="8"/>
            <rFont val="Helvetica Neue"/>
          </rPr>
          <t>Codex:
Fonte anagrafica: https://www.fantacalcio.it/serie-a/squadre/torino/comuzzo/6495/2026-27/italia</t>
        </r>
      </text>
    </comment>
    <comment ref="J99" authorId="0">
      <text>
        <r>
          <rPr>
            <sz val="11"/>
            <color indexed="8"/>
            <rFont val="Helvetica Neue"/>
          </rPr>
          <t>Codex:
Fonte anagrafica: https://www.fantacalcio.it/serie-a/squadre/lecce/tiago-gabriel/6989/2026-27/italia</t>
        </r>
      </text>
    </comment>
    <comment ref="J100" authorId="0">
      <text>
        <r>
          <rPr>
            <sz val="11"/>
            <color indexed="8"/>
            <rFont val="Helvetica Neue"/>
          </rPr>
          <t>Codex:
Fonte anagrafica: https://www.fantacalcio.it/serie-a/squadre/napoli/rrahmani/4409/2026-27/italia</t>
        </r>
      </text>
    </comment>
    <comment ref="J101" authorId="0">
      <text>
        <r>
          <rPr>
            <sz val="11"/>
            <color indexed="8"/>
            <rFont val="Helvetica Neue"/>
          </rPr>
          <t>Codex:
Fonte anagrafica: https://www.fantacalcio.it/serie-a/squadre/bologna/miranda-j/4734/2026-27/italia</t>
        </r>
      </text>
    </comment>
    <comment ref="J102" authorId="0">
      <text>
        <r>
          <rPr>
            <sz val="11"/>
            <color indexed="8"/>
            <rFont val="Helvetica Neue"/>
          </rPr>
          <t>Codex:
Fonte anagrafica: https://www.fantacalcio.it/serie-a/squadre/parma/valeri/5862/2026-27/italia</t>
        </r>
      </text>
    </comment>
    <comment ref="J103" authorId="0">
      <text>
        <r>
          <rPr>
            <sz val="11"/>
            <color indexed="8"/>
            <rFont val="Helvetica Neue"/>
          </rPr>
          <t>Codex:
Fonte anagrafica: https://www.fantacalcio.it/serie-a/squadre/udinese/kamara-h/5555/2026-27/italia</t>
        </r>
      </text>
    </comment>
    <comment ref="J104" authorId="0">
      <text>
        <r>
          <rPr>
            <sz val="11"/>
            <color indexed="8"/>
            <rFont val="Helvetica Neue"/>
          </rPr>
          <t>Codex:
Fonte anagrafica: https://www.fantacalcio.it/serie-a/squadre/genoa/vasquez/5514/2026-27/italia</t>
        </r>
      </text>
    </comment>
    <comment ref="J105" authorId="0">
      <text>
        <r>
          <rPr>
            <sz val="11"/>
            <color indexed="8"/>
            <rFont val="Helvetica Neue"/>
          </rPr>
          <t>Codex:
Fonte anagrafica: https://www.fantacalcio.it/serie-a/squadre/como/chalobah-t/5641/2026-27/italia</t>
        </r>
      </text>
    </comment>
    <comment ref="J106" authorId="0">
      <text>
        <r>
          <rPr>
            <sz val="11"/>
            <color indexed="8"/>
            <rFont val="Helvetica Neue"/>
          </rPr>
          <t>Codex:
Fonte anagrafica: https://www.fantacalcio.it/serie-a/squadre/inter/bisseck/6217/2026-27/italia</t>
        </r>
      </text>
    </comment>
    <comment ref="J107" authorId="0">
      <text>
        <r>
          <rPr>
            <sz val="11"/>
            <color indexed="8"/>
            <rFont val="Helvetica Neue"/>
          </rPr>
          <t>Codex:
Fonte anagrafica: https://www.fantacalcio.it/serie-a/squadre/inter/spence/5982/2026-27/italia</t>
        </r>
      </text>
    </comment>
    <comment ref="J108" authorId="0">
      <text>
        <r>
          <rPr>
            <sz val="11"/>
            <color indexed="8"/>
            <rFont val="Helvetica Neue"/>
          </rPr>
          <t>Codex:
Fonte anagrafica: https://www.fantacalcio.it/serie-a/squadre/bologna/holm/5678/2026-27/italia</t>
        </r>
      </text>
    </comment>
    <comment ref="J109" authorId="0">
      <text>
        <r>
          <rPr>
            <sz val="11"/>
            <color indexed="8"/>
            <rFont val="Helvetica Neue"/>
          </rPr>
          <t>Codex:
Fonte anagrafica: https://www.fantacalcio.it/serie-a/squadre/fiorentina/dodò/5885/2026-27/italia</t>
        </r>
      </text>
    </comment>
    <comment ref="J110" authorId="0">
      <text>
        <r>
          <rPr>
            <sz val="11"/>
            <color indexed="8"/>
            <rFont val="Helvetica Neue"/>
          </rPr>
          <t>Codex:
Fonte anagrafica: https://www.fantacalcio.it/serie-a/squadre/lecce/gallo/4502/2026-27/italia</t>
        </r>
      </text>
    </comment>
    <comment ref="J111" authorId="0">
      <text>
        <r>
          <rPr>
            <sz val="11"/>
            <color indexed="8"/>
            <rFont val="Helvetica Neue"/>
          </rPr>
          <t>Codex:
Fonte anagrafica: https://www.fantacalcio.it/serie-a/squadre/como/valle/6867/2026-27/italia</t>
        </r>
      </text>
    </comment>
    <comment ref="J112" authorId="0">
      <text>
        <r>
          <rPr>
            <sz val="11"/>
            <color indexed="8"/>
            <rFont val="Helvetica Neue"/>
          </rPr>
          <t>Codex:
Fonte anagrafica: https://www.fantacalcio.it/serie-a/squadre/como/kempf/6893/2026-27/italia</t>
        </r>
      </text>
    </comment>
    <comment ref="J113" authorId="0">
      <text>
        <r>
          <rPr>
            <sz val="11"/>
            <color indexed="8"/>
            <rFont val="Helvetica Neue"/>
          </rPr>
          <t>Codex:
Fonte anagrafica: https://www.fantacalcio.it/serie-a/squadre/parma/delprato/6664/2026-27/italia</t>
        </r>
      </text>
    </comment>
    <comment ref="J114" authorId="0">
      <text>
        <r>
          <rPr>
            <sz val="11"/>
            <color indexed="8"/>
            <rFont val="Helvetica Neue"/>
          </rPr>
          <t>Codex:
Fonte anagrafica: https://www.fantacalcio.it/serie-a/squadre/juventus/lucumì/6042/2026-27/italia</t>
        </r>
      </text>
    </comment>
    <comment ref="J115" authorId="0">
      <text>
        <r>
          <rPr>
            <sz val="11"/>
            <color indexed="8"/>
            <rFont val="Helvetica Neue"/>
          </rPr>
          <t>Codex:
Fonte anagrafica: https://www.fantacalcio.it/serie-a/squadre/como/couto/6727/2026-27/italia</t>
        </r>
      </text>
    </comment>
    <comment ref="J116" authorId="0">
      <text>
        <r>
          <rPr>
            <sz val="11"/>
            <color indexed="8"/>
            <rFont val="Helvetica Neue"/>
          </rPr>
          <t>Codex:
Fonte anagrafica: https://www.fantacalcio.it/serie-a/squadre/cagliari/mina/4210/2026-27/italia</t>
        </r>
      </text>
    </comment>
    <comment ref="J117" authorId="0">
      <text>
        <r>
          <rPr>
            <sz val="11"/>
            <color indexed="8"/>
            <rFont val="Helvetica Neue"/>
          </rPr>
          <t>Codex:
Fonte anagrafica: https://www.fantacalcio.it/serie-a/squadre/torino/belghali/7220/2026-27/italia</t>
        </r>
      </text>
    </comment>
    <comment ref="J118" authorId="0">
      <text>
        <r>
          <rPr>
            <sz val="11"/>
            <color indexed="8"/>
            <rFont val="Helvetica Neue"/>
          </rPr>
          <t>Codex:
Fonte anagrafica: https://www.fantacalcio.it/serie-a/squadre/juventus/kelly-l/6766/2026-27/italia</t>
        </r>
      </text>
    </comment>
    <comment ref="J119" authorId="0">
      <text>
        <r>
          <rPr>
            <sz val="11"/>
            <color indexed="8"/>
            <rFont val="Helvetica Neue"/>
          </rPr>
          <t>Codex:
Fonte anagrafica: https://www.fantacalcio.it/serie-a/squadre/atalanta/bernasconi/7219/2026-27/italia</t>
        </r>
      </text>
    </comment>
    <comment ref="J120" authorId="0">
      <text>
        <r>
          <rPr>
            <sz val="11"/>
            <color indexed="8"/>
            <rFont val="Helvetica Neue"/>
          </rPr>
          <t>Codex:
Fonte anagrafica: https://www.fantacalcio.it/serie-a/squadre/fiorentina/jimenez-a/6531/2026-27/italia</t>
        </r>
      </text>
    </comment>
    <comment ref="J121" authorId="0">
      <text>
        <r>
          <rPr>
            <sz val="11"/>
            <color indexed="8"/>
            <rFont val="Helvetica Neue"/>
          </rPr>
          <t>Codex:
Fonte anagrafica: https://www.fantacalcio.it/serie-a/squadre/milan/gabbia/4401/2026-27/italia</t>
        </r>
      </text>
    </comment>
    <comment ref="J122" authorId="0">
      <text>
        <r>
          <rPr>
            <sz val="11"/>
            <color indexed="8"/>
            <rFont val="Helvetica Neue"/>
          </rPr>
          <t>Codex:
Fonte anagrafica: https://www.fantacalcio.it/serie-a/squadre/lazio/marusic/2188/2026-27/italia</t>
        </r>
      </text>
    </comment>
    <comment ref="J123" authorId="0">
      <text>
        <r>
          <rPr>
            <sz val="11"/>
            <color indexed="8"/>
            <rFont val="Helvetica Neue"/>
          </rPr>
          <t>Codex:
Fonte anagrafica: https://www.fantacalcio.it/serie-a/squadre/inter/carlos-augusto/5877/2026-27/italia</t>
        </r>
      </text>
    </comment>
    <comment ref="J124" authorId="0">
      <text>
        <r>
          <rPr>
            <sz val="11"/>
            <color indexed="8"/>
            <rFont val="Helvetica Neue"/>
          </rPr>
          <t>Codex:
Fonte anagrafica: https://www.fantacalcio.it/serie-a/squadre/parma/diego-carlos/4137/2026-27/italia</t>
        </r>
      </text>
    </comment>
    <comment ref="J125" authorId="0">
      <text>
        <r>
          <rPr>
            <sz val="11"/>
            <color indexed="8"/>
            <rFont val="Helvetica Neue"/>
          </rPr>
          <t>Codex:
Fonte anagrafica: https://www.fantacalcio.it/serie-a/squadre/atalanta/bellanova/4887/2026-27/italia</t>
        </r>
      </text>
    </comment>
    <comment ref="J126" authorId="0">
      <text>
        <r>
          <rPr>
            <sz val="11"/>
            <color indexed="8"/>
            <rFont val="Helvetica Neue"/>
          </rPr>
          <t>Codex:
Fonte anagrafica: https://www.fantacalcio.it/serie-a/squadre/udinese/vojvoda/4994/2026-27/italia</t>
        </r>
      </text>
    </comment>
    <comment ref="J127" authorId="0">
      <text>
        <r>
          <rPr>
            <sz val="11"/>
            <color indexed="8"/>
            <rFont val="Helvetica Neue"/>
          </rPr>
          <t>Codex:
Fonte anagrafica: https://www.fantacalcio.it/serie-a/squadre/atalanta/kristensen-t/6485/2026-27/italia</t>
        </r>
      </text>
    </comment>
    <comment ref="J128" authorId="0">
      <text>
        <r>
          <rPr>
            <sz val="11"/>
            <color indexed="8"/>
            <rFont val="Helvetica Neue"/>
          </rPr>
          <t>Codex:
Fonte anagrafica: https://www.fantacalcio.it/serie-a/squadre/inter/pavard/4177/2026-27/italia</t>
        </r>
      </text>
    </comment>
    <comment ref="J129" authorId="0">
      <text>
        <r>
          <rPr>
            <sz val="11"/>
            <color indexed="8"/>
            <rFont val="Helvetica Neue"/>
          </rPr>
          <t>Codex:
Fonte anagrafica: https://www.fantacalcio.it/serie-a/squadre/milan/bartesaghi/6496/2026-27/italia</t>
        </r>
      </text>
    </comment>
    <comment ref="J130" authorId="0">
      <text>
        <r>
          <rPr>
            <sz val="11"/>
            <color indexed="8"/>
            <rFont val="Helvetica Neue"/>
          </rPr>
          <t>Codex:
Fonte anagrafica: https://www.fantacalcio.it/serie-a/squadre/lazio/sutalo-j/7580/2026-27/italia</t>
        </r>
      </text>
    </comment>
    <comment ref="J131" authorId="0">
      <text>
        <r>
          <rPr>
            <sz val="11"/>
            <color indexed="8"/>
            <rFont val="Helvetica Neue"/>
          </rPr>
          <t>Codex:
Fonte anagrafica: https://www.fantacalcio.it/serie-a/squadre/bologna/theate/5675/2026-27/italia</t>
        </r>
      </text>
    </comment>
    <comment ref="J132" authorId="0">
      <text>
        <r>
          <rPr>
            <sz val="11"/>
            <color indexed="8"/>
            <rFont val="Helvetica Neue"/>
          </rPr>
          <t>Codex:
Fonte anagrafica: https://www.fantacalcio.it/serie-a/squadre/napoli/badiashile/4664/2026-27/italia</t>
        </r>
      </text>
    </comment>
    <comment ref="J133" authorId="0">
      <text>
        <r>
          <rPr>
            <sz val="11"/>
            <color indexed="8"/>
            <rFont val="Helvetica Neue"/>
          </rPr>
          <t>Codex:
Fonte anagrafica: https://www.fantacalcio.it/serie-a/squadre/lazio/pedraza/4817/2026-27/italia</t>
        </r>
      </text>
    </comment>
    <comment ref="J134" authorId="0">
      <text>
        <r>
          <rPr>
            <sz val="11"/>
            <color indexed="8"/>
            <rFont val="Helvetica Neue"/>
          </rPr>
          <t>Codex:
Fonte anagrafica: https://www.fantacalcio.it/serie-a/squadre/torino/coco/6642/2026-27/italia</t>
        </r>
      </text>
    </comment>
    <comment ref="J135" authorId="0">
      <text>
        <r>
          <rPr>
            <sz val="11"/>
            <color indexed="8"/>
            <rFont val="Helvetica Neue"/>
          </rPr>
          <t>Codex:
Fonte anagrafica: https://www.fantacalcio.it/serie-a/squadre/cagliari/obert/5701/2026-27/italia</t>
        </r>
      </text>
    </comment>
    <comment ref="J136" authorId="0">
      <text>
        <r>
          <rPr>
            <sz val="11"/>
            <color indexed="8"/>
            <rFont val="Helvetica Neue"/>
          </rPr>
          <t>Codex:
Fonte anagrafica: https://www.fantacalcio.it/serie-a/squadre/roma/balerdi/4705/2026-27/italia</t>
        </r>
      </text>
    </comment>
    <comment ref="J137" authorId="0">
      <text>
        <r>
          <rPr>
            <sz val="11"/>
            <color indexed="8"/>
            <rFont val="Helvetica Neue"/>
          </rPr>
          <t>Codex:
Fonte anagrafica: https://www.fantacalcio.it/serie-a/squadre/atalanta/hien/6046/2026-27/italia</t>
        </r>
      </text>
    </comment>
    <comment ref="J138" authorId="0">
      <text>
        <r>
          <rPr>
            <sz val="11"/>
            <color indexed="8"/>
            <rFont val="Helvetica Neue"/>
          </rPr>
          <t>Codex:
Fonte anagrafica: https://www.fantacalcio.it/serie-a/squadre/juventus/celik/4657/2026-27/italia</t>
        </r>
      </text>
    </comment>
    <comment ref="J139" authorId="0">
      <text>
        <r>
          <rPr>
            <sz val="11"/>
            <color indexed="8"/>
            <rFont val="Helvetica Neue"/>
          </rPr>
          <t>Codex:
Fonte anagrafica: https://www.fantacalcio.it/serie-a/squadre/lazio/provstgaard/7012/2026-27/italia</t>
        </r>
      </text>
    </comment>
    <comment ref="J140" authorId="0">
      <text>
        <r>
          <rPr>
            <sz val="11"/>
            <color indexed="8"/>
            <rFont val="Helvetica Neue"/>
          </rPr>
          <t>Codex:
Fonte anagrafica: https://www.fantacalcio.it/serie-a/squadre/lazio/doekhi/6320/2026-27/italia</t>
        </r>
      </text>
    </comment>
    <comment ref="J141" authorId="0">
      <text>
        <r>
          <rPr>
            <sz val="11"/>
            <color indexed="8"/>
            <rFont val="Helvetica Neue"/>
          </rPr>
          <t>Codex:
Fonte anagrafica: https://www.fantacalcio.it/serie-a/squadre/torino/ismajli/5010/2026-27/italia</t>
        </r>
      </text>
    </comment>
    <comment ref="J142" authorId="0">
      <text>
        <r>
          <rPr>
            <sz val="11"/>
            <color indexed="8"/>
            <rFont val="Helvetica Neue"/>
          </rPr>
          <t>Codex:
Fonte anagrafica: https://www.fantacalcio.it/serie-a/squadre/lecce/veiga-d/6990/2026-27/italia</t>
        </r>
      </text>
    </comment>
    <comment ref="J143" authorId="0">
      <text>
        <r>
          <rPr>
            <sz val="11"/>
            <color indexed="8"/>
            <rFont val="Helvetica Neue"/>
          </rPr>
          <t>Codex:
Fonte anagrafica: https://www.fantacalcio.it/serie-a/squadre/fiorentina/valdepenas/7294/2026-27/italia</t>
        </r>
      </text>
    </comment>
    <comment ref="J144" authorId="0">
      <text>
        <r>
          <rPr>
            <sz val="11"/>
            <color indexed="8"/>
            <rFont val="Helvetica Neue"/>
          </rPr>
          <t>Codex:
Fonte anagrafica: https://www.fantacalcio.it/serie-a/squadre/fiorentina/dragusin/5365/2026-27/italia</t>
        </r>
      </text>
    </comment>
    <comment ref="J145" authorId="0">
      <text>
        <r>
          <rPr>
            <sz val="11"/>
            <color indexed="8"/>
            <rFont val="Helvetica Neue"/>
          </rPr>
          <t>Codex:
Fonte anagrafica: https://www.fantacalcio.it/serie-a/squadre/frosinone/terzic/4375/2026-27/italia</t>
        </r>
      </text>
    </comment>
    <comment ref="J146" authorId="0">
      <text>
        <r>
          <rPr>
            <sz val="11"/>
            <color indexed="8"/>
            <rFont val="Helvetica Neue"/>
          </rPr>
          <t>Codex:
Fonte anagrafica: https://www.fantacalcio.it/serie-a/squadre/milan/tomori/4751/2026-27/italia</t>
        </r>
      </text>
    </comment>
    <comment ref="J147" authorId="0">
      <text>
        <r>
          <rPr>
            <sz val="11"/>
            <color indexed="8"/>
            <rFont val="Helvetica Neue"/>
          </rPr>
          <t>Codex:
Fonte anagrafica: https://www.fantacalcio.it/serie-a/squadre/lazio/tavares-n/5620/2026-27/italia</t>
        </r>
      </text>
    </comment>
    <comment ref="J148" authorId="0">
      <text>
        <r>
          <rPr>
            <sz val="11"/>
            <color indexed="8"/>
            <rFont val="Helvetica Neue"/>
          </rPr>
          <t>Codex:
Fonte anagrafica: https://www.fantacalcio.it/serie-a/squadre/parma/troilo/7235/2026-27/italia</t>
        </r>
      </text>
    </comment>
    <comment ref="J149" authorId="0">
      <text>
        <r>
          <rPr>
            <sz val="11"/>
            <color indexed="8"/>
            <rFont val="Helvetica Neue"/>
          </rPr>
          <t>Codex:
Fonte anagrafica: https://www.fantacalcio.it/serie-a/squadre/bologna/zortea/4433/2026-27/italia</t>
        </r>
      </text>
    </comment>
    <comment ref="J150" authorId="0">
      <text>
        <r>
          <rPr>
            <sz val="11"/>
            <color indexed="8"/>
            <rFont val="Helvetica Neue"/>
          </rPr>
          <t>Codex:
Fonte anagrafica: https://www.fantacalcio.it/serie-a/squadre/udinese/kabasele/4263/2026-27/italia</t>
        </r>
      </text>
    </comment>
    <comment ref="J151" authorId="0">
      <text>
        <r>
          <rPr>
            <sz val="11"/>
            <color indexed="8"/>
            <rFont val="Helvetica Neue"/>
          </rPr>
          <t>Codex:
Fonte anagrafica: https://www.fantacalcio.it/serie-a/squadre/genoa/marcandalli/6660/2026-27/italia</t>
        </r>
      </text>
    </comment>
    <comment ref="J152" authorId="0">
      <text>
        <r>
          <rPr>
            <sz val="11"/>
            <color indexed="8"/>
            <rFont val="Helvetica Neue"/>
          </rPr>
          <t>Codex:
Fonte anagrafica: https://www.fantacalcio.it/serie-a/squadre/como/smolcic-i/7014/2026-27/italia</t>
        </r>
      </text>
    </comment>
    <comment ref="J153" authorId="0">
      <text>
        <r>
          <rPr>
            <sz val="11"/>
            <color indexed="8"/>
            <rFont val="Helvetica Neue"/>
          </rPr>
          <t>Codex:
Fonte anagrafica: https://www.fantacalcio.it/serie-a/squadre/cagliari/zè-pedro/7274/2026-27/italia</t>
        </r>
      </text>
    </comment>
    <comment ref="J154" authorId="0">
      <text>
        <r>
          <rPr>
            <sz val="11"/>
            <color indexed="8"/>
            <rFont val="Helvetica Neue"/>
          </rPr>
          <t>Codex:
Fonte anagrafica: https://www.fantacalcio.it/serie-a/squadre/cagliari/rodriguez-ju/7268/2026-27/italia</t>
        </r>
      </text>
    </comment>
    <comment ref="J155" authorId="0">
      <text>
        <r>
          <rPr>
            <sz val="11"/>
            <color indexed="8"/>
            <rFont val="Helvetica Neue"/>
          </rPr>
          <t>Codex:
Fonte anagrafica: https://www.fantacalcio.it/serie-a/squadre/fiorentina/ranieri-l/4378/2026-27/italia</t>
        </r>
      </text>
    </comment>
    <comment ref="J156" authorId="0">
      <text>
        <r>
          <rPr>
            <sz val="11"/>
            <color indexed="8"/>
            <rFont val="Helvetica Neue"/>
          </rPr>
          <t>Codex:
Fonte anagrafica: https://www.fantacalcio.it/serie-a/squadre/cagliari/sugawara/7621/2026-27/italia</t>
        </r>
      </text>
    </comment>
    <comment ref="J157" authorId="0">
      <text>
        <r>
          <rPr>
            <sz val="11"/>
            <color indexed="8"/>
            <rFont val="Helvetica Neue"/>
          </rPr>
          <t>Codex:
Fonte anagrafica: https://www.fantacalcio.it/serie-a/squadre/juventus/gatti/5831/2026-27/italia</t>
        </r>
      </text>
    </comment>
    <comment ref="J158" authorId="0">
      <text>
        <r>
          <rPr>
            <sz val="11"/>
            <color indexed="8"/>
            <rFont val="Helvetica Neue"/>
          </rPr>
          <t>Codex:
Fonte anagrafica: https://www.fantacalcio.it/serie-a/squadre/sassuolo/obrador/7329/2026-27/italia</t>
        </r>
      </text>
    </comment>
    <comment ref="J159" authorId="0">
      <text>
        <r>
          <rPr>
            <sz val="11"/>
            <color indexed="8"/>
            <rFont val="Helvetica Neue"/>
          </rPr>
          <t>Codex:
Fonte anagrafica: https://www.fantacalcio.it/serie-a/squadre/napoli/buongiorno/2724/2026-27/italia</t>
        </r>
      </text>
    </comment>
    <comment ref="J160" authorId="0">
      <text>
        <r>
          <rPr>
            <sz val="11"/>
            <color indexed="8"/>
            <rFont val="Helvetica Neue"/>
          </rPr>
          <t>Codex:
Fonte anagrafica: https://www.fantacalcio.it/serie-a/squadre/roma/ghilardi/6631/2026-27/italia</t>
        </r>
      </text>
    </comment>
    <comment ref="J161" authorId="0">
      <text>
        <r>
          <rPr>
            <sz val="11"/>
            <color indexed="8"/>
            <rFont val="Helvetica Neue"/>
          </rPr>
          <t>Codex:
Fonte anagrafica: https://www.fantacalcio.it/serie-a/squadre/frosinone/monterisi/4952/2026-27/italia</t>
        </r>
      </text>
    </comment>
    <comment ref="J162" authorId="0">
      <text>
        <r>
          <rPr>
            <sz val="11"/>
            <color indexed="8"/>
            <rFont val="Helvetica Neue"/>
          </rPr>
          <t>Codex:
Fonte anagrafica: https://www.fantacalcio.it/serie-a/squadre/roma/rensch/6986/2026-27/italia</t>
        </r>
      </text>
    </comment>
    <comment ref="J163" authorId="0">
      <text>
        <r>
          <rPr>
            <sz val="11"/>
            <color indexed="8"/>
            <rFont val="Helvetica Neue"/>
          </rPr>
          <t>Codex:
Fonte anagrafica: https://www.fantacalcio.it/serie-a/squadre/venezia/juan-jesus/256/2026-27/italia</t>
        </r>
      </text>
    </comment>
    <comment ref="J164" authorId="0">
      <text>
        <r>
          <rPr>
            <sz val="11"/>
            <color indexed="8"/>
            <rFont val="Helvetica Neue"/>
          </rPr>
          <t>Codex:
Fonte anagrafica: https://www.fantacalcio.it/serie-a/squadre/milan/de-winter/5739/2026-27/italia</t>
        </r>
      </text>
    </comment>
    <comment ref="J165" authorId="0">
      <text>
        <r>
          <rPr>
            <sz val="11"/>
            <color indexed="8"/>
            <rFont val="Helvetica Neue"/>
          </rPr>
          <t>Codex:
Fonte anagrafica: https://www.fantacalcio.it/serie-a/squadre/como/kaiki/7414/2026-27/italia</t>
        </r>
      </text>
    </comment>
    <comment ref="J166" authorId="0">
      <text>
        <r>
          <rPr>
            <sz val="11"/>
            <color indexed="8"/>
            <rFont val="Helvetica Neue"/>
          </rPr>
          <t>Codex:
Fonte anagrafica: https://www.fantacalcio.it/serie-a/squadre/fiorentina/pongracic/5603/2026-27/italia</t>
        </r>
      </text>
    </comment>
    <comment ref="J167" authorId="0">
      <text>
        <r>
          <rPr>
            <sz val="11"/>
            <color indexed="8"/>
            <rFont val="Helvetica Neue"/>
          </rPr>
          <t>Codex:
Fonte anagrafica: https://www.fantacalcio.it/serie-a/squadre/atalanta/kossounou/5578/2026-27/italia</t>
        </r>
      </text>
    </comment>
    <comment ref="J168" authorId="0">
      <text>
        <r>
          <rPr>
            <sz val="11"/>
            <color indexed="8"/>
            <rFont val="Helvetica Neue"/>
          </rPr>
          <t>Codex:
Fonte anagrafica: https://www.fantacalcio.it/serie-a/squadre/monza/mangas/7485/2026-27/italia</t>
        </r>
      </text>
    </comment>
    <comment ref="J169" authorId="0">
      <text>
        <r>
          <rPr>
            <sz val="11"/>
            <color indexed="8"/>
            <rFont val="Helvetica Neue"/>
          </rPr>
          <t>Codex:
Fonte anagrafica: https://www.fantacalcio.it/serie-a/squadre/venezia/correia-t/4845/2026-27/italia</t>
        </r>
      </text>
    </comment>
    <comment ref="J170" authorId="0">
      <text>
        <r>
          <rPr>
            <sz val="11"/>
            <color indexed="8"/>
            <rFont val="Helvetica Neue"/>
          </rPr>
          <t>Codex:
Fonte anagrafica: https://www.fantacalcio.it/serie-a/squadre/monza/birindelli/5838/2026-27/italia</t>
        </r>
      </text>
    </comment>
    <comment ref="J171" authorId="0">
      <text>
        <r>
          <rPr>
            <sz val="11"/>
            <color indexed="8"/>
            <rFont val="Helvetica Neue"/>
          </rPr>
          <t>Codex:
Fonte anagrafica: https://www.fantacalcio.it/serie-a/squadre/napoli/olivera/5840/2026-27/italia</t>
        </r>
      </text>
    </comment>
    <comment ref="J172" authorId="0">
      <text>
        <r>
          <rPr>
            <sz val="11"/>
            <color indexed="8"/>
            <rFont val="Helvetica Neue"/>
          </rPr>
          <t>Codex:
Fonte anagrafica: https://www.fantacalcio.it/serie-a/squadre/genoa/drameh/5742/2026-27/italia</t>
        </r>
      </text>
    </comment>
    <comment ref="J173" authorId="0">
      <text>
        <r>
          <rPr>
            <sz val="11"/>
            <color indexed="8"/>
            <rFont val="Helvetica Neue"/>
          </rPr>
          <t>Codex:
Fonte anagrafica: https://www.fantacalcio.it/serie-a/squadre/napoli/beukema/6202/2026-27/italia</t>
        </r>
      </text>
    </comment>
    <comment ref="J174" authorId="0">
      <text>
        <r>
          <rPr>
            <sz val="11"/>
            <color indexed="8"/>
            <rFont val="Helvetica Neue"/>
          </rPr>
          <t>Codex:
Fonte anagrafica: https://www.fantacalcio.it/serie-a/squadre/bologna/heggem/7212/2026-27/italia</t>
        </r>
      </text>
    </comment>
    <comment ref="J175" authorId="0">
      <text>
        <r>
          <rPr>
            <sz val="11"/>
            <color indexed="8"/>
            <rFont val="Helvetica Neue"/>
          </rPr>
          <t>Codex:
Fonte anagrafica: https://www.fantacalcio.it/serie-a/squadre/fiorentina/parisi/5449/2026-27/italia</t>
        </r>
      </text>
    </comment>
    <comment ref="J176" authorId="0">
      <text>
        <r>
          <rPr>
            <sz val="11"/>
            <color indexed="8"/>
            <rFont val="Helvetica Neue"/>
          </rPr>
          <t>Codex:
Fonte anagrafica: https://www.fantacalcio.it/serie-a/squadre/sassuolo/van-der-brempt/6896/2026-27/italia</t>
        </r>
      </text>
    </comment>
    <comment ref="J177" authorId="0">
      <text>
        <r>
          <rPr>
            <sz val="11"/>
            <color indexed="8"/>
            <rFont val="Helvetica Neue"/>
          </rPr>
          <t>Codex:
Fonte anagrafica: https://www.fantacalcio.it/serie-a/squadre/sassuolo/doig/5851/2026-27/italia</t>
        </r>
      </text>
    </comment>
    <comment ref="J178" authorId="0">
      <text>
        <r>
          <rPr>
            <sz val="11"/>
            <color indexed="8"/>
            <rFont val="Helvetica Neue"/>
          </rPr>
          <t>Codex:
Fonte anagrafica: https://www.fantacalcio.it/serie-a/squadre/fiorentina/viery/7410/2026-27/italia</t>
        </r>
      </text>
    </comment>
    <comment ref="J179" authorId="0">
      <text>
        <r>
          <rPr>
            <sz val="11"/>
            <color indexed="8"/>
            <rFont val="Helvetica Neue"/>
          </rPr>
          <t>Codex:
Fonte anagrafica: https://www.fantacalcio.it/serie-a/squadre/torino/fortini/7069/2026-27/italia</t>
        </r>
      </text>
    </comment>
    <comment ref="J180" authorId="0">
      <text>
        <r>
          <rPr>
            <sz val="11"/>
            <color indexed="8"/>
            <rFont val="Helvetica Neue"/>
          </rPr>
          <t>Codex:
Fonte anagrafica: https://www.fantacalcio.it/serie-a/squadre/monza/carboni-a/4925/2026-27/italia</t>
        </r>
      </text>
    </comment>
    <comment ref="J181" authorId="0">
      <text>
        <r>
          <rPr>
            <sz val="11"/>
            <color indexed="8"/>
            <rFont val="Helvetica Neue"/>
          </rPr>
          <t>Codex:
Fonte anagrafica: https://www.fantacalcio.it/serie-a/squadre/roma/koulierakis/7529/2026-27/italia</t>
        </r>
      </text>
    </comment>
    <comment ref="J182" authorId="0">
      <text>
        <r>
          <rPr>
            <sz val="11"/>
            <color indexed="8"/>
            <rFont val="Helvetica Neue"/>
          </rPr>
          <t>Codex:
Fonte anagrafica: https://www.fantacalcio.it/serie-a/squadre/sassuolo/caleta-car/4147/2026-27/italia</t>
        </r>
      </text>
    </comment>
    <comment ref="J183" authorId="0">
      <text>
        <r>
          <rPr>
            <sz val="11"/>
            <color indexed="8"/>
            <rFont val="Helvetica Neue"/>
          </rPr>
          <t>Codex:
Fonte anagrafica: https://www.fantacalcio.it/serie-a/squadre/como/kambwala/6601/2026-27/italia</t>
        </r>
      </text>
    </comment>
    <comment ref="J184" authorId="0">
      <text>
        <r>
          <rPr>
            <sz val="11"/>
            <color indexed="8"/>
            <rFont val="Helvetica Neue"/>
          </rPr>
          <t>Codex:
Fonte anagrafica: https://www.fantacalcio.it/serie-a/squadre/venezia/schingtienne/6892/2026-27/italia</t>
        </r>
      </text>
    </comment>
    <comment ref="J185" authorId="0">
      <text>
        <r>
          <rPr>
            <sz val="11"/>
            <color indexed="8"/>
            <rFont val="Helvetica Neue"/>
          </rPr>
          <t>Codex:
Fonte anagrafica: https://www.fantacalcio.it/serie-a/squadre/frosinone/oyono-a/6238/2026-27/italia</t>
        </r>
      </text>
    </comment>
    <comment ref="J186" authorId="0">
      <text>
        <r>
          <rPr>
            <sz val="11"/>
            <color indexed="8"/>
            <rFont val="Helvetica Neue"/>
          </rPr>
          <t>Codex:
Fonte anagrafica: https://www.fantacalcio.it/serie-a/squadre/venezia/haps/5695/2026-27/italia</t>
        </r>
      </text>
    </comment>
    <comment ref="J187" authorId="0">
      <text>
        <r>
          <rPr>
            <sz val="11"/>
            <color indexed="8"/>
            <rFont val="Helvetica Neue"/>
          </rPr>
          <t>Codex:
Fonte anagrafica: https://www.fantacalcio.it/serie-a/squadre/sassuolo/leysen-f/7564/2026-27/italia</t>
        </r>
      </text>
    </comment>
    <comment ref="J188" authorId="0">
      <text>
        <r>
          <rPr>
            <sz val="11"/>
            <color indexed="8"/>
            <rFont val="Helvetica Neue"/>
          </rPr>
          <t>Codex:
Fonte anagrafica: https://www.fantacalcio.it/serie-a/squadre/cagliari/aurelio/7548/2026-27/italia</t>
        </r>
      </text>
    </comment>
    <comment ref="J189" authorId="0">
      <text>
        <r>
          <rPr>
            <sz val="11"/>
            <color indexed="8"/>
            <rFont val="Helvetica Neue"/>
          </rPr>
          <t>Codex:
Fonte anagrafica: https://www.fantacalcio.it/serie-a/squadre/torino/patterson/5751/2026-27/italia</t>
        </r>
      </text>
    </comment>
    <comment ref="J190" authorId="0">
      <text>
        <r>
          <rPr>
            <sz val="11"/>
            <color indexed="8"/>
            <rFont val="Helvetica Neue"/>
          </rPr>
          <t>Codex:
Fonte anagrafica: https://www.fantacalcio.it/serie-a/squadre/venezia/bella-kotchap/7253/2026-27/italia</t>
        </r>
      </text>
    </comment>
    <comment ref="J191" authorId="0">
      <text>
        <r>
          <rPr>
            <sz val="11"/>
            <color indexed="8"/>
            <rFont val="Helvetica Neue"/>
          </rPr>
          <t>Codex:
Fonte anagrafica: https://www.fantacalcio.it/serie-a/squadre/atalanta/kolasinac/2640/2026-27/italia</t>
        </r>
      </text>
    </comment>
    <comment ref="J192" authorId="0">
      <text>
        <r>
          <rPr>
            <sz val="11"/>
            <color indexed="8"/>
            <rFont val="Helvetica Neue"/>
          </rPr>
          <t>Codex:
Fonte anagrafica: https://www.fantacalcio.it/serie-a/squadre/genoa/sabelli/791/2026-27/italia</t>
        </r>
      </text>
    </comment>
    <comment ref="J193" authorId="0">
      <text>
        <r>
          <rPr>
            <sz val="11"/>
            <color indexed="8"/>
            <rFont val="Helvetica Neue"/>
          </rPr>
          <t>Codex:
Fonte anagrafica: https://www.fantacalcio.it/serie-a/squadre/frosinone/bracaglia/7469/2026-27/italia</t>
        </r>
      </text>
    </comment>
    <comment ref="J194" authorId="0">
      <text>
        <r>
          <rPr>
            <sz val="11"/>
            <color indexed="8"/>
            <rFont val="Helvetica Neue"/>
          </rPr>
          <t>Codex:
Fonte anagrafica: https://www.fantacalcio.it/serie-a/squadre/frosinone/calvani/7467/2026-27/italia</t>
        </r>
      </text>
    </comment>
    <comment ref="J195" authorId="0">
      <text>
        <r>
          <rPr>
            <sz val="11"/>
            <color indexed="8"/>
            <rFont val="Helvetica Neue"/>
          </rPr>
          <t>Codex:
Fonte anagrafica: https://www.fantacalcio.it/serie-a/squadre/sassuolo/walukiewicz/4374/2026-27/italia</t>
        </r>
      </text>
    </comment>
    <comment ref="J196" authorId="0">
      <text>
        <r>
          <rPr>
            <sz val="11"/>
            <color indexed="8"/>
            <rFont val="Helvetica Neue"/>
          </rPr>
          <t>Codex:
Fonte anagrafica: https://www.fantacalcio.it/serie-a/squadre/bologna/vitik/7068/2026-27/italia</t>
        </r>
      </text>
    </comment>
    <comment ref="J197" authorId="0">
      <text>
        <r>
          <rPr>
            <sz val="11"/>
            <color indexed="8"/>
            <rFont val="Helvetica Neue"/>
          </rPr>
          <t>Codex:
Fonte anagrafica: https://www.fantacalcio.it/serie-a/squadre/udinese/bertola/5820/2026-27/italia</t>
        </r>
      </text>
    </comment>
    <comment ref="J198" authorId="0">
      <text>
        <r>
          <rPr>
            <sz val="11"/>
            <color indexed="8"/>
            <rFont val="Helvetica Neue"/>
          </rPr>
          <t>Codex:
Fonte anagrafica: https://www.fantacalcio.it/serie-a/squadre/torino/comert/7526/2026-27/italia</t>
        </r>
      </text>
    </comment>
    <comment ref="J199" authorId="0">
      <text>
        <r>
          <rPr>
            <sz val="11"/>
            <color indexed="8"/>
            <rFont val="Helvetica Neue"/>
          </rPr>
          <t>Codex:
Fonte anagrafica: https://www.fantacalcio.it/serie-a/squadre/monza/goglichidze/6537/2026-27/italia</t>
        </r>
      </text>
    </comment>
    <comment ref="J200" authorId="0">
      <text>
        <r>
          <rPr>
            <sz val="11"/>
            <color indexed="8"/>
            <rFont val="Helvetica Neue"/>
          </rPr>
          <t>Codex:
Fonte anagrafica: https://www.fantacalcio.it/serie-a/squadre/juventus/cabal/6039/2026-27/italia</t>
        </r>
      </text>
    </comment>
    <comment ref="J201" authorId="0">
      <text>
        <r>
          <rPr>
            <sz val="11"/>
            <color indexed="8"/>
            <rFont val="Helvetica Neue"/>
          </rPr>
          <t>Codex:
Fonte anagrafica: https://www.fantacalcio.it/serie-a/squadre/fiorentina/joao-mario/7175/2026-27/italia</t>
        </r>
      </text>
    </comment>
    <comment ref="J202" authorId="0">
      <text>
        <r>
          <rPr>
            <sz val="11"/>
            <color indexed="8"/>
            <rFont val="Helvetica Neue"/>
          </rPr>
          <t>Codex:
Fonte anagrafica: https://www.fantacalcio.it/serie-a/squadre/sassuolo/idzes/6672/2026-27/italia</t>
        </r>
      </text>
    </comment>
    <comment ref="J203" authorId="0">
      <text>
        <r>
          <rPr>
            <sz val="11"/>
            <color indexed="8"/>
            <rFont val="Helvetica Neue"/>
          </rPr>
          <t>Codex:
Fonte anagrafica: https://www.fantacalcio.it/serie-a/squadre/napoli/marin-r/6638/2026-27/italia</t>
        </r>
      </text>
    </comment>
    <comment ref="J204" authorId="0">
      <text>
        <r>
          <rPr>
            <sz val="11"/>
            <color indexed="8"/>
            <rFont val="Helvetica Neue"/>
          </rPr>
          <t>Codex:
Fonte anagrafica: https://www.fantacalcio.it/serie-a/squadre/napoli/favasuli/7563/2026-27/italia</t>
        </r>
      </text>
    </comment>
    <comment ref="J205" authorId="0">
      <text>
        <r>
          <rPr>
            <sz val="11"/>
            <color indexed="8"/>
            <rFont val="Helvetica Neue"/>
          </rPr>
          <t>Codex:
Fonte anagrafica: https://www.fantacalcio.it/serie-a/squadre/lecce/gaspar-k/6632/2026-27/italia</t>
        </r>
      </text>
    </comment>
    <comment ref="J206" authorId="0">
      <text>
        <r>
          <rPr>
            <sz val="11"/>
            <color indexed="8"/>
            <rFont val="Helvetica Neue"/>
          </rPr>
          <t>Codex:
Fonte anagrafica: https://www.fantacalcio.it/serie-a/squadre/lecce/siebert/7240/2026-27/italia</t>
        </r>
      </text>
    </comment>
    <comment ref="J207" authorId="0">
      <text>
        <r>
          <rPr>
            <sz val="11"/>
            <color indexed="8"/>
            <rFont val="Helvetica Neue"/>
          </rPr>
          <t>Codex:
Fonte anagrafica: https://www.fantacalcio.it/serie-a/squadre/lazio/lazzari/2263/2026-27/italia</t>
        </r>
      </text>
    </comment>
    <comment ref="J208" authorId="0">
      <text>
        <r>
          <rPr>
            <sz val="11"/>
            <color indexed="8"/>
            <rFont val="Helvetica Neue"/>
          </rPr>
          <t>Codex:
Fonte anagrafica: https://www.fantacalcio.it/serie-a/squadre/frosinone/cittadini/5757/2026-27/italia</t>
        </r>
      </text>
    </comment>
    <comment ref="J209" authorId="0">
      <text>
        <r>
          <rPr>
            <sz val="11"/>
            <color indexed="8"/>
            <rFont val="Helvetica Neue"/>
          </rPr>
          <t>Codex:
Fonte anagrafica: https://www.fantacalcio.it/serie-a/squadre/monza/ziolkowski/7260/2026-27/italia</t>
        </r>
      </text>
    </comment>
    <comment ref="J210" authorId="0">
      <text>
        <r>
          <rPr>
            <sz val="11"/>
            <color indexed="8"/>
            <rFont val="Helvetica Neue"/>
          </rPr>
          <t>Codex:
Fonte anagrafica: https://www.fantacalcio.it/serie-a/squadre/lazio/patric/327/2026-27/italia</t>
        </r>
      </text>
    </comment>
    <comment ref="J211" authorId="0">
      <text>
        <r>
          <rPr>
            <sz val="11"/>
            <color indexed="8"/>
            <rFont val="Helvetica Neue"/>
          </rPr>
          <t>Codex:
Fonte anagrafica: https://www.fantacalcio.it/serie-a/squadre/bologna/alhassane/7483/2026-27/italia</t>
        </r>
      </text>
    </comment>
    <comment ref="J212" authorId="0">
      <text>
        <r>
          <rPr>
            <sz val="11"/>
            <color indexed="8"/>
            <rFont val="Helvetica Neue"/>
          </rPr>
          <t>Codex:
Fonte anagrafica: https://www.fantacalcio.it/serie-a/squadre/lazio/pellegrini-lu/2728/2026-27/italia</t>
        </r>
      </text>
    </comment>
    <comment ref="J213" authorId="0">
      <text>
        <r>
          <rPr>
            <sz val="11"/>
            <color indexed="8"/>
            <rFont val="Helvetica Neue"/>
          </rPr>
          <t>Codex:
Fonte anagrafica: https://www.fantacalcio.it/serie-a/squadre/lazio/floriani-mussolini/7131/2026-27/italia</t>
        </r>
      </text>
    </comment>
    <comment ref="J214" authorId="0">
      <text>
        <r>
          <rPr>
            <sz val="11"/>
            <color indexed="8"/>
            <rFont val="Helvetica Neue"/>
          </rPr>
          <t>Codex:
Fonte anagrafica: https://www.fantacalcio.it/serie-a/squadre/frosinone/tchato/7605/2026-27/italia</t>
        </r>
      </text>
    </comment>
    <comment ref="J215" authorId="0">
      <text>
        <r>
          <rPr>
            <sz val="11"/>
            <color indexed="8"/>
            <rFont val="Helvetica Neue"/>
          </rPr>
          <t>Codex:
Fonte anagrafica: https://www.fantacalcio.it/serie-a/squadre/milan/terracciano-f/5812/2026-27/italia</t>
        </r>
      </text>
    </comment>
    <comment ref="J216" authorId="0">
      <text>
        <r>
          <rPr>
            <sz val="11"/>
            <color indexed="8"/>
            <rFont val="Helvetica Neue"/>
          </rPr>
          <t>Codex:
Fonte anagrafica: https://www.fantacalcio.it/serie-a/squadre/parma/britschgi/7255/2026-27/italia</t>
        </r>
      </text>
    </comment>
    <comment ref="J217" authorId="0">
      <text>
        <r>
          <rPr>
            <sz val="11"/>
            <color indexed="8"/>
            <rFont val="Helvetica Neue"/>
          </rPr>
          <t>Codex:
Fonte anagrafica: https://www.fantacalcio.it/serie-a/squadre/milan/estupinan/5273/2026-27/italia</t>
        </r>
      </text>
    </comment>
    <comment ref="J218" authorId="0">
      <text>
        <r>
          <rPr>
            <sz val="11"/>
            <color indexed="8"/>
            <rFont val="Helvetica Neue"/>
          </rPr>
          <t>Codex:
Fonte anagrafica: https://www.fantacalcio.it/serie-a/squadre/venezia/halhal/7538/2026-27/italia</t>
        </r>
      </text>
    </comment>
    <comment ref="J219" authorId="0">
      <text>
        <r>
          <rPr>
            <sz val="11"/>
            <color indexed="8"/>
            <rFont val="Helvetica Neue"/>
          </rPr>
          <t>Codex:
Fonte anagrafica: https://www.fantacalcio.it/serie-a/squadre/parma/valenti/5307/2026-27/italia</t>
        </r>
      </text>
    </comment>
    <comment ref="J220" authorId="0">
      <text>
        <r>
          <rPr>
            <sz val="11"/>
            <color indexed="8"/>
            <rFont val="Helvetica Neue"/>
          </rPr>
          <t>Codex:
Fonte anagrafica: https://www.fantacalcio.it/serie-a/squadre/torino/rodriguez-r/2169/2026-27/italia</t>
        </r>
      </text>
    </comment>
    <comment ref="J221" authorId="0">
      <text>
        <r>
          <rPr>
            <sz val="11"/>
            <color indexed="8"/>
            <rFont val="Helvetica Neue"/>
          </rPr>
          <t>Codex:
Fonte anagrafica: https://www.fantacalcio.it/serie-a/squadre/cagliari/idrissi-r/7125/2026-27/italia</t>
        </r>
      </text>
    </comment>
    <comment ref="J222" authorId="0">
      <text>
        <r>
          <rPr>
            <sz val="11"/>
            <color indexed="8"/>
            <rFont val="Helvetica Neue"/>
          </rPr>
          <t>Codex:
Fonte anagrafica: https://www.fantacalcio.it/serie-a/squadre/parma/ndiaye/7202/2026-27/italia</t>
        </r>
      </text>
    </comment>
    <comment ref="J223" authorId="0">
      <text>
        <r>
          <rPr>
            <sz val="11"/>
            <color indexed="8"/>
            <rFont val="Helvetica Neue"/>
          </rPr>
          <t>Codex:
Fonte anagrafica: https://www.fantacalcio.it/serie-a/squadre/napoli/marianucci/6809/2026-27/italia</t>
        </r>
      </text>
    </comment>
    <comment ref="J224" authorId="0">
      <text>
        <r>
          <rPr>
            <sz val="11"/>
            <color indexed="8"/>
            <rFont val="Helvetica Neue"/>
          </rPr>
          <t>Codex:
Fonte anagrafica: https://www.fantacalcio.it/serie-a/squadre/bologna/helland/7326/2026-27/italia</t>
        </r>
      </text>
    </comment>
    <comment ref="J225" authorId="0">
      <text>
        <r>
          <rPr>
            <sz val="11"/>
            <color indexed="8"/>
            <rFont val="Helvetica Neue"/>
          </rPr>
          <t>Codex:
Fonte anagrafica: https://www.fantacalcio.it/serie-a/squadre/venezia/franjic/7478/2026-27/italia</t>
        </r>
      </text>
    </comment>
    <comment ref="J226" authorId="0">
      <text>
        <r>
          <rPr>
            <sz val="11"/>
            <color indexed="8"/>
            <rFont val="Helvetica Neue"/>
          </rPr>
          <t>Codex:
Fonte anagrafica: https://serieaspelare.se/</t>
        </r>
      </text>
    </comment>
    <comment ref="J227" authorId="0">
      <text>
        <r>
          <rPr>
            <sz val="11"/>
            <color indexed="8"/>
            <rFont val="Helvetica Neue"/>
          </rPr>
          <t>Codex:
Fonte anagrafica: https://www.fantacalcio.it/serie-a/squadre/torino/biraghi/252/2026-27/italia</t>
        </r>
      </text>
    </comment>
    <comment ref="J228" authorId="0">
      <text>
        <r>
          <rPr>
            <sz val="11"/>
            <color indexed="8"/>
            <rFont val="Helvetica Neue"/>
          </rPr>
          <t>Codex:
Fonte anagrafica: https://www.fantacalcio.it/serie-a/squadre/udinese/ebosse/5994/2026-27/italia</t>
        </r>
      </text>
    </comment>
    <comment ref="J229" authorId="0">
      <text>
        <r>
          <rPr>
            <sz val="11"/>
            <color indexed="8"/>
            <rFont val="Helvetica Neue"/>
          </rPr>
          <t>Codex:
Fonte anagrafica: https://www.fantacalcio.it/serie-a/squadre/sassuolo/odenthal/7154/2026-27/italia</t>
        </r>
      </text>
    </comment>
    <comment ref="J230" authorId="0">
      <text>
        <r>
          <rPr>
            <sz val="11"/>
            <color indexed="8"/>
            <rFont val="Helvetica Neue"/>
          </rPr>
          <t>Codex:
Fonte anagrafica: https://www.fantacalcio.it/serie-a/squadre/genoa/puczka/7413/2026-27/italia</t>
        </r>
      </text>
    </comment>
    <comment ref="J231" authorId="0">
      <text>
        <r>
          <rPr>
            <sz val="11"/>
            <color indexed="8"/>
            <rFont val="Helvetica Neue"/>
          </rPr>
          <t>Codex:
Fonte anagrafica: https://www.fantacalcio.it/serie-a/squadre/como/goldaniga/418/2026-27/italia</t>
        </r>
      </text>
    </comment>
    <comment ref="J232" authorId="0">
      <text>
        <r>
          <rPr>
            <sz val="11"/>
            <color indexed="8"/>
            <rFont val="Helvetica Neue"/>
          </rPr>
          <t>Codex:
Fonte anagrafica: https://www.fantacalcio.it/serie-a/squadre/frosinone/akpoguma/7540/2026-27/italia</t>
        </r>
      </text>
    </comment>
    <comment ref="J233" authorId="0">
      <text>
        <r>
          <rPr>
            <sz val="11"/>
            <color indexed="8"/>
            <rFont val="Helvetica Neue"/>
          </rPr>
          <t>Codex:
Fonte anagrafica: https://www.fantacalcio.it/serie-a/squadre/venezia/sagrado/6681/2026-27/italia</t>
        </r>
      </text>
    </comment>
    <comment ref="J234" authorId="0">
      <text>
        <r>
          <rPr>
            <sz val="11"/>
            <color indexed="8"/>
            <rFont val="Helvetica Neue"/>
          </rPr>
          <t>Codex:
Fonte anagrafica: https://www.fantacalcio.it/serie-a/squadre/roma/lulli/7599/2026-27/italia</t>
        </r>
      </text>
    </comment>
    <comment ref="J235" authorId="0">
      <text>
        <r>
          <rPr>
            <sz val="11"/>
            <color indexed="8"/>
            <rFont val="Helvetica Neue"/>
          </rPr>
          <t>Codex:
Fonte anagrafica: https://www.fantacalcio.it/serie-a/squadre/udinese/palma/6925/2026-27/italia</t>
        </r>
      </text>
    </comment>
    <comment ref="J236" authorId="0">
      <text>
        <r>
          <rPr>
            <sz val="11"/>
            <color indexed="8"/>
            <rFont val="Helvetica Neue"/>
          </rPr>
          <t>Codex:
Fonte anagrafica: https://www.fantacalcio.it/serie-a/squadre/udinese/zanoli/5527/2026-27/italia</t>
        </r>
      </text>
    </comment>
    <comment ref="J237" authorId="0">
      <text>
        <r>
          <rPr>
            <sz val="11"/>
            <color indexed="8"/>
            <rFont val="Helvetica Neue"/>
          </rPr>
          <t>Codex:
Fonte anagrafica: https://www.fantacalcio.it/serie-a/squadre/genoa/otoa/6977/2026-27/italia</t>
        </r>
      </text>
    </comment>
    <comment ref="J238" authorId="0">
      <text>
        <r>
          <rPr>
            <sz val="11"/>
            <color indexed="8"/>
            <rFont val="Helvetica Neue"/>
          </rPr>
          <t>Codex:
Fonte anagrafica: https://www.fantacalcio.it/serie-a/squadre/venezia/mazzocchi/5481/2026-27/italia</t>
        </r>
      </text>
    </comment>
    <comment ref="J239" authorId="0">
      <text>
        <r>
          <rPr>
            <sz val="11"/>
            <color indexed="8"/>
            <rFont val="Helvetica Neue"/>
          </rPr>
          <t>Codex:
Fonte anagrafica: https://www.fantacalcio.it/serie-a/squadre/sassuolo/candè/6985/2026-27/italia</t>
        </r>
      </text>
    </comment>
    <comment ref="J240" authorId="0">
      <text>
        <r>
          <rPr>
            <sz val="11"/>
            <color indexed="8"/>
            <rFont val="Helvetica Neue"/>
          </rPr>
          <t>Codex:
Fonte anagrafica: https://www.fantacalcio.it/serie-a/squadre/genoa/mitaj/7537/2026-27/italia</t>
        </r>
      </text>
    </comment>
    <comment ref="J241" authorId="0">
      <text>
        <r>
          <rPr>
            <sz val="11"/>
            <color indexed="8"/>
            <rFont val="Helvetica Neue"/>
          </rPr>
          <t>Codex:
Fonte anagrafica: https://www.fantacalcio.it/serie-a/squadre/bologna/casale/5498/2026-27/italia</t>
        </r>
      </text>
    </comment>
    <comment ref="J242" authorId="0">
      <text>
        <r>
          <rPr>
            <sz val="11"/>
            <color indexed="8"/>
            <rFont val="Helvetica Neue"/>
          </rPr>
          <t>Codex:
Fonte anagrafica: https://www.fantacalcio.it/serie-a/squadre/lecce/jean/6883/2026-27/italia</t>
        </r>
      </text>
    </comment>
    <comment ref="J243" authorId="0">
      <text>
        <r>
          <rPr>
            <sz val="11"/>
            <color indexed="8"/>
            <rFont val="Helvetica Neue"/>
          </rPr>
          <t>Codex:
Fonte anagrafica: https://www.fantacalcio.it/serie-a/squadre/parma/carboni-f/6149/2026-27/italia</t>
        </r>
      </text>
    </comment>
    <comment ref="J244" authorId="0">
      <text>
        <r>
          <rPr>
            <sz val="11"/>
            <color indexed="8"/>
            <rFont val="Helvetica Neue"/>
          </rPr>
          <t>Codex:
Fonte anagrafica: https://www.fantacalcio.it/serie-a/squadre/monza/kouadio/7238/2026-27/italia</t>
        </r>
      </text>
    </comment>
    <comment ref="J245" authorId="0">
      <text>
        <r>
          <rPr>
            <sz val="11"/>
            <color indexed="8"/>
            <rFont val="Helvetica Neue"/>
          </rPr>
          <t>Codex:
Fonte anagrafica: https://www.fantacalcio.it/serie-a/squadre/venezia/sverko/6673/2026-27/italia</t>
        </r>
      </text>
    </comment>
    <comment ref="J246" authorId="0">
      <text>
        <r>
          <rPr>
            <sz val="11"/>
            <color indexed="8"/>
            <rFont val="Helvetica Neue"/>
          </rPr>
          <t>Codex:
Fonte anagrafica: https://www.fantacalcio.it/serie-a/squadre/venezia/moreno-m/6890/2026-27/italia</t>
        </r>
      </text>
    </comment>
    <comment ref="J247" authorId="0">
      <text>
        <r>
          <rPr>
            <sz val="11"/>
            <color indexed="8"/>
            <rFont val="Helvetica Neue"/>
          </rPr>
          <t>Codex:
Fonte anagrafica: https://www.fantacalcio.it/serie-a/squadre/cagliari/kofler/7532/2026-27/italia</t>
        </r>
      </text>
    </comment>
    <comment ref="J248" authorId="0">
      <text>
        <r>
          <rPr>
            <sz val="11"/>
            <color indexed="8"/>
            <rFont val="Helvetica Neue"/>
          </rPr>
          <t>Codex:
Fonte anagrafica: https://www.fantacalcio.it/serie-a/squadre/monza/lucchesi/6659/2026-27/italia</t>
        </r>
      </text>
    </comment>
    <comment ref="J249" authorId="0">
      <text>
        <r>
          <rPr>
            <sz val="11"/>
            <color indexed="8"/>
            <rFont val="Helvetica Neue"/>
          </rPr>
          <t>Codex:
Fonte anagrafica: https://www.fantacalcio.it/serie-a/squadre/lecce/ndaba/7182/2026-27/italia</t>
        </r>
      </text>
    </comment>
    <comment ref="J250" authorId="0">
      <text>
        <r>
          <rPr>
            <sz val="11"/>
            <color indexed="8"/>
            <rFont val="Helvetica Neue"/>
          </rPr>
          <t>Codex:
Fonte anagrafica: https://www.fantacalcio.it/serie-a/squadre/bologna/de-silvestri/487/2026-27/italia</t>
        </r>
      </text>
    </comment>
    <comment ref="J251" authorId="0">
      <text>
        <r>
          <rPr>
            <sz val="11"/>
            <color indexed="8"/>
            <rFont val="Helvetica Neue"/>
          </rPr>
          <t>Codex:
Fonte anagrafica: https://www.fantacalcio.it/serie-a/squadre/milan/diawara-s/7525/2026-27/italia</t>
        </r>
      </text>
    </comment>
    <comment ref="J252" authorId="0">
      <text>
        <r>
          <rPr>
            <sz val="11"/>
            <color indexed="8"/>
            <rFont val="Helvetica Neue"/>
          </rPr>
          <t>Codex:
Fonte anagrafica: https://www.fantacalcio.it/serie-a/squadre/frosinone/omar-fayed/7553/2026-27/italia</t>
        </r>
      </text>
    </comment>
    <comment ref="J253" authorId="0">
      <text>
        <r>
          <rPr>
            <sz val="11"/>
            <color indexed="8"/>
            <rFont val="Helvetica Neue"/>
          </rPr>
          <t>Codex:
Fonte anagrafica: https://www.fantacalcio.it/serie-a/squadre/udinese/arizala/7312/2026-27/italia</t>
        </r>
      </text>
    </comment>
    <comment ref="J254" authorId="0">
      <text>
        <r>
          <rPr>
            <sz val="11"/>
            <color indexed="8"/>
            <rFont val="Helvetica Neue"/>
          </rPr>
          <t>Codex:
Fonte anagrafica: https://www.fantacalcio.it/serie-a/squadre/parma/drobnic/7615/2026-27/italia</t>
        </r>
      </text>
    </comment>
    <comment ref="J255" authorId="0">
      <text>
        <r>
          <rPr>
            <sz val="11"/>
            <color indexed="8"/>
            <rFont val="Helvetica Neue"/>
          </rPr>
          <t>Codex:
Fonte anagrafica: https://www.fantacalcio.it/serie-a/squadre/venezia/gomes/7454/2026-27/italia</t>
        </r>
      </text>
    </comment>
    <comment ref="J256" authorId="0">
      <text>
        <r>
          <rPr>
            <sz val="11"/>
            <color indexed="8"/>
            <rFont val="Helvetica Neue"/>
          </rPr>
          <t>Codex:
Fonte anagrafica: https://www.fantacalcio.it/serie-a/squadre/frosinone/el-azzouzi-a/7456/2026-27/italia</t>
        </r>
      </text>
    </comment>
    <comment ref="J257" authorId="0">
      <text>
        <r>
          <rPr>
            <sz val="11"/>
            <color indexed="8"/>
            <rFont val="Helvetica Neue"/>
          </rPr>
          <t>Codex:
Fonte anagrafica: https://www.transfermarkt.com/rufai-mohammed/profil/spieler/1321938</t>
        </r>
      </text>
    </comment>
    <comment ref="J258" authorId="0">
      <text>
        <r>
          <rPr>
            <sz val="11"/>
            <color indexed="8"/>
            <rFont val="Helvetica Neue"/>
          </rPr>
          <t>Codex:
Fonte anagrafica: https://www.fantacalcio.it/serie-a/squadre/frosinone/amey/5424/2026-27/italia</t>
        </r>
      </text>
    </comment>
    <comment ref="J259" authorId="0">
      <text>
        <r>
          <rPr>
            <sz val="11"/>
            <color indexed="8"/>
            <rFont val="Helvetica Neue"/>
          </rPr>
          <t>Codex:
Fonte anagrafica: https://www.fantacalcio.it/serie-a/squadre/monza/antov/5399/2026-27/italia</t>
        </r>
      </text>
    </comment>
    <comment ref="J260" authorId="0">
      <text>
        <r>
          <rPr>
            <sz val="11"/>
            <color indexed="8"/>
            <rFont val="Helvetica Neue"/>
          </rPr>
          <t>Codex:
Fonte anagrafica: https://www.fantacalcio.it/serie-a/squadre/udinese/abankwah/6021/2026-27/italia</t>
        </r>
      </text>
    </comment>
    <comment ref="J261" authorId="0">
      <text>
        <r>
          <rPr>
            <sz val="11"/>
            <color indexed="8"/>
            <rFont val="Helvetica Neue"/>
          </rPr>
          <t>Codex:
Fonte anagrafica: https://www.fantacalcio.it/serie-a/squadre/juventus/rugani/294/2026-27/italia</t>
        </r>
      </text>
    </comment>
    <comment ref="J262" authorId="0">
      <text>
        <r>
          <rPr>
            <sz val="11"/>
            <color indexed="8"/>
            <rFont val="Helvetica Neue"/>
          </rPr>
          <t>Codex:
Fonte anagrafica: https://www.fantacalcio.it/serie-a/squadre/sassuolo/pieragnolo/7156/2026-27/italia</t>
        </r>
      </text>
    </comment>
    <comment ref="J263" authorId="0">
      <text>
        <r>
          <rPr>
            <sz val="11"/>
            <color indexed="8"/>
            <rFont val="Helvetica Neue"/>
          </rPr>
          <t>Codex:
Fonte anagrafica: https://www.fantacalcio.it/serie-a/squadre/lecce/dembelè-a/6826/2026-27/italia</t>
        </r>
      </text>
    </comment>
    <comment ref="J264" authorId="0">
      <text>
        <r>
          <rPr>
            <sz val="11"/>
            <color indexed="8"/>
            <rFont val="Helvetica Neue"/>
          </rPr>
          <t>Codex:
Fonte anagrafica: https://www.fantacalcio.it/serie-a/squadre/monza/bakoune/7476/2026-27/italia</t>
        </r>
      </text>
    </comment>
    <comment ref="J265" authorId="0">
      <text>
        <r>
          <rPr>
            <sz val="11"/>
            <color indexed="8"/>
            <rFont val="Helvetica Neue"/>
          </rPr>
          <t>Codex:
Fonte anagrafica: https://serieaspelare.se/</t>
        </r>
      </text>
    </comment>
    <comment ref="J266" authorId="0">
      <text>
        <r>
          <rPr>
            <sz val="11"/>
            <color indexed="8"/>
            <rFont val="Helvetica Neue"/>
          </rPr>
          <t>Codex:
Fonte anagrafica: https://www.fantacalcio.it/serie-a/squadre/roma/vaz/6981/2026-27/italia</t>
        </r>
      </text>
    </comment>
    <comment ref="J267" authorId="0">
      <text>
        <r>
          <rPr>
            <sz val="11"/>
            <color indexed="8"/>
            <rFont val="Helvetica Neue"/>
          </rPr>
          <t>Codex:
Fonte anagrafica: https://www.fantacalcio.it/serie-a/squadre/monza/maye/7604/2026-27/italia</t>
        </r>
      </text>
    </comment>
    <comment ref="J268" authorId="0">
      <text>
        <r>
          <rPr>
            <sz val="11"/>
            <color indexed="8"/>
            <rFont val="Helvetica Neue"/>
          </rPr>
          <t>Codex:
Fonte anagrafica: https://serieaspelare.se/</t>
        </r>
      </text>
    </comment>
    <comment ref="J269" authorId="0">
      <text>
        <r>
          <rPr>
            <sz val="11"/>
            <color indexed="8"/>
            <rFont val="Helvetica Neue"/>
          </rPr>
          <t>Codex:
Fonte anagrafica: https://www.transfermarkt.com/cristiano-de-paoli/profil/spieler/1078795</t>
        </r>
      </text>
    </comment>
    <comment ref="J270" authorId="0">
      <text>
        <r>
          <rPr>
            <sz val="11"/>
            <color indexed="8"/>
            <rFont val="Helvetica Neue"/>
          </rPr>
          <t>Codex:
Fonte anagrafica: https://www.transfermarkt.com/junior-ligue/profil/spieler/862744</t>
        </r>
      </text>
    </comment>
    <comment ref="J271" authorId="0">
      <text>
        <r>
          <rPr>
            <sz val="11"/>
            <color indexed="8"/>
            <rFont val="Helvetica Neue"/>
          </rPr>
          <t>Codex:
Fonte anagrafica: https://serieaspelare.se/</t>
        </r>
      </text>
    </comment>
    <comment ref="J272" authorId="0">
      <text>
        <r>
          <rPr>
            <sz val="11"/>
            <color indexed="8"/>
            <rFont val="Helvetica Neue"/>
          </rPr>
          <t>Codex:
Fonte anagrafica: https://serieaspelare.se/</t>
        </r>
      </text>
    </comment>
    <comment ref="J273" authorId="0">
      <text>
        <r>
          <rPr>
            <sz val="11"/>
            <color indexed="8"/>
            <rFont val="Helvetica Neue"/>
          </rPr>
          <t>Codex:
Fonte anagrafica: https://serieaspelare.se/</t>
        </r>
      </text>
    </comment>
    <comment ref="J274" authorId="0">
      <text>
        <r>
          <rPr>
            <sz val="11"/>
            <color indexed="8"/>
            <rFont val="Helvetica Neue"/>
          </rPr>
          <t>Codex:
Fonte anagrafica: https://serieaspelare.se/</t>
        </r>
      </text>
    </comment>
    <comment ref="J275" authorId="0">
      <text>
        <r>
          <rPr>
            <sz val="11"/>
            <color indexed="8"/>
            <rFont val="Helvetica Neue"/>
          </rPr>
          <t>Codex:
Fonte anagrafica: https://serieaspelare.se/</t>
        </r>
      </text>
    </comment>
    <comment ref="J276" authorId="0">
      <text>
        <r>
          <rPr>
            <sz val="11"/>
            <color indexed="8"/>
            <rFont val="Helvetica Neue"/>
          </rPr>
          <t>Codex:
Fonte anagrafica: https://www.fantacalcio.it/serie-a/squadre/inter/calhanoglu/2194/2026-27/italia</t>
        </r>
      </text>
    </comment>
    <comment ref="J277" authorId="0">
      <text>
        <r>
          <rPr>
            <sz val="11"/>
            <color indexed="8"/>
            <rFont val="Helvetica Neue"/>
          </rPr>
          <t>Codex:
Fonte anagrafica: https://www.fantacalcio.it/serie-a/squadre/como/paz-n/6875/2026-27/italia</t>
        </r>
      </text>
    </comment>
    <comment ref="J278" authorId="0">
      <text>
        <r>
          <rPr>
            <sz val="11"/>
            <color indexed="8"/>
            <rFont val="Helvetica Neue"/>
          </rPr>
          <t>Codex:
Fonte anagrafica: https://www.fantacalcio.it/serie-a/squadre/torino/vlasic/5687/2026-27/italia</t>
        </r>
      </text>
    </comment>
    <comment ref="J279" authorId="0">
      <text>
        <r>
          <rPr>
            <sz val="11"/>
            <color indexed="8"/>
            <rFont val="Helvetica Neue"/>
          </rPr>
          <t>Codex:
Fonte anagrafica: https://www.fantacalcio.it/serie-a/squadre/milan/rabiot/2379/2026-27/italia</t>
        </r>
      </text>
    </comment>
    <comment ref="J280" authorId="0">
      <text>
        <r>
          <rPr>
            <sz val="11"/>
            <color indexed="8"/>
            <rFont val="Helvetica Neue"/>
          </rPr>
          <t>Codex:
Fonte anagrafica: https://www.fantacalcio.it/serie-a/squadre/como/baturina/7126/2026-27/italia</t>
        </r>
      </text>
    </comment>
    <comment ref="J281" authorId="0">
      <text>
        <r>
          <rPr>
            <sz val="11"/>
            <color indexed="8"/>
            <rFont val="Helvetica Neue"/>
          </rPr>
          <t>Codex:
Fonte anagrafica: https://www.fantacalcio.it/serie-a/squadre/milan/pulisic/2423/2026-27/italia</t>
        </r>
      </text>
    </comment>
    <comment ref="J282" authorId="0">
      <text>
        <r>
          <rPr>
            <sz val="11"/>
            <color indexed="8"/>
            <rFont val="Helvetica Neue"/>
          </rPr>
          <t>Codex:
Fonte anagrafica: https://www.fantacalcio.it/serie-a/squadre/bologna/orsolini/2167/2026-27/italia</t>
        </r>
      </text>
    </comment>
    <comment ref="J283" authorId="0">
      <text>
        <r>
          <rPr>
            <sz val="11"/>
            <color indexed="8"/>
            <rFont val="Helvetica Neue"/>
          </rPr>
          <t>Codex:
Fonte anagrafica: https://www.fantacalcio.it/serie-a/squadre/inter/barella/1870/2026-27/italia</t>
        </r>
      </text>
    </comment>
    <comment ref="J284" authorId="0">
      <text>
        <r>
          <rPr>
            <sz val="11"/>
            <color indexed="8"/>
            <rFont val="Helvetica Neue"/>
          </rPr>
          <t>Codex:
Fonte anagrafica: https://www.fantacalcio.it/serie-a/squadre/napoli/mctominay/4777/2026-27/italia</t>
        </r>
      </text>
    </comment>
    <comment ref="J285" authorId="0">
      <text>
        <r>
          <rPr>
            <sz val="11"/>
            <color indexed="8"/>
            <rFont val="Helvetica Neue"/>
          </rPr>
          <t>Codex:
Fonte anagrafica: https://www.fantacalcio.it/serie-a/squadre/napoli/de-bruyne/2517/2026-27/italia</t>
        </r>
      </text>
    </comment>
    <comment ref="J286" authorId="0">
      <text>
        <r>
          <rPr>
            <sz val="11"/>
            <color indexed="8"/>
            <rFont val="Helvetica Neue"/>
          </rPr>
          <t>Codex:
Fonte anagrafica: https://www.fantacalcio.it/serie-a/squadre/bologna/bernardeschi/184/2026-27/italia</t>
        </r>
      </text>
    </comment>
    <comment ref="J287" authorId="0">
      <text>
        <r>
          <rPr>
            <sz val="11"/>
            <color indexed="8"/>
            <rFont val="Helvetica Neue"/>
          </rPr>
          <t>Codex:
Fonte anagrafica: https://www.fantacalcio.it/serie-a/squadre/como/da-cunha/5559/2026-27/italia</t>
        </r>
      </text>
    </comment>
    <comment ref="J288" authorId="0">
      <text>
        <r>
          <rPr>
            <sz val="11"/>
            <color indexed="8"/>
            <rFont val="Helvetica Neue"/>
          </rPr>
          <t>Codex:
Fonte anagrafica: https://www.fantacalcio.it/serie-a/squadre/fiorentina/atta/6908/2026-27/italia</t>
        </r>
      </text>
    </comment>
    <comment ref="J289" authorId="0">
      <text>
        <r>
          <rPr>
            <sz val="11"/>
            <color indexed="8"/>
            <rFont val="Helvetica Neue"/>
          </rPr>
          <t>Codex:
Fonte anagrafica: https://www.fantacalcio.it/serie-a/squadre/roma/konè-m/5589/2026-27/italia</t>
        </r>
      </text>
    </comment>
    <comment ref="J290" authorId="0">
      <text>
        <r>
          <rPr>
            <sz val="11"/>
            <color indexed="8"/>
            <rFont val="Helvetica Neue"/>
          </rPr>
          <t>Codex:
Fonte anagrafica: https://www.fantacalcio.it/serie-a/squadre/udinese/zaniolo/2766/2026-27/italia</t>
        </r>
      </text>
    </comment>
    <comment ref="J291" authorId="0">
      <text>
        <r>
          <rPr>
            <sz val="11"/>
            <color indexed="8"/>
            <rFont val="Helvetica Neue"/>
          </rPr>
          <t>Codex:
Fonte anagrafica: https://www.fantacalcio.it/serie-a/squadre/milan/modric/2606/2026-27/italia</t>
        </r>
      </text>
    </comment>
    <comment ref="J292" authorId="0">
      <text>
        <r>
          <rPr>
            <sz val="11"/>
            <color indexed="8"/>
            <rFont val="Helvetica Neue"/>
          </rPr>
          <t>Codex:
Fonte anagrafica: https://www.fantacalcio.it/serie-a/squadre/napoli/santos-a/7351/2026-27/italia</t>
        </r>
      </text>
    </comment>
    <comment ref="J293" authorId="0">
      <text>
        <r>
          <rPr>
            <sz val="11"/>
            <color indexed="8"/>
            <rFont val="Helvetica Neue"/>
          </rPr>
          <t>Codex:
Fonte anagrafica: https://www.fantacalcio.it/serie-a/squadre/lazio/zaccagni/632/2026-27/italia</t>
        </r>
      </text>
    </comment>
    <comment ref="J294" authorId="0">
      <text>
        <r>
          <rPr>
            <sz val="11"/>
            <color indexed="8"/>
            <rFont val="Helvetica Neue"/>
          </rPr>
          <t>Codex:
Fonte anagrafica: https://www.fantacalcio.it/serie-a/squadre/juventus/conceicao/6884/2026-27/italia</t>
        </r>
      </text>
    </comment>
    <comment ref="J295" authorId="0">
      <text>
        <r>
          <rPr>
            <sz val="11"/>
            <color indexed="8"/>
            <rFont val="Helvetica Neue"/>
          </rPr>
          <t>Codex:
Fonte anagrafica: https://www.fantacalcio.it/serie-a/squadre/atalanta/ederson-d-s/5792/2026-27/italia</t>
        </r>
      </text>
    </comment>
    <comment ref="J296" authorId="0">
      <text>
        <r>
          <rPr>
            <sz val="11"/>
            <color indexed="8"/>
            <rFont val="Helvetica Neue"/>
          </rPr>
          <t>Codex:
Fonte anagrafica: https://www.fantacalcio.it/serie-a/squadre/juventus/locatelli/827/2026-27/italia</t>
        </r>
      </text>
    </comment>
    <comment ref="J297" authorId="0">
      <text>
        <r>
          <rPr>
            <sz val="11"/>
            <color indexed="8"/>
            <rFont val="Helvetica Neue"/>
          </rPr>
          <t>Codex:
Fonte anagrafica: https://www.fantacalcio.it/serie-a/squadre/lazio/taylor-k/7314/2026-27/italia</t>
        </r>
      </text>
    </comment>
    <comment ref="J298" authorId="0">
      <text>
        <r>
          <rPr>
            <sz val="11"/>
            <color indexed="8"/>
            <rFont val="Helvetica Neue"/>
          </rPr>
          <t>Codex:
Fonte anagrafica: https://www.fantacalcio.it/serie-a/squadre/udinese/ekkelenkamp/6684/2026-27/italia</t>
        </r>
      </text>
    </comment>
    <comment ref="J299" authorId="0">
      <text>
        <r>
          <rPr>
            <sz val="11"/>
            <color indexed="8"/>
            <rFont val="Helvetica Neue"/>
          </rPr>
          <t>Codex:
Fonte anagrafica: https://www.fantacalcio.it/serie-a/squadre/inter/zielinski/152/2026-27/italia</t>
        </r>
      </text>
    </comment>
    <comment ref="J300" authorId="0">
      <text>
        <r>
          <rPr>
            <sz val="11"/>
            <color indexed="8"/>
            <rFont val="Helvetica Neue"/>
          </rPr>
          <t>Codex:
Fonte anagrafica: https://www.fantacalcio.it/serie-a/squadre/como/perrone/6151/2026-27/italia</t>
        </r>
      </text>
    </comment>
    <comment ref="J301" authorId="0">
      <text>
        <r>
          <rPr>
            <sz val="11"/>
            <color indexed="8"/>
            <rFont val="Helvetica Neue"/>
          </rPr>
          <t>Codex:
Fonte anagrafica: https://www.fantacalcio.it/serie-a/squadre/fiorentina/mastantuono/7078/2026-27/italia</t>
        </r>
      </text>
    </comment>
    <comment ref="J302" authorId="0">
      <text>
        <r>
          <rPr>
            <sz val="11"/>
            <color indexed="8"/>
            <rFont val="Helvetica Neue"/>
          </rPr>
          <t>Codex:
Fonte anagrafica: https://www.fantacalcio.it/serie-a/squadre/juventus/mckennie/4973/2026-27/italia</t>
        </r>
      </text>
    </comment>
    <comment ref="J303" authorId="0">
      <text>
        <r>
          <rPr>
            <sz val="11"/>
            <color indexed="8"/>
            <rFont val="Helvetica Neue"/>
          </rPr>
          <t>Codex:
Fonte anagrafica: https://www.fantacalcio.it/serie-a/squadre/roma/cristante/779/2026-27/italia</t>
        </r>
      </text>
    </comment>
    <comment ref="J304" authorId="0">
      <text>
        <r>
          <rPr>
            <sz val="11"/>
            <color indexed="8"/>
            <rFont val="Helvetica Neue"/>
          </rPr>
          <t>Codex:
Fonte anagrafica: https://www.fantacalcio.it/serie-a/squadre/sassuolo/thorstvedt/5844/2026-27/italia</t>
        </r>
      </text>
    </comment>
    <comment ref="J305" authorId="0">
      <text>
        <r>
          <rPr>
            <sz val="11"/>
            <color indexed="8"/>
            <rFont val="Helvetica Neue"/>
          </rPr>
          <t>Codex:
Fonte anagrafica: https://www.fantacalcio.it/serie-a/squadre/milan/saelemaekers/4892/2026-27/italia</t>
        </r>
      </text>
    </comment>
    <comment ref="J306" authorId="0">
      <text>
        <r>
          <rPr>
            <sz val="11"/>
            <color indexed="8"/>
            <rFont val="Helvetica Neue"/>
          </rPr>
          <t>Codex:
Fonte anagrafica: https://www.fantacalcio.it/serie-a/squadre/inter/jones-c/5172/2026-27/italia</t>
        </r>
      </text>
    </comment>
    <comment ref="J307" authorId="0">
      <text>
        <r>
          <rPr>
            <sz val="11"/>
            <color indexed="8"/>
            <rFont val="Helvetica Neue"/>
          </rPr>
          <t>Codex:
Fonte anagrafica: https://www.fantacalcio.it/serie-a/squadre/lazio/frattesi/2848/2026-27/italia</t>
        </r>
      </text>
    </comment>
    <comment ref="J308" authorId="0">
      <text>
        <r>
          <rPr>
            <sz val="11"/>
            <color indexed="8"/>
            <rFont val="Helvetica Neue"/>
          </rPr>
          <t>Codex:
Fonte anagrafica: https://www.fantacalcio.it/serie-a/squadre/napoli/zambo-anguissa/4220/2026-27/italia</t>
        </r>
      </text>
    </comment>
    <comment ref="J309" authorId="0">
      <text>
        <r>
          <rPr>
            <sz val="11"/>
            <color indexed="8"/>
            <rFont val="Helvetica Neue"/>
          </rPr>
          <t>Codex:
Fonte anagrafica: https://www.fantacalcio.it/serie-a/squadre/lazio/gudmundsson-a/5800/2026-27/italia</t>
        </r>
      </text>
    </comment>
    <comment ref="J310" authorId="0">
      <text>
        <r>
          <rPr>
            <sz val="11"/>
            <color indexed="8"/>
            <rFont val="Helvetica Neue"/>
          </rPr>
          <t>Codex:
Fonte anagrafica: https://www.fantacalcio.it/serie-a/squadre/torino/mandragora/1933/2026-27/italia</t>
        </r>
      </text>
    </comment>
    <comment ref="J311" authorId="0">
      <text>
        <r>
          <rPr>
            <sz val="11"/>
            <color indexed="8"/>
            <rFont val="Helvetica Neue"/>
          </rPr>
          <t>Codex:
Fonte anagrafica: https://www.fantacalcio.it/serie-a/squadre/milan/moreira/6372/2026-27/italia</t>
        </r>
      </text>
    </comment>
    <comment ref="J312" authorId="0">
      <text>
        <r>
          <rPr>
            <sz val="11"/>
            <color indexed="8"/>
            <rFont val="Helvetica Neue"/>
          </rPr>
          <t>Codex:
Fonte anagrafica: https://www.fantacalcio.it/serie-a/squadre/parma/bernabè/6666/2026-27/italia</t>
        </r>
      </text>
    </comment>
    <comment ref="J313" authorId="0">
      <text>
        <r>
          <rPr>
            <sz val="11"/>
            <color indexed="8"/>
            <rFont val="Helvetica Neue"/>
          </rPr>
          <t>Codex:
Fonte anagrafica: https://www.fantacalcio.it/serie-a/squadre/milan/chukwueze/4856/2026-27/italia</t>
        </r>
      </text>
    </comment>
    <comment ref="J314" authorId="0">
      <text>
        <r>
          <rPr>
            <sz val="11"/>
            <color indexed="8"/>
            <rFont val="Helvetica Neue"/>
          </rPr>
          <t>Codex:
Fonte anagrafica: https://www.fantacalcio.it/serie-a/squadre/napoli/politano/536/2026-27/italia</t>
        </r>
      </text>
    </comment>
    <comment ref="J315" authorId="0">
      <text>
        <r>
          <rPr>
            <sz val="11"/>
            <color indexed="8"/>
            <rFont val="Helvetica Neue"/>
          </rPr>
          <t>Codex:
Fonte anagrafica: https://www.fantacalcio.it/serie-a/squadre/roma/mora/7556/2026-27/italia</t>
        </r>
      </text>
    </comment>
    <comment ref="J316" authorId="0">
      <text>
        <r>
          <rPr>
            <sz val="11"/>
            <color indexed="8"/>
            <rFont val="Helvetica Neue"/>
          </rPr>
          <t>Codex:
Fonte anagrafica: https://www.fantacalcio.it/serie-a/squadre/napoli/lobotka/4287/2026-27/italia</t>
        </r>
      </text>
    </comment>
    <comment ref="J317" authorId="0">
      <text>
        <r>
          <rPr>
            <sz val="11"/>
            <color indexed="8"/>
            <rFont val="Helvetica Neue"/>
          </rPr>
          <t>Codex:
Fonte anagrafica: https://www.fantacalcio.it/serie-a/squadre/udinese/karlstrom/6680/2026-27/italia</t>
        </r>
      </text>
    </comment>
    <comment ref="J318" authorId="0">
      <text>
        <r>
          <rPr>
            <sz val="11"/>
            <color indexed="8"/>
            <rFont val="Helvetica Neue"/>
          </rPr>
          <t>Codex:
Fonte anagrafica: https://www.fantacalcio.it/serie-a/squadre/frosinone/calò/7472/2026-27/italia</t>
        </r>
      </text>
    </comment>
    <comment ref="J319" authorId="0">
      <text>
        <r>
          <rPr>
            <sz val="11"/>
            <color indexed="8"/>
            <rFont val="Helvetica Neue"/>
          </rPr>
          <t>Codex:
Fonte anagrafica: https://www.fantacalcio.it/serie-a/squadre/como/caqueret/5036/2026-27/italia</t>
        </r>
      </text>
    </comment>
    <comment ref="J320" authorId="0">
      <text>
        <r>
          <rPr>
            <sz val="11"/>
            <color indexed="8"/>
            <rFont val="Helvetica Neue"/>
          </rPr>
          <t>Codex:
Fonte anagrafica: https://www.fantacalcio.it/serie-a/squadre/lecce/pierotti/6549/2026-27/italia</t>
        </r>
      </text>
    </comment>
    <comment ref="J321" authorId="0">
      <text>
        <r>
          <rPr>
            <sz val="11"/>
            <color indexed="8"/>
            <rFont val="Helvetica Neue"/>
          </rPr>
          <t>Codex:
Fonte anagrafica: https://www.fantacalcio.it/serie-a/squadre/roma/pellegrini-lo/530/2026-27/italia</t>
        </r>
      </text>
    </comment>
    <comment ref="J322" authorId="0">
      <text>
        <r>
          <rPr>
            <sz val="11"/>
            <color indexed="8"/>
            <rFont val="Helvetica Neue"/>
          </rPr>
          <t>Codex:
Fonte anagrafica: https://www.fantacalcio.it/serie-a/squadre/atalanta/kessiè/1850/2026-27/italia</t>
        </r>
      </text>
    </comment>
    <comment ref="J323" authorId="0">
      <text>
        <r>
          <rPr>
            <sz val="11"/>
            <color indexed="8"/>
            <rFont val="Helvetica Neue"/>
          </rPr>
          <t>Codex:
Fonte anagrafica: https://www.fantacalcio.it/serie-a/squadre/fiorentina/goncalves-p/7625/2026-27/italia</t>
        </r>
      </text>
    </comment>
    <comment ref="J324" authorId="0">
      <text>
        <r>
          <rPr>
            <sz val="11"/>
            <color indexed="8"/>
            <rFont val="Helvetica Neue"/>
          </rPr>
          <t>Codex:
Fonte anagrafica: https://www.fantacalcio.it/serie-a/squadre/roma/pisilli/6190/2026-27/italia</t>
        </r>
      </text>
    </comment>
    <comment ref="J325" authorId="0">
      <text>
        <r>
          <rPr>
            <sz val="11"/>
            <color indexed="8"/>
            <rFont val="Helvetica Neue"/>
          </rPr>
          <t>Codex:
Fonte anagrafica: https://www.fantacalcio.it/serie-a/squadre/atalanta/gaetano/4364/2026-27/italia</t>
        </r>
      </text>
    </comment>
    <comment ref="J326" authorId="0">
      <text>
        <r>
          <rPr>
            <sz val="11"/>
            <color indexed="8"/>
            <rFont val="Helvetica Neue"/>
          </rPr>
          <t>Codex:
Fonte anagrafica: https://www.fantacalcio.it/serie-a/squadre/atalanta/samardzic/5119/2026-27/italia</t>
        </r>
      </text>
    </comment>
    <comment ref="J327" authorId="0">
      <text>
        <r>
          <rPr>
            <sz val="11"/>
            <color indexed="8"/>
            <rFont val="Helvetica Neue"/>
          </rPr>
          <t>Codex:
Fonte anagrafica: https://www.fantacalcio.it/serie-a/squadre/sassuolo/matic/2528/2026-27/italia</t>
        </r>
      </text>
    </comment>
    <comment ref="J328" authorId="0">
      <text>
        <r>
          <rPr>
            <sz val="11"/>
            <color indexed="8"/>
            <rFont val="Helvetica Neue"/>
          </rPr>
          <t>Codex:
Fonte anagrafica: https://www.fantacalcio.it/serie-a/squadre/fiorentina/fagioli/4465/2026-27/italia</t>
        </r>
      </text>
    </comment>
    <comment ref="J329" authorId="0">
      <text>
        <r>
          <rPr>
            <sz val="11"/>
            <color indexed="8"/>
            <rFont val="Helvetica Neue"/>
          </rPr>
          <t>Codex:
Fonte anagrafica: https://www.fantacalcio.it/serie-a/squadre/inter/mkhitaryan/2529/2026-27/italia</t>
        </r>
      </text>
    </comment>
    <comment ref="J330" authorId="0">
      <text>
        <r>
          <rPr>
            <sz val="11"/>
            <color indexed="8"/>
            <rFont val="Helvetica Neue"/>
          </rPr>
          <t>Codex:
Fonte anagrafica: https://www.fantacalcio.it/serie-a/squadre/inter/sucic-p/7070/2026-27/italia</t>
        </r>
      </text>
    </comment>
    <comment ref="J331" authorId="0">
      <text>
        <r>
          <rPr>
            <sz val="11"/>
            <color indexed="8"/>
            <rFont val="Helvetica Neue"/>
          </rPr>
          <t>Codex:
Fonte anagrafica: https://www.fantacalcio.it/serie-a/squadre/parma/keita-m/6898/2026-27/italia</t>
        </r>
      </text>
    </comment>
    <comment ref="J332" authorId="0">
      <text>
        <r>
          <rPr>
            <sz val="11"/>
            <color indexed="8"/>
            <rFont val="Helvetica Neue"/>
          </rPr>
          <t>Codex:
Fonte anagrafica: https://www.fantacalcio.it/serie-a/squadre/atalanta/pasalic/2077/2026-27/italia</t>
        </r>
      </text>
    </comment>
    <comment ref="J333" authorId="0">
      <text>
        <r>
          <rPr>
            <sz val="11"/>
            <color indexed="8"/>
            <rFont val="Helvetica Neue"/>
          </rPr>
          <t>Codex:
Fonte anagrafica: https://www.fantacalcio.it/serie-a/squadre/sassuolo/konè-i/6717/2026-27/italia</t>
        </r>
      </text>
    </comment>
    <comment ref="J334" authorId="0">
      <text>
        <r>
          <rPr>
            <sz val="11"/>
            <color indexed="8"/>
            <rFont val="Helvetica Neue"/>
          </rPr>
          <t>Codex:
Fonte anagrafica: https://www.fantacalcio.it/serie-a/squadre/genoa/frendrup/5791/2026-27/italia</t>
        </r>
      </text>
    </comment>
    <comment ref="J335" authorId="0">
      <text>
        <r>
          <rPr>
            <sz val="11"/>
            <color indexed="8"/>
            <rFont val="Helvetica Neue"/>
          </rPr>
          <t>Codex:
Fonte anagrafica: https://www.fantacalcio.it/serie-a/squadre/genoa/baldanzi/5823/2026-27/italia</t>
        </r>
      </text>
    </comment>
    <comment ref="J336" authorId="0">
      <text>
        <r>
          <rPr>
            <sz val="11"/>
            <color indexed="8"/>
            <rFont val="Helvetica Neue"/>
          </rPr>
          <t>Codex:
Fonte anagrafica: https://www.fantacalcio.it/serie-a/squadre/milan/loftus-cheek/4199/2026-27/italia</t>
        </r>
      </text>
    </comment>
    <comment ref="J337" authorId="0">
      <text>
        <r>
          <rPr>
            <sz val="11"/>
            <color indexed="8"/>
            <rFont val="Helvetica Neue"/>
          </rPr>
          <t>Codex:
Fonte anagrafica: https://www.fantacalcio.it/serie-a/squadre/sassuolo/volpato/5735/2026-27/italia</t>
        </r>
      </text>
    </comment>
    <comment ref="J338" authorId="0">
      <text>
        <r>
          <rPr>
            <sz val="11"/>
            <color indexed="8"/>
            <rFont val="Helvetica Neue"/>
          </rPr>
          <t>Codex:
Fonte anagrafica: https://www.fantacalcio.it/serie-a/squadre/bologna/ferguson/5858/2026-27/italia</t>
        </r>
      </text>
    </comment>
    <comment ref="J339" authorId="0">
      <text>
        <r>
          <rPr>
            <sz val="11"/>
            <color indexed="8"/>
            <rFont val="Helvetica Neue"/>
          </rPr>
          <t>Codex:
Fonte anagrafica: https://www.fantacalcio.it/serie-a/squadre/cagliari/maldini/4896/2026-27/italia</t>
        </r>
      </text>
    </comment>
    <comment ref="J340" authorId="0">
      <text>
        <r>
          <rPr>
            <sz val="11"/>
            <color indexed="8"/>
            <rFont val="Helvetica Neue"/>
          </rPr>
          <t>Codex:
Fonte anagrafica: https://www.fantacalcio.it/serie-a/squadre/cagliari/adopo/4870/2026-27/italia</t>
        </r>
      </text>
    </comment>
    <comment ref="J341" authorId="0">
      <text>
        <r>
          <rPr>
            <sz val="11"/>
            <color indexed="8"/>
            <rFont val="Helvetica Neue"/>
          </rPr>
          <t>Codex:
Fonte anagrafica: https://www.fantacalcio.it/serie-a/squadre/lecce/coulibaly-l/5504/2026-27/italia</t>
        </r>
      </text>
    </comment>
    <comment ref="J342" authorId="0">
      <text>
        <r>
          <rPr>
            <sz val="11"/>
            <color indexed="8"/>
            <rFont val="Helvetica Neue"/>
          </rPr>
          <t>Codex:
Fonte anagrafica: https://www.fantacalcio.it/serie-a/squadre/juventus/koopmeiners/5685/2026-27/italia</t>
        </r>
      </text>
    </comment>
    <comment ref="J343" authorId="0">
      <text>
        <r>
          <rPr>
            <sz val="11"/>
            <color indexed="8"/>
            <rFont val="Helvetica Neue"/>
          </rPr>
          <t>Codex:
Fonte anagrafica: https://www.fantacalcio.it/serie-a/squadre/atalanta/zalewski/5422/2026-27/italia</t>
        </r>
      </text>
    </comment>
    <comment ref="J344" authorId="0">
      <text>
        <r>
          <rPr>
            <sz val="11"/>
            <color indexed="8"/>
            <rFont val="Helvetica Neue"/>
          </rPr>
          <t>Codex:
Fonte anagrafica: https://www.fantacalcio.it/serie-a/squadre/napoli/vergara/7223/2026-27/italia</t>
        </r>
      </text>
    </comment>
    <comment ref="J345" authorId="0">
      <text>
        <r>
          <rPr>
            <sz val="11"/>
            <color indexed="8"/>
            <rFont val="Helvetica Neue"/>
          </rPr>
          <t>Codex:
Fonte anagrafica: https://www.fantacalcio.it/serie-a/squadre/venezia/busio/5507/2026-27/italia</t>
        </r>
      </text>
    </comment>
    <comment ref="J346" authorId="0">
      <text>
        <r>
          <rPr>
            <sz val="11"/>
            <color indexed="8"/>
            <rFont val="Helvetica Neue"/>
          </rPr>
          <t>Codex:
Fonte anagrafica: https://www.fantacalcio.it/serie-a/squadre/bologna/odgaard/2765/2026-27/italia</t>
        </r>
      </text>
    </comment>
    <comment ref="J347" authorId="0">
      <text>
        <r>
          <rPr>
            <sz val="11"/>
            <color indexed="8"/>
            <rFont val="Helvetica Neue"/>
          </rPr>
          <t>Codex:
Fonte anagrafica: https://www.fantacalcio.it/serie-a/squadre/genoa/messias/4970/2026-27/italia</t>
        </r>
      </text>
    </comment>
    <comment ref="J348" authorId="0">
      <text>
        <r>
          <rPr>
            <sz val="11"/>
            <color indexed="8"/>
            <rFont val="Helvetica Neue"/>
          </rPr>
          <t>Codex:
Fonte anagrafica: https://www.fantacalcio.it/serie-a/squadre/juventus/thuram-k/5562/2026-27/italia</t>
        </r>
      </text>
    </comment>
    <comment ref="J349" authorId="0">
      <text>
        <r>
          <rPr>
            <sz val="11"/>
            <color indexed="8"/>
            <rFont val="Helvetica Neue"/>
          </rPr>
          <t>Codex:
Fonte anagrafica: https://www.fantacalcio.it/serie-a/squadre/inter/luis-henrique/5301/2026-27/italia</t>
        </r>
      </text>
    </comment>
    <comment ref="J350" authorId="0">
      <text>
        <r>
          <rPr>
            <sz val="11"/>
            <color indexed="8"/>
            <rFont val="Helvetica Neue"/>
          </rPr>
          <t>Codex:
Fonte anagrafica: https://www.fantacalcio.it/serie-a/squadre/bologna/pobega/5298/2026-27/italia</t>
        </r>
      </text>
    </comment>
    <comment ref="J351" authorId="0">
      <text>
        <r>
          <rPr>
            <sz val="11"/>
            <color indexed="8"/>
            <rFont val="Helvetica Neue"/>
          </rPr>
          <t>Codex:
Fonte anagrafica: https://www.fantacalcio.it/serie-a/squadre/venezia/basic/5674/2026-27/italia</t>
        </r>
      </text>
    </comment>
    <comment ref="J352" authorId="0">
      <text>
        <r>
          <rPr>
            <sz val="11"/>
            <color indexed="8"/>
            <rFont val="Helvetica Neue"/>
          </rPr>
          <t>Codex:
Fonte anagrafica: https://www.fantacalcio.it/serie-a/squadre/roma/de-roon/22/2026-27/italia</t>
        </r>
      </text>
    </comment>
    <comment ref="J353" authorId="0">
      <text>
        <r>
          <rPr>
            <sz val="11"/>
            <color indexed="8"/>
            <rFont val="Helvetica Neue"/>
          </rPr>
          <t>Codex:
Fonte anagrafica: https://www.fantacalcio.it/serie-a/squadre/cagliari/fazzini/6010/2026-27/italia</t>
        </r>
      </text>
    </comment>
    <comment ref="J354" authorId="0">
      <text>
        <r>
          <rPr>
            <sz val="11"/>
            <color indexed="8"/>
            <rFont val="Helvetica Neue"/>
          </rPr>
          <t>Codex:
Fonte anagrafica: https://www.fantacalcio.it/serie-a/squadre/atalanta/elmas/4479/2026-27/italia</t>
        </r>
      </text>
    </comment>
    <comment ref="J355" authorId="0">
      <text>
        <r>
          <rPr>
            <sz val="11"/>
            <color indexed="8"/>
            <rFont val="Helvetica Neue"/>
          </rPr>
          <t>Codex:
Fonte anagrafica: https://www.fantacalcio.it/serie-a/squadre/parma/fabbian/6206/2026-27/italia</t>
        </r>
      </text>
    </comment>
    <comment ref="J356" authorId="0">
      <text>
        <r>
          <rPr>
            <sz val="11"/>
            <color indexed="8"/>
            <rFont val="Helvetica Neue"/>
          </rPr>
          <t>Codex:
Fonte anagrafica: https://www.fantacalcio.it/serie-a/squadre/torino/gineitis/6170/2026-27/italia</t>
        </r>
      </text>
    </comment>
    <comment ref="J357" authorId="0">
      <text>
        <r>
          <rPr>
            <sz val="11"/>
            <color indexed="8"/>
            <rFont val="Helvetica Neue"/>
          </rPr>
          <t>Codex:
Fonte anagrafica: https://www.fantacalcio.it/serie-a/squadre/torino/casadei/5888/2026-27/italia</t>
        </r>
      </text>
    </comment>
    <comment ref="J358" authorId="0">
      <text>
        <r>
          <rPr>
            <sz val="11"/>
            <color indexed="8"/>
            <rFont val="Helvetica Neue"/>
          </rPr>
          <t>Codex:
Fonte anagrafica: https://www.fantacalcio.it/serie-a/squadre/udinese/piotrowski/7198/2026-27/italia</t>
        </r>
      </text>
    </comment>
    <comment ref="J359" authorId="0">
      <text>
        <r>
          <rPr>
            <sz val="11"/>
            <color indexed="8"/>
            <rFont val="Helvetica Neue"/>
          </rPr>
          <t>Codex:
Fonte anagrafica: https://www.fantacalcio.it/serie-a/squadre/venezia/perez-k/6994/2026-27/italia</t>
        </r>
      </text>
    </comment>
    <comment ref="J360" authorId="0">
      <text>
        <r>
          <rPr>
            <sz val="11"/>
            <color indexed="8"/>
            <rFont val="Helvetica Neue"/>
          </rPr>
          <t>Codex:
Fonte anagrafica: https://www.fantacalcio.it/serie-a/squadre/como/ricci-s/5453/2026-27/italia</t>
        </r>
      </text>
    </comment>
    <comment ref="J361" authorId="0">
      <text>
        <r>
          <rPr>
            <sz val="11"/>
            <color indexed="8"/>
            <rFont val="Helvetica Neue"/>
          </rPr>
          <t>Codex:
Fonte anagrafica: https://www.fantacalcio.it/serie-a/squadre/lecce/berisha-m/6015/2026-27/italia</t>
        </r>
      </text>
    </comment>
    <comment ref="J362" authorId="0">
      <text>
        <r>
          <rPr>
            <sz val="11"/>
            <color indexed="8"/>
            <rFont val="Helvetica Neue"/>
          </rPr>
          <t>Codex:
Fonte anagrafica: https://www.fantacalcio.it/serie-a/squadre/juventus/sarr-p/5680/2026-27/italia</t>
        </r>
      </text>
    </comment>
    <comment ref="J363" authorId="0">
      <text>
        <r>
          <rPr>
            <sz val="11"/>
            <color indexed="8"/>
            <rFont val="Helvetica Neue"/>
          </rPr>
          <t>Codex:
Fonte anagrafica: https://www.fantacalcio.it/serie-a/squadre/fiorentina/oulai/7464/2026-27/italia</t>
        </r>
      </text>
    </comment>
    <comment ref="J364" authorId="0">
      <text>
        <r>
          <rPr>
            <sz val="11"/>
            <color indexed="8"/>
            <rFont val="Helvetica Neue"/>
          </rPr>
          <t>Codex:
Fonte anagrafica: https://www.fantacalcio.it/serie-a/squadre/genoa/ellertsson/6020/2026-27/italia</t>
        </r>
      </text>
    </comment>
    <comment ref="J365" authorId="0">
      <text>
        <r>
          <rPr>
            <sz val="11"/>
            <color indexed="8"/>
            <rFont val="Helvetica Neue"/>
          </rPr>
          <t>Codex:
Fonte anagrafica: https://www.fantacalcio.it/serie-a/squadre/milan/hutchinson/7618/2026-27/italia</t>
        </r>
      </text>
    </comment>
    <comment ref="J366" authorId="0">
      <text>
        <r>
          <rPr>
            <sz val="11"/>
            <color indexed="8"/>
            <rFont val="Helvetica Neue"/>
          </rPr>
          <t>Codex:
Fonte anagrafica: https://www.fantacalcio.it/serie-a/squadre/juventus/douglas-luiz/4911/2026-27/italia</t>
        </r>
      </text>
    </comment>
    <comment ref="J367" authorId="0">
      <text>
        <r>
          <rPr>
            <sz val="11"/>
            <color indexed="8"/>
            <rFont val="Helvetica Neue"/>
          </rPr>
          <t>Codex:
Fonte anagrafica: https://www.fantacalcio.it/serie-a/squadre/inter/diouf/6274/2026-27/italia</t>
        </r>
      </text>
    </comment>
    <comment ref="J368" authorId="0">
      <text>
        <r>
          <rPr>
            <sz val="11"/>
            <color indexed="8"/>
            <rFont val="Helvetica Neue"/>
          </rPr>
          <t>Codex:
Fonte anagrafica: https://www.fantacalcio.it/serie-a/squadre/frosinone/schmid/7551/2026-27/italia</t>
        </r>
      </text>
    </comment>
    <comment ref="J369" authorId="0">
      <text>
        <r>
          <rPr>
            <sz val="11"/>
            <color indexed="8"/>
            <rFont val="Helvetica Neue"/>
          </rPr>
          <t>Codex:
Fonte anagrafica: https://www.fantacalcio.it/serie-a/squadre/monza/colpani/5878/2026-27/italia</t>
        </r>
      </text>
    </comment>
    <comment ref="J370" authorId="0">
      <text>
        <r>
          <rPr>
            <sz val="11"/>
            <color indexed="8"/>
            <rFont val="Helvetica Neue"/>
          </rPr>
          <t>Codex:
Fonte anagrafica: https://www.fantacalcio.it/serie-a/squadre/monza/folorunsho/6252/2026-27/italia</t>
        </r>
      </text>
    </comment>
    <comment ref="J371" authorId="0">
      <text>
        <r>
          <rPr>
            <sz val="11"/>
            <color indexed="8"/>
            <rFont val="Helvetica Neue"/>
          </rPr>
          <t>Codex:
Fonte anagrafica: https://www.fantacalcio.it/serie-a/squadre/cagliari/fadera/6815/2026-27/italia</t>
        </r>
      </text>
    </comment>
    <comment ref="J372" authorId="0">
      <text>
        <r>
          <rPr>
            <sz val="11"/>
            <color indexed="8"/>
            <rFont val="Helvetica Neue"/>
          </rPr>
          <t>Codex:
Fonte anagrafica: https://www.fantacalcio.it/serie-a/squadre/lecce/monteiro-j/7619/2026-27/italia</t>
        </r>
      </text>
    </comment>
    <comment ref="J373" authorId="0">
      <text>
        <r>
          <rPr>
            <sz val="11"/>
            <color indexed="8"/>
            <rFont val="Helvetica Neue"/>
          </rPr>
          <t>Codex:
Fonte anagrafica: https://www.fantacalcio.it/serie-a/squadre/como/milla/7412/2026-27/italia</t>
        </r>
      </text>
    </comment>
    <comment ref="J374" authorId="0">
      <text>
        <r>
          <rPr>
            <sz val="11"/>
            <color indexed="8"/>
            <rFont val="Helvetica Neue"/>
          </rPr>
          <t>Codex:
Fonte anagrafica: https://www.fantacalcio.it/serie-a/squadre/fiorentina/brescianini/4947/2026-27/italia</t>
        </r>
      </text>
    </comment>
    <comment ref="J375" authorId="0">
      <text>
        <r>
          <rPr>
            <sz val="11"/>
            <color indexed="8"/>
            <rFont val="Helvetica Neue"/>
          </rPr>
          <t>Codex:
Fonte anagrafica: https://www.fantacalcio.it/serie-a/squadre/bologna/mbangula/6833/2026-27/italia</t>
        </r>
      </text>
    </comment>
    <comment ref="J376" authorId="0">
      <text>
        <r>
          <rPr>
            <sz val="11"/>
            <color indexed="8"/>
            <rFont val="Helvetica Neue"/>
          </rPr>
          <t>Codex:
Fonte anagrafica: https://www.fantacalcio.it/serie-a/squadre/milan/jashari/7203/2026-27/italia</t>
        </r>
      </text>
    </comment>
    <comment ref="J377" authorId="0">
      <text>
        <r>
          <rPr>
            <sz val="11"/>
            <color indexed="8"/>
            <rFont val="Helvetica Neue"/>
          </rPr>
          <t>Codex:
Fonte anagrafica: https://www.fantacalcio.it/serie-a/squadre/fiorentina/ndour/6294/2026-27/italia</t>
        </r>
      </text>
    </comment>
    <comment ref="J378" authorId="0">
      <text>
        <r>
          <rPr>
            <sz val="11"/>
            <color indexed="8"/>
            <rFont val="Helvetica Neue"/>
          </rPr>
          <t>Codex:
Fonte anagrafica: https://www.fantacalcio.it/serie-a/squadre/torino/braganca/7624/2026-27/italia</t>
        </r>
      </text>
    </comment>
    <comment ref="J379" authorId="0">
      <text>
        <r>
          <rPr>
            <sz val="11"/>
            <color indexed="8"/>
            <rFont val="Helvetica Neue"/>
          </rPr>
          <t>Codex:
Fonte anagrafica: https://www.fantacalcio.it/serie-a/squadre/udinese/miller-l/7208/2026-27/italia</t>
        </r>
      </text>
    </comment>
    <comment ref="J380" authorId="0">
      <text>
        <r>
          <rPr>
            <sz val="11"/>
            <color indexed="8"/>
            <rFont val="Helvetica Neue"/>
          </rPr>
          <t>Codex:
Fonte anagrafica: https://www.fantacalcio.it/serie-a/squadre/lecce/gandelman/7318/2026-27/italia</t>
        </r>
      </text>
    </comment>
    <comment ref="J381" authorId="0">
      <text>
        <r>
          <rPr>
            <sz val="11"/>
            <color indexed="8"/>
            <rFont val="Helvetica Neue"/>
          </rPr>
          <t>Codex:
Fonte anagrafica: https://www.fantacalcio.it/serie-a/squadre/lazio/cataldi/333/2026-27/italia</t>
        </r>
      </text>
    </comment>
    <comment ref="J382" authorId="0">
      <text>
        <r>
          <rPr>
            <sz val="11"/>
            <color indexed="8"/>
            <rFont val="Helvetica Neue"/>
          </rPr>
          <t>Codex:
Fonte anagrafica: https://www.fantacalcio.it/serie-a/squadre/lazio/rovella/4459/2026-27/italia</t>
        </r>
      </text>
    </comment>
    <comment ref="J383" authorId="0">
      <text>
        <r>
          <rPr>
            <sz val="11"/>
            <color indexed="8"/>
            <rFont val="Helvetica Neue"/>
          </rPr>
          <t>Codex:
Fonte anagrafica: https://www.fantacalcio.it/serie-a/squadre/cagliari/winks/4260/2026-27/italia</t>
        </r>
      </text>
    </comment>
    <comment ref="J384" authorId="0">
      <text>
        <r>
          <rPr>
            <sz val="11"/>
            <color indexed="8"/>
            <rFont val="Helvetica Neue"/>
          </rPr>
          <t>Codex:
Fonte anagrafica: https://www.fantacalcio.it/serie-a/squadre/venezia/hainaut/6821/2026-27/italia</t>
        </r>
      </text>
    </comment>
    <comment ref="J385" authorId="0">
      <text>
        <r>
          <rPr>
            <sz val="11"/>
            <color indexed="8"/>
            <rFont val="Helvetica Neue"/>
          </rPr>
          <t>Codex:
Fonte anagrafica: https://www.fantacalcio.it/serie-a/squadre/frosinone/zerbin/5998/2026-27/italia</t>
        </r>
      </text>
    </comment>
    <comment ref="J386" authorId="0">
      <text>
        <r>
          <rPr>
            <sz val="11"/>
            <color indexed="8"/>
            <rFont val="Helvetica Neue"/>
          </rPr>
          <t>Codex:
Fonte anagrafica: https://www.fantacalcio.it/serie-a/squadre/como/liberali/6678/2026-27/italia</t>
        </r>
      </text>
    </comment>
    <comment ref="J387" authorId="0">
      <text>
        <r>
          <rPr>
            <sz val="11"/>
            <color indexed="8"/>
            <rFont val="Helvetica Neue"/>
          </rPr>
          <t>Codex:
Fonte anagrafica: https://www.fantacalcio.it/serie-a/squadre/bologna/moro-n/6054/2026-27/italia</t>
        </r>
      </text>
    </comment>
    <comment ref="J388" authorId="0">
      <text>
        <r>
          <rPr>
            <sz val="11"/>
            <color indexed="8"/>
            <rFont val="Helvetica Neue"/>
          </rPr>
          <t>Codex:
Fonte anagrafica: https://www.fantacalcio.it/serie-a/squadre/cagliari/romano/7311/2026-27/italia</t>
        </r>
      </text>
    </comment>
    <comment ref="J389" authorId="0">
      <text>
        <r>
          <rPr>
            <sz val="11"/>
            <color indexed="8"/>
            <rFont val="Helvetica Neue"/>
          </rPr>
          <t>Codex:
Fonte anagrafica: https://www.fantacalcio.it/serie-a/squadre/udinese/unai-gomez/6783/2026-27/italia</t>
        </r>
      </text>
    </comment>
    <comment ref="J390" authorId="0">
      <text>
        <r>
          <rPr>
            <sz val="11"/>
            <color indexed="8"/>
            <rFont val="Helvetica Neue"/>
          </rPr>
          <t>Codex:
Fonte anagrafica: https://www.fantacalcio.it/serie-a/squadre/sassuolo/adzic/6677/2026-27/italia</t>
        </r>
      </text>
    </comment>
    <comment ref="J391" authorId="0">
      <text>
        <r>
          <rPr>
            <sz val="11"/>
            <color indexed="8"/>
            <rFont val="Helvetica Neue"/>
          </rPr>
          <t>Codex:
Fonte anagrafica: https://www.fantacalcio.it/serie-a/squadre/lecce/ilic/5007/2026-27/italia</t>
        </r>
      </text>
    </comment>
    <comment ref="J392" authorId="0">
      <text>
        <r>
          <rPr>
            <sz val="11"/>
            <color indexed="8"/>
            <rFont val="Helvetica Neue"/>
          </rPr>
          <t>Codex:
Fonte anagrafica: https://www.fantacalcio.it/serie-a/squadre/frosinone/masini/6917/2026-27/italia</t>
        </r>
      </text>
    </comment>
    <comment ref="J393" authorId="0">
      <text>
        <r>
          <rPr>
            <sz val="11"/>
            <color indexed="8"/>
            <rFont val="Helvetica Neue"/>
          </rPr>
          <t>Codex:
Fonte anagrafica: https://www.fantacalcio.it/serie-a/squadre/genoa/sow/5946/2026-27/italia</t>
        </r>
      </text>
    </comment>
    <comment ref="J394" authorId="0">
      <text>
        <r>
          <rPr>
            <sz val="11"/>
            <color indexed="8"/>
            <rFont val="Helvetica Neue"/>
          </rPr>
          <t>Codex:
Fonte anagrafica: https://www.fantacalcio.it/serie-a/squadre/juventus/zhegrova/5761/2026-27/italia</t>
        </r>
      </text>
    </comment>
    <comment ref="J395" authorId="0">
      <text>
        <r>
          <rPr>
            <sz val="11"/>
            <color indexed="8"/>
            <rFont val="Helvetica Neue"/>
          </rPr>
          <t>Codex:
Fonte anagrafica: https://www.fantacalcio.it/serie-a/squadre/frosinone/grillitsch/7550/2026-27/italia</t>
        </r>
      </text>
    </comment>
    <comment ref="J396" authorId="0">
      <text>
        <r>
          <rPr>
            <sz val="11"/>
            <color indexed="8"/>
            <rFont val="Helvetica Neue"/>
          </rPr>
          <t>Codex:
Fonte anagrafica: https://www.fantacalcio.it/serie-a/squadre/inter/stankovic-a/6503/2026-27/italia</t>
        </r>
      </text>
    </comment>
    <comment ref="J397" authorId="0">
      <text>
        <r>
          <rPr>
            <sz val="11"/>
            <color indexed="8"/>
            <rFont val="Helvetica Neue"/>
          </rPr>
          <t>Codex:
Fonte anagrafica: https://www.fantacalcio.it/serie-a/squadre/torino/ilkhan/6005/2026-27/italia</t>
        </r>
      </text>
    </comment>
    <comment ref="J398" authorId="0">
      <text>
        <r>
          <rPr>
            <sz val="11"/>
            <color indexed="8"/>
            <rFont val="Helvetica Neue"/>
          </rPr>
          <t>Codex:
Fonte anagrafica: https://www.fantacalcio.it/serie-a/squadre/venezia/sohm/5319/2026-27/italia</t>
        </r>
      </text>
    </comment>
    <comment ref="J399" authorId="0">
      <text>
        <r>
          <rPr>
            <sz val="11"/>
            <color indexed="8"/>
            <rFont val="Helvetica Neue"/>
          </rPr>
          <t>Codex:
Fonte anagrafica: https://www.fantacalcio.it/serie-a/squadre/torino/fitz-jim/7535/2026-27/italia</t>
        </r>
      </text>
    </comment>
    <comment ref="J400" authorId="0">
      <text>
        <r>
          <rPr>
            <sz val="11"/>
            <color indexed="8"/>
            <rFont val="Helvetica Neue"/>
          </rPr>
          <t>Codex:
Fonte anagrafica: https://www.fantacalcio.it/serie-a/squadre/monza/pessina/2741/2026-27/italia</t>
        </r>
      </text>
    </comment>
    <comment ref="J401" authorId="0">
      <text>
        <r>
          <rPr>
            <sz val="11"/>
            <color indexed="8"/>
            <rFont val="Helvetica Neue"/>
          </rPr>
          <t>Codex:
Fonte anagrafica: https://www.fantacalcio.it/serie-a/squadre/parma/ordonez-c/7138/2026-27/italia</t>
        </r>
      </text>
    </comment>
    <comment ref="J402" authorId="0">
      <text>
        <r>
          <rPr>
            <sz val="11"/>
            <color indexed="8"/>
            <rFont val="Helvetica Neue"/>
          </rPr>
          <t>Codex:
Fonte anagrafica: https://www.fantacalcio.it/serie-a/squadre/torino/oristanio/6218/2026-27/italia</t>
        </r>
      </text>
    </comment>
    <comment ref="J403" authorId="0">
      <text>
        <r>
          <rPr>
            <sz val="11"/>
            <color indexed="8"/>
            <rFont val="Helvetica Neue"/>
          </rPr>
          <t>Codex:
Fonte anagrafica: https://www.fantacalcio.it/serie-a/squadre/milan/musah/5295/2026-27/italia</t>
        </r>
      </text>
    </comment>
    <comment ref="J404" authorId="0">
      <text>
        <r>
          <rPr>
            <sz val="11"/>
            <color indexed="8"/>
            <rFont val="Helvetica Neue"/>
          </rPr>
          <t>Codex:
Fonte anagrafica: https://www.fantacalcio.it/serie-a/squadre/sassuolo/bakola/7036/2026-27/italia</t>
        </r>
      </text>
    </comment>
    <comment ref="J405" authorId="0">
      <text>
        <r>
          <rPr>
            <sz val="11"/>
            <color indexed="8"/>
            <rFont val="Helvetica Neue"/>
          </rPr>
          <t>Codex:
Fonte anagrafica: https://www.fantacalcio.it/serie-a/squadre/sassuolo/lipani/6246/2026-27/italia</t>
        </r>
      </text>
    </comment>
    <comment ref="J406" authorId="0">
      <text>
        <r>
          <rPr>
            <sz val="11"/>
            <color indexed="8"/>
            <rFont val="Helvetica Neue"/>
          </rPr>
          <t>Codex:
Fonte anagrafica: https://www.fantacalcio.it/serie-a/squadre/lazio/dele-bashiru/6629/2026-27/italia</t>
        </r>
      </text>
    </comment>
    <comment ref="J407" authorId="0">
      <text>
        <r>
          <rPr>
            <sz val="11"/>
            <color indexed="8"/>
            <rFont val="Helvetica Neue"/>
          </rPr>
          <t>Codex:
Fonte anagrafica: https://www.fantacalcio.it/serie-a/squadre/lazio/belahyane/6191/2026-27/italia</t>
        </r>
      </text>
    </comment>
    <comment ref="J408" authorId="0">
      <text>
        <r>
          <rPr>
            <sz val="11"/>
            <color indexed="8"/>
            <rFont val="Helvetica Neue"/>
          </rPr>
          <t>Codex:
Fonte anagrafica: https://www.fantacalcio.it/serie-a/squadre/monza/akinsanmiro/6593/2026-27/italia</t>
        </r>
      </text>
    </comment>
    <comment ref="J409" authorId="0">
      <text>
        <r>
          <rPr>
            <sz val="11"/>
            <color indexed="8"/>
            <rFont val="Helvetica Neue"/>
          </rPr>
          <t>Codex:
Fonte anagrafica: https://www.fantacalcio.it/serie-a/squadre/frosinone/cichella/7473/2026-27/italia</t>
        </r>
      </text>
    </comment>
    <comment ref="J410" authorId="0">
      <text>
        <r>
          <rPr>
            <sz val="11"/>
            <color indexed="8"/>
            <rFont val="Helvetica Neue"/>
          </rPr>
          <t>Codex:
Fonte anagrafica: https://www.fantacalcio.it/serie-a/squadre/cagliari/deiola/1871/2026-27/italia</t>
        </r>
      </text>
    </comment>
    <comment ref="J411" authorId="0">
      <text>
        <r>
          <rPr>
            <sz val="11"/>
            <color indexed="8"/>
            <rFont val="Helvetica Neue"/>
          </rPr>
          <t>Codex:
Fonte anagrafica: https://www.fantacalcio.it/serie-a/squadre/lecce/ngom/7322/2026-27/italia</t>
        </r>
      </text>
    </comment>
    <comment ref="J412" authorId="0">
      <text>
        <r>
          <rPr>
            <sz val="11"/>
            <color indexed="8"/>
            <rFont val="Helvetica Neue"/>
          </rPr>
          <t>Codex:
Fonte anagrafica: https://www.fantacalcio.it/serie-a/squadre/parma/nicolussi-caviglia/4349/2026-27/italia</t>
        </r>
      </text>
    </comment>
    <comment ref="J413" authorId="0">
      <text>
        <r>
          <rPr>
            <sz val="11"/>
            <color indexed="8"/>
            <rFont val="Helvetica Neue"/>
          </rPr>
          <t>Codex:
Fonte anagrafica: https://www.fantacalcio.it/serie-a/squadre/monza/tourè-i/7146/2026-27/italia</t>
        </r>
      </text>
    </comment>
    <comment ref="J414" authorId="0">
      <text>
        <r>
          <rPr>
            <sz val="11"/>
            <color indexed="8"/>
            <rFont val="Helvetica Neue"/>
          </rPr>
          <t>Codex:
Fonte anagrafica: https://www.fantacalcio.it/serie-a/squadre/genoa/meichtry/7409/2026-27/italia</t>
        </r>
      </text>
    </comment>
    <comment ref="J415" authorId="0">
      <text>
        <r>
          <rPr>
            <sz val="11"/>
            <color indexed="8"/>
            <rFont val="Helvetica Neue"/>
          </rPr>
          <t>Codex:
Fonte anagrafica: https://www.fantacalcio.it/serie-a/squadre/genoa/traorè-hj/2857/2026-27/italia</t>
        </r>
      </text>
    </comment>
    <comment ref="J416" authorId="0">
      <text>
        <r>
          <rPr>
            <sz val="11"/>
            <color indexed="8"/>
            <rFont val="Helvetica Neue"/>
          </rPr>
          <t>Codex:
Fonte anagrafica: https://www.fantacalcio.it/serie-a/squadre/udinese/zarraga/6212/2026-27/italia</t>
        </r>
      </text>
    </comment>
    <comment ref="J417" authorId="0">
      <text>
        <r>
          <rPr>
            <sz val="11"/>
            <color indexed="8"/>
            <rFont val="Helvetica Neue"/>
          </rPr>
          <t>Codex:
Fonte anagrafica: https://www.fantacalcio.it/serie-a/squadre/lecce/sottil/2839/2025-26/italia</t>
        </r>
      </text>
    </comment>
    <comment ref="J418" authorId="0">
      <text>
        <r>
          <rPr>
            <sz val="11"/>
            <color indexed="8"/>
            <rFont val="Helvetica Neue"/>
          </rPr>
          <t>Codex:
Fonte anagrafica: https://www.fantacalcio.it/serie-a/squadre/cagliari/ciervo/5462/2026-27/italia</t>
        </r>
      </text>
    </comment>
    <comment ref="J419" authorId="0">
      <text>
        <r>
          <rPr>
            <sz val="11"/>
            <color indexed="8"/>
            <rFont val="Helvetica Neue"/>
          </rPr>
          <t>Codex:
Fonte anagrafica: https://www.fantacalcio.it/serie-a/squadre/venezia/fernandez-t/7232/2026-27/italia</t>
        </r>
      </text>
    </comment>
    <comment ref="J420" authorId="0">
      <text>
        <r>
          <rPr>
            <sz val="11"/>
            <color indexed="8"/>
            <rFont val="Helvetica Neue"/>
          </rPr>
          <t>Codex:
Fonte anagrafica: https://www.fantacalcio.it/serie-a/squadre/sassuolo/sulemana-i/6024/2026-27/italia</t>
        </r>
      </text>
    </comment>
    <comment ref="J421" authorId="0">
      <text>
        <r>
          <rPr>
            <sz val="11"/>
            <color indexed="8"/>
            <rFont val="Helvetica Neue"/>
          </rPr>
          <t>Codex:
Fonte anagrafica: https://www.fantacalcio.it/serie-a/squadre/genoa/venturino/6980/2026-27/italia</t>
        </r>
      </text>
    </comment>
    <comment ref="J422" authorId="0">
      <text>
        <r>
          <rPr>
            <sz val="11"/>
            <color indexed="8"/>
            <rFont val="Helvetica Neue"/>
          </rPr>
          <t>Codex:
Fonte anagrafica: https://www.fantacalcio.it/serie-a/squadre/lecce/maleh/5457/2026-27/italia</t>
        </r>
      </text>
    </comment>
    <comment ref="J423" authorId="0">
      <text>
        <r>
          <rPr>
            <sz val="11"/>
            <color indexed="8"/>
            <rFont val="Helvetica Neue"/>
          </rPr>
          <t>Codex:
Fonte anagrafica: https://www.fantacalcio.it/serie-a/squadre/genoa/el-shaarawy/795/2026-27/italia</t>
        </r>
      </text>
    </comment>
    <comment ref="J424" authorId="0">
      <text>
        <r>
          <rPr>
            <sz val="11"/>
            <color indexed="8"/>
            <rFont val="Helvetica Neue"/>
          </rPr>
          <t>Codex:
Fonte anagrafica: https://www.fantacalcio.it/serie-a/squadre/genoa/amorim/7341/2026-27/italia</t>
        </r>
      </text>
    </comment>
    <comment ref="J425" authorId="0">
      <text>
        <r>
          <rPr>
            <sz val="11"/>
            <color indexed="8"/>
            <rFont val="Helvetica Neue"/>
          </rPr>
          <t>Codex:
Fonte anagrafica: https://www.fantacalcio.it/serie-a/squadre/cremonese/bondo/5992/2025-26/italia</t>
        </r>
      </text>
    </comment>
    <comment ref="J426" authorId="0">
      <text>
        <r>
          <rPr>
            <sz val="11"/>
            <color indexed="8"/>
            <rFont val="Helvetica Neue"/>
          </rPr>
          <t>Codex:
Fonte anagrafica: https://www.fantacalcio.it/serie-a/squadre/frosinone/hasa/6903/2026-27/italia</t>
        </r>
      </text>
    </comment>
    <comment ref="J427" authorId="0">
      <text>
        <r>
          <rPr>
            <sz val="11"/>
            <color indexed="8"/>
            <rFont val="Helvetica Neue"/>
          </rPr>
          <t>Codex:
Fonte anagrafica: https://www.fantacalcio.it/serie-a/squadre/bologna/amondarain/7528/2026-27/italia</t>
        </r>
      </text>
    </comment>
    <comment ref="J428" authorId="0">
      <text>
        <r>
          <rPr>
            <sz val="11"/>
            <color indexed="8"/>
            <rFont val="Helvetica Neue"/>
          </rPr>
          <t>Codex:
Fonte anagrafica: https://www.fantacalcio.it/serie-a/squadre/parma/cremaschi/7276/2026-27/italia</t>
        </r>
      </text>
    </comment>
    <comment ref="J429" authorId="0">
      <text>
        <r>
          <rPr>
            <sz val="11"/>
            <color indexed="8"/>
            <rFont val="Helvetica Neue"/>
          </rPr>
          <t>Codex:
Fonte anagrafica: https://www.fantacalcio.it/serie-a/squadre/cagliari/gagliardini/801/2026-27/italia</t>
        </r>
      </text>
    </comment>
    <comment ref="J430" authorId="0">
      <text>
        <r>
          <rPr>
            <sz val="11"/>
            <color indexed="8"/>
            <rFont val="Helvetica Neue"/>
          </rPr>
          <t>Codex:
Fonte anagrafica: https://www.fantacalcio.it/serie-a/squadre/torino/anjorin/6889/2026-27/italia</t>
        </r>
      </text>
    </comment>
    <comment ref="J431" authorId="0">
      <text>
        <r>
          <rPr>
            <sz val="11"/>
            <color indexed="8"/>
            <rFont val="Helvetica Neue"/>
          </rPr>
          <t>Codex:
Fonte anagrafica: https://www.fantacalcio.it/serie-a/squadre/udinese/chakvetadze/7418/2026-27/italia</t>
        </r>
      </text>
    </comment>
    <comment ref="J432" authorId="0">
      <text>
        <r>
          <rPr>
            <sz val="11"/>
            <color indexed="8"/>
            <rFont val="Helvetica Neue"/>
          </rPr>
          <t>Codex:
Fonte anagrafica: https://www.fantacalcio.it/serie-a/squadre/monza/colombo-l/7477/2026-27/italia</t>
        </r>
      </text>
    </comment>
    <comment ref="J433" authorId="0">
      <text>
        <r>
          <rPr>
            <sz val="11"/>
            <color indexed="8"/>
            <rFont val="Helvetica Neue"/>
          </rPr>
          <t>Codex:
Fonte anagrafica: https://serieaspelare.se/</t>
        </r>
      </text>
    </comment>
    <comment ref="J434" authorId="0">
      <text>
        <r>
          <rPr>
            <sz val="11"/>
            <color indexed="8"/>
            <rFont val="Helvetica Neue"/>
          </rPr>
          <t>Codex:
Fonte anagrafica: https://www.fantacalcio.it/serie-a/squadre/venezia/helgason/5872/2026-27/italia</t>
        </r>
      </text>
    </comment>
    <comment ref="J435" authorId="0">
      <text>
        <r>
          <rPr>
            <sz val="11"/>
            <color indexed="8"/>
            <rFont val="Helvetica Neue"/>
          </rPr>
          <t>Codex:
Fonte anagrafica: https://www.fantacalcio.it/serie-a/squadre/napoli/gilmour/5131/2026-27/italia</t>
        </r>
      </text>
    </comment>
    <comment ref="J436" authorId="0">
      <text>
        <r>
          <rPr>
            <sz val="11"/>
            <color indexed="8"/>
            <rFont val="Helvetica Neue"/>
          </rPr>
          <t>Codex:
Fonte anagrafica: https://www.fantacalcio.it/serie-a/squadre/milan/cissè-a/6618/2026-27/italia</t>
        </r>
      </text>
    </comment>
    <comment ref="J437" authorId="0">
      <text>
        <r>
          <rPr>
            <sz val="11"/>
            <color indexed="8"/>
            <rFont val="Helvetica Neue"/>
          </rPr>
          <t>Codex:
Fonte anagrafica: https://www.fantacalcio.it/serie-a/squadre/venezia/duncan/526/2026-27/italia</t>
        </r>
      </text>
    </comment>
    <comment ref="J438" authorId="0">
      <text>
        <r>
          <rPr>
            <sz val="11"/>
            <color indexed="8"/>
            <rFont val="Helvetica Neue"/>
          </rPr>
          <t>Codex:
Fonte anagrafica: https://www.fantacalcio.it/serie-a/squadre/frosinone/gelli-f/6241/2026-27/italia</t>
        </r>
      </text>
    </comment>
    <comment ref="J439" authorId="0">
      <text>
        <r>
          <rPr>
            <sz val="11"/>
            <color indexed="8"/>
            <rFont val="Helvetica Neue"/>
          </rPr>
          <t>Codex:
Fonte anagrafica: https://www.fantacalcio.it/serie-a/squadre/frosinone/kone-b/5725/2026-27/italia</t>
        </r>
      </text>
    </comment>
    <comment ref="J440" authorId="0">
      <text>
        <r>
          <rPr>
            <sz val="11"/>
            <color indexed="8"/>
            <rFont val="Helvetica Neue"/>
          </rPr>
          <t>Codex:
Fonte anagrafica: https://www.fantacalcio.it/serie-a/squadre/lecce/gorter/7248/2026-27/italia</t>
        </r>
      </text>
    </comment>
    <comment ref="J441" authorId="0">
      <text>
        <r>
          <rPr>
            <sz val="11"/>
            <color indexed="8"/>
            <rFont val="Helvetica Neue"/>
          </rPr>
          <t>Codex:
Fonte anagrafica: https://www.fantacalcio.it/serie-a/squadre/udinese/jovanovic/7092/2026-27/italia</t>
        </r>
      </text>
    </comment>
    <comment ref="J442" authorId="0">
      <text>
        <r>
          <rPr>
            <sz val="11"/>
            <color indexed="8"/>
            <rFont val="Helvetica Neue"/>
          </rPr>
          <t>Codex:
Fonte anagrafica: https://www.fantacalcio.it/serie-a/squadre/torino/cacciamani/7060/2026-27/italia</t>
        </r>
      </text>
    </comment>
    <comment ref="J443" authorId="0">
      <text>
        <r>
          <rPr>
            <sz val="11"/>
            <color indexed="8"/>
            <rFont val="Helvetica Neue"/>
          </rPr>
          <t>Codex:
Fonte anagrafica: https://www.fantacalcio.it/serie-a/squadre/monza/ciurria/5880/2026-27/italia</t>
        </r>
      </text>
    </comment>
    <comment ref="J444" authorId="0">
      <text>
        <r>
          <rPr>
            <sz val="11"/>
            <color indexed="8"/>
            <rFont val="Helvetica Neue"/>
          </rPr>
          <t>Codex:
Fonte anagrafica: https://www.fantacalcio.it/serie-a/squadre/lecce/kaba/6410/2026-27/italia</t>
        </r>
      </text>
    </comment>
    <comment ref="J445" authorId="0">
      <text>
        <r>
          <rPr>
            <sz val="11"/>
            <color indexed="8"/>
            <rFont val="Helvetica Neue"/>
          </rPr>
          <t>Codex:
Fonte anagrafica: https://www.fantacalcio.it/serie-a/squadre/monza/foe-ondoa/7574/2026-27/italia</t>
        </r>
      </text>
    </comment>
    <comment ref="J446" authorId="0">
      <text>
        <r>
          <rPr>
            <sz val="11"/>
            <color indexed="8"/>
            <rFont val="Helvetica Neue"/>
          </rPr>
          <t>Codex:
Fonte anagrafica: https://www.fantacalcio.it/serie-a/squadre/venezia/dagasso/7481/2026-27/italia</t>
        </r>
      </text>
    </comment>
    <comment ref="J447" authorId="0">
      <text>
        <r>
          <rPr>
            <sz val="11"/>
            <color indexed="8"/>
            <rFont val="Helvetica Neue"/>
          </rPr>
          <t>Codex:
Fonte anagrafica: https://www.fantacalcio.it/serie-a/squadre/lazio/przyborek/7345/2026-27/italia</t>
        </r>
      </text>
    </comment>
    <comment ref="J448" authorId="0">
      <text>
        <r>
          <rPr>
            <sz val="11"/>
            <color indexed="8"/>
            <rFont val="Helvetica Neue"/>
          </rPr>
          <t>Codex:
Fonte anagrafica: https://www.fantacalcio.it/serie-a/squadre/parma/sierro/7628/2026-27/italia</t>
        </r>
      </text>
    </comment>
    <comment ref="J449" authorId="0">
      <text>
        <r>
          <rPr>
            <sz val="11"/>
            <color indexed="8"/>
            <rFont val="Helvetica Neue"/>
          </rPr>
          <t>Codex:
Fonte anagrafica: https://www.transfermarkt.com/gael-lafont/profil/spieler/955358</t>
        </r>
      </text>
    </comment>
    <comment ref="J450" authorId="0">
      <text>
        <r>
          <rPr>
            <sz val="11"/>
            <color indexed="8"/>
            <rFont val="Helvetica Neue"/>
          </rPr>
          <t>Codex:
Fonte anagrafica: https://www.fantacalcio.it/serie-a/squadre/cagliari/liteta/7165/2026-27/italia</t>
        </r>
      </text>
    </comment>
    <comment ref="J451" authorId="0">
      <text>
        <r>
          <rPr>
            <sz val="11"/>
            <color indexed="8"/>
            <rFont val="Helvetica Neue"/>
          </rPr>
          <t>Codex:
Fonte anagrafica: https://www.fantacalcio.it/serie-a/squadre/lecce/fofana-sa/7319/2026-27/italia</t>
        </r>
      </text>
    </comment>
    <comment ref="J452" authorId="0">
      <text>
        <r>
          <rPr>
            <sz val="11"/>
            <color indexed="8"/>
            <rFont val="Helvetica Neue"/>
          </rPr>
          <t>Codex:
Fonte anagrafica: https://www.fantacalcio.it/serie-a/squadre/sassuolo/cinquegrano/7573/2026-27/italia</t>
        </r>
      </text>
    </comment>
    <comment ref="J453" authorId="0">
      <text>
        <r>
          <rPr>
            <sz val="11"/>
            <color indexed="8"/>
            <rFont val="Helvetica Neue"/>
          </rPr>
          <t>Codex:
Fonte anagrafica: https://serieaspelare.se/</t>
        </r>
      </text>
    </comment>
    <comment ref="J454" authorId="0">
      <text>
        <r>
          <rPr>
            <sz val="11"/>
            <color indexed="8"/>
            <rFont val="Helvetica Neue"/>
          </rPr>
          <t>Codex:
Fonte anagrafica: https://www.fantacalcio.it/serie-a/squadre/bologna/el-azzouzi-o/6225/2026-27/italia</t>
        </r>
      </text>
    </comment>
    <comment ref="J455" authorId="0">
      <text>
        <r>
          <rPr>
            <sz val="11"/>
            <color indexed="8"/>
            <rFont val="Helvetica Neue"/>
          </rPr>
          <t>Codex:
Fonte anagrafica: https://www.fantacalcio.it/serie-a/squadre/sassuolo/boloca/6219/2026-27/italia</t>
        </r>
      </text>
    </comment>
    <comment ref="J456" authorId="0">
      <text>
        <r>
          <rPr>
            <sz val="11"/>
            <color indexed="8"/>
            <rFont val="Helvetica Neue"/>
          </rPr>
          <t>Codex:
Fonte anagrafica: https://serieaspelare.se/</t>
        </r>
      </text>
    </comment>
    <comment ref="J457" authorId="0">
      <text>
        <r>
          <rPr>
            <sz val="11"/>
            <color indexed="8"/>
            <rFont val="Helvetica Neue"/>
          </rPr>
          <t>Codex:
Fonte anagrafica: https://www.fantacalcio.it/serie-a/squadre/monza/mout/7575/2026-27/italia</t>
        </r>
      </text>
    </comment>
    <comment ref="J458" authorId="0">
      <text>
        <r>
          <rPr>
            <sz val="11"/>
            <color indexed="8"/>
            <rFont val="Helvetica Neue"/>
          </rPr>
          <t>Codex:
Fonte anagrafica: https://serieaspelare.se/</t>
        </r>
      </text>
    </comment>
    <comment ref="J459" authorId="0">
      <text>
        <r>
          <rPr>
            <sz val="11"/>
            <color indexed="8"/>
            <rFont val="Helvetica Neue"/>
          </rPr>
          <t>Codex:
Fonte anagrafica: https://serieaspelare.se/</t>
        </r>
      </text>
    </comment>
    <comment ref="J460" authorId="0">
      <text>
        <r>
          <rPr>
            <sz val="11"/>
            <color indexed="8"/>
            <rFont val="Helvetica Neue"/>
          </rPr>
          <t>Codex:
Fonte anagrafica: https://serieaspelare.se/</t>
        </r>
      </text>
    </comment>
    <comment ref="J461" authorId="0">
      <text>
        <r>
          <rPr>
            <sz val="11"/>
            <color indexed="8"/>
            <rFont val="Helvetica Neue"/>
          </rPr>
          <t>Codex:
Fonte anagrafica: https://www.fantacalcio.it/serie-a/squadre/cagliari/massolin/7579/2026-27/italia</t>
        </r>
      </text>
    </comment>
    <comment ref="J462" authorId="0">
      <text>
        <r>
          <rPr>
            <sz val="11"/>
            <color indexed="8"/>
            <rFont val="Helvetica Neue"/>
          </rPr>
          <t>Codex:
Fonte anagrafica: https://serieaspelare.se/</t>
        </r>
      </text>
    </comment>
    <comment ref="J463" authorId="0">
      <text>
        <r>
          <rPr>
            <sz val="11"/>
            <color indexed="8"/>
            <rFont val="Helvetica Neue"/>
          </rPr>
          <t>Codex:
Fonte anagrafica: https://www.fantacalcio.it/serie-a/squadre/como/lahdo/7357/2026-27/italia</t>
        </r>
      </text>
    </comment>
    <comment ref="J464" authorId="0">
      <text>
        <r>
          <rPr>
            <sz val="11"/>
            <color indexed="8"/>
            <rFont val="Helvetica Neue"/>
          </rPr>
          <t>Codex:
Fonte anagrafica: https://serieaspelare.se/</t>
        </r>
      </text>
    </comment>
    <comment ref="J465" authorId="0">
      <text>
        <r>
          <rPr>
            <sz val="11"/>
            <color indexed="8"/>
            <rFont val="Helvetica Neue"/>
          </rPr>
          <t>Codex:
Fonte anagrafica: https://serieaspelare.se/</t>
        </r>
      </text>
    </comment>
    <comment ref="J466" authorId="0">
      <text>
        <r>
          <rPr>
            <sz val="11"/>
            <color indexed="8"/>
            <rFont val="Helvetica Neue"/>
          </rPr>
          <t>Codex:
Fonte anagrafica: https://serieaspelare.se/</t>
        </r>
      </text>
    </comment>
    <comment ref="J467" authorId="0">
      <text>
        <r>
          <rPr>
            <sz val="11"/>
            <color indexed="8"/>
            <rFont val="Helvetica Neue"/>
          </rPr>
          <t>Codex:
Fonte anagrafica: https://www.fantacalcio.it/serie-a/squadre/milan/comotto/7572/2026-27/italia</t>
        </r>
      </text>
    </comment>
    <comment ref="J468" authorId="0">
      <text>
        <r>
          <rPr>
            <sz val="11"/>
            <color indexed="8"/>
            <rFont val="Helvetica Neue"/>
          </rPr>
          <t>Codex:
Fonte anagrafica: https://serieaspelare.se/</t>
        </r>
      </text>
    </comment>
    <comment ref="J469" authorId="0">
      <text>
        <r>
          <rPr>
            <sz val="11"/>
            <color indexed="8"/>
            <rFont val="Helvetica Neue"/>
          </rPr>
          <t>Codex:
Fonte anagrafica: https://serieaspelare.se/</t>
        </r>
      </text>
    </comment>
    <comment ref="J470" authorId="0">
      <text>
        <r>
          <rPr>
            <sz val="11"/>
            <color indexed="8"/>
            <rFont val="Helvetica Neue"/>
          </rPr>
          <t>Codex:
Fonte anagrafica: https://www.transfermarkt.com/nicolo-ballabio/profil/spieler/1058362</t>
        </r>
      </text>
    </comment>
    <comment ref="J471" authorId="0">
      <text>
        <r>
          <rPr>
            <sz val="11"/>
            <color indexed="8"/>
            <rFont val="Helvetica Neue"/>
          </rPr>
          <t>Codex:
Fonte anagrafica: https://serieaspelare.se/</t>
        </r>
      </text>
    </comment>
    <comment ref="J472" authorId="0">
      <text>
        <r>
          <rPr>
            <sz val="11"/>
            <color indexed="8"/>
            <rFont val="Helvetica Neue"/>
          </rPr>
          <t>Codex:
Fonte anagrafica: https://serieaspelare.se/</t>
        </r>
      </text>
    </comment>
    <comment ref="J473" authorId="0">
      <text>
        <r>
          <rPr>
            <sz val="11"/>
            <color indexed="8"/>
            <rFont val="Helvetica Neue"/>
          </rPr>
          <t>Codex:
Fonte anagrafica: https://serieaspelare.se/</t>
        </r>
      </text>
    </comment>
    <comment ref="J474" authorId="0">
      <text>
        <r>
          <rPr>
            <sz val="11"/>
            <color indexed="8"/>
            <rFont val="Helvetica Neue"/>
          </rPr>
          <t>Codex:
Fonte anagrafica: https://serieaspelare.se/</t>
        </r>
      </text>
    </comment>
    <comment ref="J475" authorId="0">
      <text>
        <r>
          <rPr>
            <sz val="11"/>
            <color indexed="8"/>
            <rFont val="Helvetica Neue"/>
          </rPr>
          <t>Codex:
Fonte anagrafica: https://www.fantacalcio.it/serie-a/squadre/roma/malen/5585/2026-27/italia</t>
        </r>
      </text>
    </comment>
    <comment ref="J476" authorId="0">
      <text>
        <r>
          <rPr>
            <sz val="11"/>
            <color indexed="8"/>
            <rFont val="Helvetica Neue"/>
          </rPr>
          <t>Codex:
Fonte anagrafica: https://www.fantacalcio.it/serie-a/squadre/inter/martinez-l/2764/2026-27/italia</t>
        </r>
      </text>
    </comment>
    <comment ref="J477" authorId="0">
      <text>
        <r>
          <rPr>
            <sz val="11"/>
            <color indexed="8"/>
            <rFont val="Helvetica Neue"/>
          </rPr>
          <t>Codex:
Fonte anagrafica: https://www.fantacalcio.it/serie-a/squadre/napoli/hojlund/6052/2026-27/italia</t>
        </r>
      </text>
    </comment>
    <comment ref="J478" authorId="0">
      <text>
        <r>
          <rPr>
            <sz val="11"/>
            <color indexed="8"/>
            <rFont val="Helvetica Neue"/>
          </rPr>
          <t>Codex:
Fonte anagrafica: https://www.fantacalcio.it/serie-a/squadre/inter/thuram/4871/2026-27/italia</t>
        </r>
      </text>
    </comment>
    <comment ref="J479" authorId="0">
      <text>
        <r>
          <rPr>
            <sz val="11"/>
            <color indexed="8"/>
            <rFont val="Helvetica Neue"/>
          </rPr>
          <t>Codex:
Fonte anagrafica: https://www.fantacalcio.it/serie-a/squadre/milan/ramos-g/6397/2026-27/italia</t>
        </r>
      </text>
    </comment>
    <comment ref="J480" authorId="0">
      <text>
        <r>
          <rPr>
            <sz val="11"/>
            <color indexed="8"/>
            <rFont val="Helvetica Neue"/>
          </rPr>
          <t>Codex:
Fonte anagrafica: https://www.fantacalcio.it/serie-a/squadre/udinese/davis-k/5637/2026-27/italia</t>
        </r>
      </text>
    </comment>
    <comment ref="J481" authorId="0">
      <text>
        <r>
          <rPr>
            <sz val="11"/>
            <color indexed="8"/>
            <rFont val="Helvetica Neue"/>
          </rPr>
          <t>Codex:
Fonte anagrafica: https://www.fantacalcio.it/serie-a/squadre/como/kean/2097/2026-27/italia</t>
        </r>
      </text>
    </comment>
    <comment ref="J482" authorId="0">
      <text>
        <r>
          <rPr>
            <sz val="11"/>
            <color indexed="8"/>
            <rFont val="Helvetica Neue"/>
          </rPr>
          <t>Codex:
Fonte anagrafica: https://www.fantacalcio.it/serie-a/squadre/juventus/kolo-muani/5951/2026-27/italia</t>
        </r>
      </text>
    </comment>
    <comment ref="J483" authorId="0">
      <text>
        <r>
          <rPr>
            <sz val="11"/>
            <color indexed="8"/>
            <rFont val="Helvetica Neue"/>
          </rPr>
          <t>Codex:
Fonte anagrafica: https://www.fantacalcio.it/serie-a/squadre/atalanta/scamacca/2137/2026-27/italia</t>
        </r>
      </text>
    </comment>
    <comment ref="J484" authorId="0">
      <text>
        <r>
          <rPr>
            <sz val="11"/>
            <color indexed="8"/>
            <rFont val="Helvetica Neue"/>
          </rPr>
          <t>Codex:
Fonte anagrafica: https://www.fantacalcio.it/serie-a/squadre/roma/dybala/309/2026-27/italia</t>
        </r>
      </text>
    </comment>
    <comment ref="J485" authorId="0">
      <text>
        <r>
          <rPr>
            <sz val="11"/>
            <color indexed="8"/>
            <rFont val="Helvetica Neue"/>
          </rPr>
          <t>Codex:
Fonte anagrafica: https://www.fantacalcio.it/serie-a/squadre/torino/simeone/2061/2026-27/italia</t>
        </r>
      </text>
    </comment>
    <comment ref="J486" authorId="0">
      <text>
        <r>
          <rPr>
            <sz val="11"/>
            <color indexed="8"/>
            <rFont val="Helvetica Neue"/>
          </rPr>
          <t>Codex:
Fonte anagrafica: https://www.fantacalcio.it/serie-a/squadre/sassuolo/laurientè/6060/2026-27/italia</t>
        </r>
      </text>
    </comment>
    <comment ref="J487" authorId="0">
      <text>
        <r>
          <rPr>
            <sz val="11"/>
            <color indexed="8"/>
            <rFont val="Helvetica Neue"/>
          </rPr>
          <t>Codex:
Fonte anagrafica: https://www.fantacalcio.it/serie-a/squadre/sassuolo/berardi/531/2026-27/italia</t>
        </r>
      </text>
    </comment>
    <comment ref="J488" authorId="0">
      <text>
        <r>
          <rPr>
            <sz val="11"/>
            <color indexed="8"/>
            <rFont val="Helvetica Neue"/>
          </rPr>
          <t>Codex:
Fonte anagrafica: https://www.fantacalcio.it/serie-a/squadre/juventus/yildiz/6434/2026-27/italia</t>
        </r>
      </text>
    </comment>
    <comment ref="J489" authorId="0">
      <text>
        <r>
          <rPr>
            <sz val="11"/>
            <color indexed="8"/>
            <rFont val="Helvetica Neue"/>
          </rPr>
          <t>Codex:
Fonte anagrafica: https://www.fantacalcio.it/serie-a/squadre/como/douvikas/7017/2026-27/italia</t>
        </r>
      </text>
    </comment>
    <comment ref="J490" authorId="0">
      <text>
        <r>
          <rPr>
            <sz val="11"/>
            <color indexed="8"/>
            <rFont val="Helvetica Neue"/>
          </rPr>
          <t>Codex:
Fonte anagrafica: https://www.fantacalcio.it/serie-a/squadre/lazio/pinamonti/2038/2026-27/italia</t>
        </r>
      </text>
    </comment>
    <comment ref="J491" authorId="0">
      <text>
        <r>
          <rPr>
            <sz val="11"/>
            <color indexed="8"/>
            <rFont val="Helvetica Neue"/>
          </rPr>
          <t>Codex:
Fonte anagrafica: https://www.fantacalcio.it/serie-a/squadre/torino/adams-c/6646/2026-27/italia</t>
        </r>
      </text>
    </comment>
    <comment ref="J492" authorId="0">
      <text>
        <r>
          <rPr>
            <sz val="11"/>
            <color indexed="8"/>
            <rFont val="Helvetica Neue"/>
          </rPr>
          <t>Codex:
Fonte anagrafica: https://www.fantacalcio.it/serie-a/squadre/atalanta/krstovic/6435/2026-27/italia</t>
        </r>
      </text>
    </comment>
    <comment ref="J493" authorId="0">
      <text>
        <r>
          <rPr>
            <sz val="11"/>
            <color indexed="8"/>
            <rFont val="Helvetica Neue"/>
          </rPr>
          <t>Codex:
Fonte anagrafica: https://www.fantacalcio.it/serie-a/squadre/juventus/woltemade/6752/2026-27/italia</t>
        </r>
      </text>
    </comment>
    <comment ref="J494" authorId="0">
      <text>
        <r>
          <rPr>
            <sz val="11"/>
            <color indexed="8"/>
            <rFont val="Helvetica Neue"/>
          </rPr>
          <t>Codex:
Fonte anagrafica: https://www.fantacalcio.it/serie-a/squadre/genoa/colombo/4923/2026-27/italia</t>
        </r>
      </text>
    </comment>
    <comment ref="J495" authorId="0">
      <text>
        <r>
          <rPr>
            <sz val="11"/>
            <color indexed="8"/>
            <rFont val="Helvetica Neue"/>
          </rPr>
          <t>Codex:
Fonte anagrafica: https://www.fantacalcio.it/serie-a/squadre/roma/castro-s/6572/2026-27/italia</t>
        </r>
      </text>
    </comment>
    <comment ref="J496" authorId="0">
      <text>
        <r>
          <rPr>
            <sz val="11"/>
            <color indexed="8"/>
            <rFont val="Helvetica Neue"/>
          </rPr>
          <t>Codex:
Fonte anagrafica: https://www.fantacalcio.it/serie-a/squadre/atalanta/de-ketelaere/5995/2026-27/italia</t>
        </r>
      </text>
    </comment>
    <comment ref="J497" authorId="0">
      <text>
        <r>
          <rPr>
            <sz val="11"/>
            <color indexed="8"/>
            <rFont val="Helvetica Neue"/>
          </rPr>
          <t>Codex:
Fonte anagrafica: https://www.fantacalcio.it/serie-a/squadre/roma/soulè/5734/2026-27/italia</t>
        </r>
      </text>
    </comment>
    <comment ref="J498" authorId="0">
      <text>
        <r>
          <rPr>
            <sz val="11"/>
            <color indexed="8"/>
            <rFont val="Helvetica Neue"/>
          </rPr>
          <t>Codex:
Fonte anagrafica: https://www.fantacalcio.it/serie-a/squadre/sassuolo/esposito-se/4463/2026-27/italia</t>
        </r>
      </text>
    </comment>
    <comment ref="J499" authorId="0">
      <text>
        <r>
          <rPr>
            <sz val="11"/>
            <color indexed="8"/>
            <rFont val="Helvetica Neue"/>
          </rPr>
          <t>Codex:
Fonte anagrafica: https://www.fantacalcio.it/serie-a/squadre/fiorentina/beto/5694/2026-27/italia</t>
        </r>
      </text>
    </comment>
    <comment ref="J500" authorId="0">
      <text>
        <r>
          <rPr>
            <sz val="11"/>
            <color indexed="8"/>
            <rFont val="Helvetica Neue"/>
          </rPr>
          <t>Codex:
Fonte anagrafica: https://www.fantacalcio.it/serie-a/squadre/atalanta/rowe/6844/2026-27/italia</t>
        </r>
      </text>
    </comment>
    <comment ref="J501" authorId="0">
      <text>
        <r>
          <rPr>
            <sz val="11"/>
            <color indexed="8"/>
            <rFont val="Helvetica Neue"/>
          </rPr>
          <t>Codex:
Fonte anagrafica: https://www.fantacalcio.it/serie-a/squadre/genoa/vitinha-o/6164/2026-27/italia</t>
        </r>
      </text>
    </comment>
    <comment ref="J502" authorId="0">
      <text>
        <r>
          <rPr>
            <sz val="11"/>
            <color indexed="8"/>
            <rFont val="Helvetica Neue"/>
          </rPr>
          <t>Codex:
Fonte anagrafica: https://www.fantacalcio.it/serie-a/squadre/como/diao/6967/2026-27/italia</t>
        </r>
      </text>
    </comment>
    <comment ref="J503" authorId="0">
      <text>
        <r>
          <rPr>
            <sz val="11"/>
            <color indexed="8"/>
            <rFont val="Helvetica Neue"/>
          </rPr>
          <t>Codex:
Fonte anagrafica: https://www.fantacalcio.it/serie-a/squadre/inter/esposito-f-p/7071/2026-27/italia</t>
        </r>
      </text>
    </comment>
    <comment ref="J504" authorId="0">
      <text>
        <r>
          <rPr>
            <sz val="11"/>
            <color indexed="8"/>
            <rFont val="Helvetica Neue"/>
          </rPr>
          <t>Codex:
Fonte anagrafica: https://www.fantacalcio.it/serie-a/squadre/fiorentina/pellegrino-m/7023/2026-27/italia</t>
        </r>
      </text>
    </comment>
    <comment ref="J505" authorId="0">
      <text>
        <r>
          <rPr>
            <sz val="11"/>
            <color indexed="8"/>
            <rFont val="Helvetica Neue"/>
          </rPr>
          <t>Codex:
Fonte anagrafica: https://www.fantacalcio.it/serie-a/squadre/lazio/isaksen/6398/2026-27/italia</t>
        </r>
      </text>
    </comment>
    <comment ref="J506" authorId="0">
      <text>
        <r>
          <rPr>
            <sz val="11"/>
            <color indexed="8"/>
            <rFont val="Helvetica Neue"/>
          </rPr>
          <t>Codex:
Fonte anagrafica: https://www.fantacalcio.it/serie-a/squadre/frosinone/raimondo/5436/2026-27/italia</t>
        </r>
      </text>
    </comment>
    <comment ref="J507" authorId="0">
      <text>
        <r>
          <rPr>
            <sz val="11"/>
            <color indexed="8"/>
            <rFont val="Helvetica Neue"/>
          </rPr>
          <t>Codex:
Fonte anagrafica: https://www.fantacalcio.it/serie-a/squadre/bologna/cambiaghi/4436/2026-27/italia</t>
        </r>
      </text>
    </comment>
    <comment ref="J508" authorId="0">
      <text>
        <r>
          <rPr>
            <sz val="11"/>
            <color indexed="8"/>
            <rFont val="Helvetica Neue"/>
          </rPr>
          <t>Codex:
Fonte anagrafica: https://www.fantacalcio.it/serie-a/squadre/bologna/piccoli/4359/2026-27/italia</t>
        </r>
      </text>
    </comment>
    <comment ref="J509" authorId="0">
      <text>
        <r>
          <rPr>
            <sz val="11"/>
            <color indexed="8"/>
            <rFont val="Helvetica Neue"/>
          </rPr>
          <t>Codex:
Fonte anagrafica: https://www.fantacalcio.it/serie-a/squadre/atalanta/raspadori/4371/2026-27/italia</t>
        </r>
      </text>
    </comment>
    <comment ref="J510" authorId="0">
      <text>
        <r>
          <rPr>
            <sz val="11"/>
            <color indexed="8"/>
            <rFont val="Helvetica Neue"/>
          </rPr>
          <t>Codex:
Fonte anagrafica: https://www.fantacalcio.it/serie-a/squadre/venezia/yeboah-j/6904/2026-27/italia</t>
        </r>
      </text>
    </comment>
    <comment ref="J511" authorId="0">
      <text>
        <r>
          <rPr>
            <sz val="11"/>
            <color indexed="8"/>
            <rFont val="Helvetica Neue"/>
          </rPr>
          <t>Codex:
Fonte anagrafica: https://www.fantacalcio.it/serie-a/squadre/napoli/neres/6831/2026-27/italia</t>
        </r>
      </text>
    </comment>
    <comment ref="J512" authorId="0">
      <text>
        <r>
          <rPr>
            <sz val="11"/>
            <color indexed="8"/>
            <rFont val="Helvetica Neue"/>
          </rPr>
          <t>Codex:
Fonte anagrafica: https://www.fantacalcio.it/serie-a/squadre/juventus/boga/2832/2026-27/italia</t>
        </r>
      </text>
    </comment>
    <comment ref="J513" authorId="0">
      <text>
        <r>
          <rPr>
            <sz val="11"/>
            <color indexed="8"/>
            <rFont val="Helvetica Neue"/>
          </rPr>
          <t>Codex:
Fonte anagrafica: https://www.fantacalcio.it/serie-a/squadre/torino/zapata-d/608/2026-27/italia</t>
        </r>
      </text>
    </comment>
    <comment ref="J514" authorId="0">
      <text>
        <r>
          <rPr>
            <sz val="11"/>
            <color indexed="8"/>
            <rFont val="Helvetica Neue"/>
          </rPr>
          <t>Codex:
Fonte anagrafica: https://www.fantacalcio.it/serie-a/squadre/como/rodriguez-je/7129/2026-27/italia</t>
        </r>
      </text>
    </comment>
    <comment ref="J515" authorId="0">
      <text>
        <r>
          <rPr>
            <sz val="11"/>
            <color indexed="8"/>
            <rFont val="Helvetica Neue"/>
          </rPr>
          <t>Codex:
Fonte anagrafica: https://www.fantacalcio.it/serie-a/squadre/inter/bonny/6669/2026-27/italia</t>
        </r>
      </text>
    </comment>
    <comment ref="J516" authorId="0">
      <text>
        <r>
          <rPr>
            <sz val="11"/>
            <color indexed="8"/>
            <rFont val="Helvetica Neue"/>
          </rPr>
          <t>Codex:
Fonte anagrafica: https://www.fantacalcio.it/serie-a/squadre/napoli/lang/7120/2026-27/italia</t>
        </r>
      </text>
    </comment>
    <comment ref="J517" authorId="0">
      <text>
        <r>
          <rPr>
            <sz val="11"/>
            <color indexed="8"/>
            <rFont val="Helvetica Neue"/>
          </rPr>
          <t>Codex:
Fonte anagrafica: https://www.fantacalcio.it/serie-a/squadre/lecce/stulic/7252/2026-27/italia</t>
        </r>
      </text>
    </comment>
    <comment ref="J518" authorId="0">
      <text>
        <r>
          <rPr>
            <sz val="11"/>
            <color indexed="8"/>
            <rFont val="Helvetica Neue"/>
          </rPr>
          <t>Codex:
Fonte anagrafica: https://www.fantacalcio.it/serie-a/squadre/juventus/alajbegovic/7436/2026-27/italia</t>
        </r>
      </text>
    </comment>
    <comment ref="J519" authorId="0">
      <text>
        <r>
          <rPr>
            <sz val="11"/>
            <color indexed="8"/>
            <rFont val="Helvetica Neue"/>
          </rPr>
          <t>Codex:
Fonte anagrafica: https://www.fantacalcio.it/serie-a/squadre/sassuolo/bowie/7347/2026-27/italia</t>
        </r>
      </text>
    </comment>
    <comment ref="J520" authorId="0">
      <text>
        <r>
          <rPr>
            <sz val="11"/>
            <color indexed="8"/>
            <rFont val="Helvetica Neue"/>
          </rPr>
          <t>Codex:
Fonte anagrafica: https://www.fantacalcio.it/serie-a/squadre/monza/cutrone/2155/2026-27/italia</t>
        </r>
      </text>
    </comment>
    <comment ref="J521" authorId="0">
      <text>
        <r>
          <rPr>
            <sz val="11"/>
            <color indexed="8"/>
            <rFont val="Helvetica Neue"/>
          </rPr>
          <t>Codex:
Fonte anagrafica: https://www.fantacalcio.it/serie-a/squadre/monza/varela-g/7523/2026-27/italia</t>
        </r>
      </text>
    </comment>
    <comment ref="J522" authorId="0">
      <text>
        <r>
          <rPr>
            <sz val="11"/>
            <color indexed="8"/>
            <rFont val="Helvetica Neue"/>
          </rPr>
          <t>Codex:
Fonte anagrafica: https://www.fantacalcio.it/serie-a/squadre/fiorentina/njie/6827/2026-27/italia</t>
        </r>
      </text>
    </comment>
    <comment ref="J523" authorId="0">
      <text>
        <r>
          <rPr>
            <sz val="11"/>
            <color indexed="8"/>
            <rFont val="Helvetica Neue"/>
          </rPr>
          <t>Codex:
Fonte anagrafica: https://www.fantacalcio.it/serie-a/squadre/napoli/lucca/6215/2026-27/italia</t>
        </r>
      </text>
    </comment>
    <comment ref="J524" authorId="0">
      <text>
        <r>
          <rPr>
            <sz val="11"/>
            <color indexed="8"/>
            <rFont val="Helvetica Neue"/>
          </rPr>
          <t>Codex:
Fonte anagrafica: https://www.fantacalcio.it/serie-a/squadre/cagliari/borrelli/6243/2026-27/italia</t>
        </r>
      </text>
    </comment>
    <comment ref="J525" authorId="0">
      <text>
        <r>
          <rPr>
            <sz val="11"/>
            <color indexed="8"/>
            <rFont val="Helvetica Neue"/>
          </rPr>
          <t>Codex:
Fonte anagrafica: https://www.fantacalcio.it/serie-a/squadre/frosinone/ghedjemis/6530/2026-27/italia</t>
        </r>
      </text>
    </comment>
    <comment ref="J526" authorId="0">
      <text>
        <r>
          <rPr>
            <sz val="11"/>
            <color indexed="8"/>
            <rFont val="Helvetica Neue"/>
          </rPr>
          <t>Codex:
Fonte anagrafica: https://www.fantacalcio.it/serie-a/squadre/fiorentina/gnonto/7623/2026-27/italia</t>
        </r>
      </text>
    </comment>
    <comment ref="J527" authorId="0">
      <text>
        <r>
          <rPr>
            <sz val="11"/>
            <color indexed="8"/>
            <rFont val="Helvetica Neue"/>
          </rPr>
          <t>Codex:
Fonte anagrafica: https://www.fantacalcio.it/serie-a/squadre/parma/romero-d/7554/2026-27/italia</t>
        </r>
      </text>
    </comment>
    <comment ref="J528" authorId="0">
      <text>
        <r>
          <rPr>
            <sz val="11"/>
            <color indexed="8"/>
            <rFont val="Helvetica Neue"/>
          </rPr>
          <t>Codex:
Fonte anagrafica: https://www.fantacalcio.it/serie-a/squadre/venezia/adams-a/7484/2026-27/italia</t>
        </r>
      </text>
    </comment>
    <comment ref="J529" authorId="0">
      <text>
        <r>
          <rPr>
            <sz val="11"/>
            <color indexed="8"/>
            <rFont val="Helvetica Neue"/>
          </rPr>
          <t>Codex:
Fonte anagrafica: https://www.fantacalcio.it/serie-a/squadre/lazio/noslin/6556/2026-27/italia</t>
        </r>
      </text>
    </comment>
    <comment ref="J530" authorId="0">
      <text>
        <r>
          <rPr>
            <sz val="11"/>
            <color indexed="8"/>
            <rFont val="Helvetica Neue"/>
          </rPr>
          <t>Codex:
Fonte anagrafica: https://www.fantacalcio.it/serie-a/squadre/bologna/dovbyk/6675/2026-27/italia</t>
        </r>
      </text>
    </comment>
    <comment ref="J531" authorId="0">
      <text>
        <r>
          <rPr>
            <sz val="11"/>
            <color indexed="8"/>
            <rFont val="Helvetica Neue"/>
          </rPr>
          <t>Codex:
Fonte anagrafica: https://www.fantacalcio.it/serie-a/squadre/parma/elphege/7342/2026-27/italia</t>
        </r>
      </text>
    </comment>
    <comment ref="J532" authorId="0">
      <text>
        <r>
          <rPr>
            <sz val="11"/>
            <color indexed="8"/>
            <rFont val="Helvetica Neue"/>
          </rPr>
          <t>Codex:
Fonte anagrafica: https://www.fantacalcio.it/serie-a/squadre/frosinone/kvernadze/6204/2026-27/italia</t>
        </r>
      </text>
    </comment>
    <comment ref="J533" authorId="0">
      <text>
        <r>
          <rPr>
            <sz val="11"/>
            <color indexed="8"/>
            <rFont val="Helvetica Neue"/>
          </rPr>
          <t>Codex:
Fonte anagrafica: https://www.fantacalcio.it/serie-a/squadre/juventus/gonzalez-n/4179/2026-27/italia</t>
        </r>
      </text>
    </comment>
    <comment ref="J534" authorId="0">
      <text>
        <r>
          <rPr>
            <sz val="11"/>
            <color indexed="8"/>
            <rFont val="Helvetica Neue"/>
          </rPr>
          <t>Codex:
Fonte anagrafica: https://www.fantacalcio.it/serie-a/squadre/napoli/giovane/7162/2026-27/italia</t>
        </r>
      </text>
    </comment>
    <comment ref="J535" authorId="0">
      <text>
        <r>
          <rPr>
            <sz val="11"/>
            <color indexed="8"/>
            <rFont val="Helvetica Neue"/>
          </rPr>
          <t>Codex:
Fonte anagrafica: https://www.fantacalcio.it/serie-a/squadre/monza/ngonge/6145/2026-27/italia</t>
        </r>
      </text>
    </comment>
    <comment ref="J536" authorId="0">
      <text>
        <r>
          <rPr>
            <sz val="11"/>
            <color indexed="8"/>
            <rFont val="Helvetica Neue"/>
          </rPr>
          <t>Codex:
Fonte anagrafica: https://www.fantacalcio.it/serie-a/squadre/venezia/adorante/4387/2026-27/italia</t>
        </r>
      </text>
    </comment>
    <comment ref="J537" authorId="0">
      <text>
        <r>
          <rPr>
            <sz val="11"/>
            <color indexed="8"/>
            <rFont val="Helvetica Neue"/>
          </rPr>
          <t>Codex:
Fonte anagrafica: https://www.fantacalcio.it/serie-a/squadre/parma/tourè-e/6229/2026-27/italia</t>
        </r>
      </text>
    </comment>
    <comment ref="J538" authorId="0">
      <text>
        <r>
          <rPr>
            <sz val="11"/>
            <color indexed="8"/>
            <rFont val="Helvetica Neue"/>
          </rPr>
          <t>Codex:
Fonte anagrafica: https://www.fantacalcio.it/serie-a/squadre/lazio/cancellieri/5500/2026-27/italia</t>
        </r>
      </text>
    </comment>
    <comment ref="J539" authorId="0">
      <text>
        <r>
          <rPr>
            <sz val="11"/>
            <color indexed="8"/>
            <rFont val="Helvetica Neue"/>
          </rPr>
          <t>Codex:
Fonte anagrafica: https://www.fantacalcio.it/serie-a/squadre/monza/mota/5882/2026-27/italia</t>
        </r>
      </text>
    </comment>
    <comment ref="J540" authorId="0">
      <text>
        <r>
          <rPr>
            <sz val="11"/>
            <color indexed="8"/>
            <rFont val="Helvetica Neue"/>
          </rPr>
          <t>Codex:
Fonte anagrafica: https://www.fantacalcio.it/serie-a/squadre/cagliari/nzola/5336/2026-27/italia</t>
        </r>
      </text>
    </comment>
    <comment ref="J541" authorId="0">
      <text>
        <r>
          <rPr>
            <sz val="11"/>
            <color indexed="8"/>
            <rFont val="Helvetica Neue"/>
          </rPr>
          <t>Codex:
Fonte anagrafica: https://www.fantacalcio.it/serie-a/squadre/lecce/geubbels/5029/2026-27/italia</t>
        </r>
      </text>
    </comment>
    <comment ref="J542" authorId="0">
      <text>
        <r>
          <rPr>
            <sz val="11"/>
            <color indexed="8"/>
            <rFont val="Helvetica Neue"/>
          </rPr>
          <t>Codex:
Fonte anagrafica: https://www.fantacalcio.it/serie-a/squadre/frosinone/bobcek/7612/2026-27/italia</t>
        </r>
      </text>
    </comment>
    <comment ref="J543" authorId="0">
      <text>
        <r>
          <rPr>
            <sz val="11"/>
            <color indexed="8"/>
            <rFont val="Helvetica Neue"/>
          </rPr>
          <t>Codex:
Fonte anagrafica: https://www.fantacalcio.it/serie-a/squadre/atalanta/sulemana-k/5918/2026-27/italia</t>
        </r>
      </text>
    </comment>
    <comment ref="J544" authorId="0">
      <text>
        <r>
          <rPr>
            <sz val="11"/>
            <color indexed="8"/>
            <rFont val="Helvetica Neue"/>
          </rPr>
          <t>Codex:
Fonte anagrafica: https://www.fantacalcio.it/serie-a/squadre/cagliari/kevin-carlos/7547/2026-27/italia</t>
        </r>
      </text>
    </comment>
    <comment ref="J545" authorId="0">
      <text>
        <r>
          <rPr>
            <sz val="11"/>
            <color indexed="8"/>
            <rFont val="Helvetica Neue"/>
          </rPr>
          <t>Codex:
Fonte anagrafica: https://www.fantacalcio.it/serie-a/squadre/sassuolo/dominguez-b/6895/2026-27/italia</t>
        </r>
      </text>
    </comment>
    <comment ref="J546" authorId="0">
      <text>
        <r>
          <rPr>
            <sz val="11"/>
            <color indexed="8"/>
            <rFont val="Helvetica Neue"/>
          </rPr>
          <t>Codex:
Fonte anagrafica: https://www.fantacalcio.it/serie-a/squadre/lecce/n-dri/7001/2026-27/italia</t>
        </r>
      </text>
    </comment>
    <comment ref="J547" authorId="0">
      <text>
        <r>
          <rPr>
            <sz val="11"/>
            <color indexed="8"/>
            <rFont val="Helvetica Neue"/>
          </rPr>
          <t>Codex:
Fonte anagrafica: https://www.fantacalcio.it/serie-a/squadre/torino/aboukhlal/7183/2026-27/italia</t>
        </r>
      </text>
    </comment>
    <comment ref="J548" authorId="0">
      <text>
        <r>
          <rPr>
            <sz val="11"/>
            <color indexed="8"/>
            <rFont val="Helvetica Neue"/>
          </rPr>
          <t>Codex:
Fonte anagrafica: https://www.fantacalcio.it/serie-a/squadre/monza/zeballos/7620/2026-27/italia</t>
        </r>
      </text>
    </comment>
    <comment ref="J549" authorId="0">
      <text>
        <r>
          <rPr>
            <sz val="11"/>
            <color indexed="8"/>
            <rFont val="Helvetica Neue"/>
          </rPr>
          <t>Codex:
Fonte anagrafica: https://www.fantacalcio.it/serie-a/squadre/udinese/gueye/7272/2026-27/italia</t>
        </r>
      </text>
    </comment>
    <comment ref="J550" authorId="0">
      <text>
        <r>
          <rPr>
            <sz val="11"/>
            <color indexed="8"/>
            <rFont val="Helvetica Neue"/>
          </rPr>
          <t>Codex:
Fonte anagrafica: https://www.fantacalcio.it/serie-a/squadre/torino/kulenovic/7349/2026-27/italia</t>
        </r>
      </text>
    </comment>
    <comment ref="J551" authorId="0">
      <text>
        <r>
          <rPr>
            <sz val="11"/>
            <color indexed="8"/>
            <rFont val="Helvetica Neue"/>
          </rPr>
          <t>Codex:
Fonte anagrafica: https://www.fantacalcio.it/serie-a/squadre/parma/almqvist/6207/2026-27/italia</t>
        </r>
      </text>
    </comment>
    <comment ref="J552" authorId="0">
      <text>
        <r>
          <rPr>
            <sz val="11"/>
            <color indexed="8"/>
            <rFont val="Helvetica Neue"/>
          </rPr>
          <t>Codex:
Fonte anagrafica: https://www.fantacalcio.it/serie-a/squadre/como/addai/7127/2026-27/italia</t>
        </r>
      </text>
    </comment>
    <comment ref="J553" authorId="0">
      <text>
        <r>
          <rPr>
            <sz val="11"/>
            <color indexed="8"/>
            <rFont val="Helvetica Neue"/>
          </rPr>
          <t>Codex:
Fonte anagrafica: https://www.fantacalcio.it/serie-a/squadre/genoa/havel/7453/2026-27/italia</t>
        </r>
      </text>
    </comment>
    <comment ref="J554" authorId="0">
      <text>
        <r>
          <rPr>
            <sz val="11"/>
            <color indexed="8"/>
            <rFont val="Helvetica Neue"/>
          </rPr>
          <t>Codex:
Fonte anagrafica: https://www.fantacalcio.it/serie-a/squadre/frosinone/birligea/7610/2026-27/italia</t>
        </r>
      </text>
    </comment>
    <comment ref="J555" authorId="0">
      <text>
        <r>
          <rPr>
            <sz val="11"/>
            <color indexed="8"/>
            <rFont val="Helvetica Neue"/>
          </rPr>
          <t>Codex:
Fonte anagrafica: https://www.fantacalcio.it/serie-a/squadre/genoa/osmajic/7600/2026-27/italia</t>
        </r>
      </text>
    </comment>
    <comment ref="J556" authorId="0">
      <text>
        <r>
          <rPr>
            <sz val="11"/>
            <color indexed="8"/>
            <rFont val="Helvetica Neue"/>
          </rPr>
          <t>Codex:
Fonte anagrafica: https://www.fantacalcio.it/serie-a/squadre/udinese/bayo-v/7161/2026-27/italia</t>
        </r>
      </text>
    </comment>
    <comment ref="J557" authorId="0">
      <text>
        <r>
          <rPr>
            <sz val="11"/>
            <color indexed="8"/>
            <rFont val="Helvetica Neue"/>
          </rPr>
          <t>Codex:
Fonte anagrafica: https://www.fantacalcio.it/serie-a/squadre/juventus/ekhator/6822/2026-27/italia</t>
        </r>
      </text>
    </comment>
    <comment ref="J558" authorId="0">
      <text>
        <r>
          <rPr>
            <sz val="11"/>
            <color indexed="8"/>
            <rFont val="Helvetica Neue"/>
          </rPr>
          <t>Codex:
Fonte anagrafica: https://www.fantacalcio.it/serie-a/squadre/cagliari/felici/6640/2026-27/italia</t>
        </r>
      </text>
    </comment>
    <comment ref="J559" authorId="0">
      <text>
        <r>
          <rPr>
            <sz val="11"/>
            <color indexed="8"/>
            <rFont val="Helvetica Neue"/>
          </rPr>
          <t>Codex:
Fonte anagrafica: https://www.fantacalcio.it/serie-a/squadre/frosinone/fini/6506/2026-27/italia</t>
        </r>
      </text>
    </comment>
    <comment ref="J560" authorId="0">
      <text>
        <r>
          <rPr>
            <sz val="11"/>
            <color indexed="8"/>
            <rFont val="Helvetica Neue"/>
          </rPr>
          <t>Codex:
Fonte anagrafica: https://www.fantacalcio.it/serie-a/squadre/milan/camarda/6519/2026-27/italia</t>
        </r>
      </text>
    </comment>
    <comment ref="J561" authorId="0">
      <text>
        <r>
          <rPr>
            <sz val="11"/>
            <color indexed="8"/>
            <rFont val="Helvetica Neue"/>
          </rPr>
          <t>Codex:
Fonte anagrafica: https://www.fantacalcio.it/serie-a/squadre/bologna/enem/7627/2026-27/italia</t>
        </r>
      </text>
    </comment>
    <comment ref="J562" authorId="0">
      <text>
        <r>
          <rPr>
            <sz val="11"/>
            <color indexed="8"/>
            <rFont val="Helvetica Neue"/>
          </rPr>
          <t>Codex:
Fonte anagrafica: https://serieaspelare.se/</t>
        </r>
      </text>
    </comment>
    <comment ref="J563" authorId="0">
      <text>
        <r>
          <rPr>
            <sz val="11"/>
            <color indexed="8"/>
            <rFont val="Helvetica Neue"/>
          </rPr>
          <t>Codex:
Fonte anagrafica: https://www.fantacalcio.it/serie-a/squadre/venezia/rrahmani-al/7449/2026-27/italia</t>
        </r>
      </text>
    </comment>
    <comment ref="J564" authorId="0">
      <text>
        <r>
          <rPr>
            <sz val="11"/>
            <color indexed="8"/>
            <rFont val="Helvetica Neue"/>
          </rPr>
          <t>Codex:
Fonte anagrafica: https://www.fantacalcio.it/serie-a/squadre/parma/lontani/7561/2026-27/italia</t>
        </r>
      </text>
    </comment>
    <comment ref="J565" authorId="0">
      <text>
        <r>
          <rPr>
            <sz val="11"/>
            <color indexed="8"/>
            <rFont val="Helvetica Neue"/>
          </rPr>
          <t>Codex:
Fonte anagrafica: https://www.fantacalcio.it/serie-a/squadre/juventus/milik/2012/2026-27/italia</t>
        </r>
      </text>
    </comment>
    <comment ref="J566" authorId="0">
      <text>
        <r>
          <rPr>
            <sz val="11"/>
            <color indexed="8"/>
            <rFont val="Helvetica Neue"/>
          </rPr>
          <t>Codex:
Fonte anagrafica: https://www.fantacalcio.it/serie-a/squadre/lecce/fatah/7602/2026-27/italia</t>
        </r>
      </text>
    </comment>
    <comment ref="J567" authorId="0">
      <text>
        <r>
          <rPr>
            <sz val="11"/>
            <color indexed="8"/>
            <rFont val="Helvetica Neue"/>
          </rPr>
          <t>Codex:
Fonte anagrafica: https://www.fantacalcio.it/serie-a/squadre/cagliari/mendy-p/7374/2026-27/italia</t>
        </r>
      </text>
    </comment>
    <comment ref="J568" authorId="0">
      <text>
        <r>
          <rPr>
            <sz val="11"/>
            <color indexed="8"/>
            <rFont val="Helvetica Neue"/>
          </rPr>
          <t>Codex:
Fonte anagrafica: https://www.fantacalcio.it/serie-a/squadre/venezia/lisman/7408/2026-27/italia</t>
        </r>
      </text>
    </comment>
    <comment ref="J569" authorId="0">
      <text>
        <r>
          <rPr>
            <sz val="11"/>
            <color indexed="8"/>
            <rFont val="Helvetica Neue"/>
          </rPr>
          <t>Codex:
Fonte anagrafica: https://www.fantacalcio.it/serie-a/squadre/parma/frigan/7213/2026-27/italia</t>
        </r>
      </text>
    </comment>
    <comment ref="J570" authorId="0">
      <text>
        <r>
          <rPr>
            <sz val="11"/>
            <color indexed="8"/>
            <rFont val="Helvetica Neue"/>
          </rPr>
          <t>Codex:
Fonte anagrafica: https://www.fantacalcio.it/serie-a/squadre/monza/robinson-j/7546/2026-27/italia</t>
        </r>
      </text>
    </comment>
    <comment ref="J571" authorId="0">
      <text>
        <r>
          <rPr>
            <sz val="11"/>
            <color indexed="8"/>
            <rFont val="Helvetica Neue"/>
          </rPr>
          <t>Codex:
Fonte anagrafica: https://www.fantacalcio.it/serie-a/squadre/bologna/karlsson/6459/2025-26/italia</t>
        </r>
      </text>
    </comment>
    <comment ref="J573" authorId="0">
      <text>
        <r>
          <rPr>
            <sz val="11"/>
            <color indexed="8"/>
            <rFont val="Helvetica Neue"/>
          </rPr>
          <t>Codex:
Fonte anagrafica: https://www.fantacalcio.it/serie-a/squadre/parma/diallo-o/7536/2026-27/italia</t>
        </r>
      </text>
    </comment>
    <comment ref="J574" authorId="0">
      <text>
        <r>
          <rPr>
            <sz val="11"/>
            <color indexed="8"/>
            <rFont val="Helvetica Neue"/>
          </rPr>
          <t>Codex:
Fonte anagrafica: https://serieaspelare.se/</t>
        </r>
      </text>
    </comment>
    <comment ref="J575" authorId="0">
      <text>
        <r>
          <rPr>
            <sz val="11"/>
            <color indexed="8"/>
            <rFont val="Helvetica Neue"/>
          </rPr>
          <t>Codex:
Fonte anagrafica: https://www.fantacalcio.it/serie-a/squadre/venezia/lauberbach/7482/2026-27/italia</t>
        </r>
      </text>
    </comment>
    <comment ref="J576" authorId="0">
      <text>
        <r>
          <rPr>
            <sz val="11"/>
            <color indexed="8"/>
            <rFont val="Helvetica Neue"/>
          </rPr>
          <t>Codex:
Fonte anagrafica: https://www.fantacalcio.it/serie-a/squadre/monza/forson-o/6592/2026-27/italia</t>
        </r>
      </text>
    </comment>
    <comment ref="J577" authorId="0">
      <text>
        <r>
          <rPr>
            <sz val="11"/>
            <color indexed="8"/>
            <rFont val="Helvetica Neue"/>
          </rPr>
          <t>Codex:
Fonte anagrafica: https://www.fantacalcio.it/serie-a/squadre/parma/de-martis/7568/2026-27/italia</t>
        </r>
      </text>
    </comment>
    <comment ref="J578" authorId="0">
      <text>
        <r>
          <rPr>
            <sz val="11"/>
            <color indexed="8"/>
            <rFont val="Helvetica Neue"/>
          </rPr>
          <t>Codex:
Fonte anagrafica: https://serieaspelare.se/</t>
        </r>
      </text>
    </comment>
    <comment ref="J579" authorId="0">
      <text>
        <r>
          <rPr>
            <sz val="11"/>
            <color indexed="8"/>
            <rFont val="Helvetica Neue"/>
          </rPr>
          <t>Codex:
Fonte anagrafica: https://serieaspelare.se/</t>
        </r>
      </text>
    </comment>
    <comment ref="J580" authorId="0">
      <text>
        <r>
          <rPr>
            <sz val="11"/>
            <color indexed="8"/>
            <rFont val="Helvetica Neue"/>
          </rPr>
          <t>Codex:
Fonte anagrafica: https://serieaspelare.se/</t>
        </r>
      </text>
    </comment>
    <comment ref="J581" authorId="0">
      <text>
        <r>
          <rPr>
            <sz val="11"/>
            <color indexed="8"/>
            <rFont val="Helvetica Neue"/>
          </rPr>
          <t>Codex:
Fonte anagrafica: https://www.fantacalcio.it/serie-a/squadre/cagliari/trepy/7317/2026-27/italia</t>
        </r>
      </text>
    </comment>
    <comment ref="J582" authorId="0">
      <text>
        <r>
          <rPr>
            <sz val="11"/>
            <color indexed="8"/>
            <rFont val="Helvetica Neue"/>
          </rPr>
          <t>Codex:
Fonte anagrafica: https://serieaspelare.se/</t>
        </r>
      </text>
    </comment>
    <comment ref="J583" authorId="0">
      <text>
        <r>
          <rPr>
            <sz val="11"/>
            <color indexed="8"/>
            <rFont val="Helvetica Neue"/>
          </rPr>
          <t>Codex:
Fonte anagrafica: https://serieaspelare.se/</t>
        </r>
      </text>
    </comment>
    <comment ref="J584" authorId="0">
      <text>
        <r>
          <rPr>
            <sz val="11"/>
            <color indexed="8"/>
            <rFont val="Helvetica Neue"/>
          </rPr>
          <t>Codex:
Fonte anagrafica: https://www.transfermarkt.com/matteo-lavelli/profil/spieler/972475</t>
        </r>
      </text>
    </comment>
    <comment ref="J585" authorId="0">
      <text>
        <r>
          <rPr>
            <sz val="11"/>
            <color indexed="8"/>
            <rFont val="Helvetica Neue"/>
          </rPr>
          <t>Codex:
Fonte anagrafica: https://serieaspelare.se/</t>
        </r>
      </text>
    </comment>
    <comment ref="J586" authorId="0">
      <text>
        <r>
          <rPr>
            <sz val="11"/>
            <color indexed="8"/>
            <rFont val="Helvetica Neue"/>
          </rPr>
          <t>Codex:
Fonte anagrafica: https://www.fantacalcio.it/serie-a/squadre/milan/balentien/7262/2025-26/italia</t>
        </r>
      </text>
    </comment>
    <comment ref="J587" authorId="0">
      <text>
        <r>
          <rPr>
            <sz val="11"/>
            <color indexed="8"/>
            <rFont val="Helvetica Neue"/>
          </rPr>
          <t>Codex:
Fonte anagrafica: https://serieaspelare.se/</t>
        </r>
      </text>
    </comment>
    <comment ref="J588" authorId="0">
      <text>
        <r>
          <rPr>
            <sz val="11"/>
            <color indexed="8"/>
            <rFont val="Helvetica Neue"/>
          </rPr>
          <t>Codex:
Fonte anagrafica: https://serieaspelare.se/</t>
        </r>
      </text>
    </comment>
    <comment ref="J589" authorId="0">
      <text>
        <r>
          <rPr>
            <sz val="11"/>
            <color indexed="8"/>
            <rFont val="Helvetica Neue"/>
          </rPr>
          <t>Codex:
Fonte anagrafica: https://serieaspelare.se/</t>
        </r>
      </text>
    </comment>
    <comment ref="J590" authorId="0">
      <text>
        <r>
          <rPr>
            <sz val="11"/>
            <color indexed="8"/>
            <rFont val="Helvetica Neue"/>
          </rPr>
          <t>Codex:
Fonte anagrafica: https://www.fantacalcio.it/serie-a/squadre/lecce/laerke/7571/2026-27/italia</t>
        </r>
      </text>
    </comment>
    <comment ref="J591" authorId="0">
      <text>
        <r>
          <rPr>
            <sz val="11"/>
            <color indexed="8"/>
            <rFont val="Helvetica Neue"/>
          </rPr>
          <t>Codex:
Fonte anagrafica: https://serieaspelare.se/</t>
        </r>
      </text>
    </comment>
    <comment ref="J592" authorId="0">
      <text>
        <r>
          <rPr>
            <sz val="11"/>
            <color indexed="8"/>
            <rFont val="Helvetica Neue"/>
          </rPr>
          <t>Codex:
Fonte anagrafica: https://www.transfermarkt.com/milos-jovic/profil/spieler/943473</t>
        </r>
      </text>
    </comment>
    <comment ref="J593" authorId="0">
      <text>
        <r>
          <rPr>
            <sz val="11"/>
            <color indexed="8"/>
            <rFont val="Helvetica Neue"/>
          </rPr>
          <t>Codex:
Fonte anagrafica: https://www.transfermarkt.com/mohamed-malang-toure/profil/spieler/1372355</t>
        </r>
      </text>
    </comment>
    <comment ref="J594" authorId="0">
      <text>
        <r>
          <rPr>
            <sz val="11"/>
            <color indexed="8"/>
            <rFont val="Helvetica Neue"/>
          </rPr>
          <t>Codex:
Fonte anagrafica: https://serieaspelare.se/</t>
        </r>
      </text>
    </comment>
  </commentList>
</comments>
</file>

<file path=xl/comments2.xml><?xml version="1.0" encoding="utf-8"?>
<comments xmlns="http://schemas.openxmlformats.org/spreadsheetml/2006/main">
  <authors>
    <author>Codex</author>
  </authors>
  <commentList>
    <comment ref="C4" authorId="0">
      <text>
        <r>
          <rPr>
            <sz val="11"/>
            <color indexed="8"/>
            <rFont val="Helvetica Neue"/>
          </rPr>
          <t>Codex:
Casella manuale: fai clic per selezionare un giocatore. Puoi poi filtrare TRUE per vedere solo i selezionati.</t>
        </r>
      </text>
    </comment>
    <comment ref="O4" authorId="0">
      <text>
        <r>
          <rPr>
            <sz val="11"/>
            <color indexed="8"/>
            <rFont val="Helvetica Neue"/>
          </rPr>
          <t>Codex:
Il mese tra parentesi deriva dal calendario Serie A Enilive 2026/27: https://www.legaseriea.it/serie-a/news/calendario-della-serie-a-enilive-2026-27</t>
        </r>
      </text>
    </comment>
    <comment ref="J5" authorId="0">
      <text>
        <r>
          <rPr>
            <sz val="11"/>
            <color indexed="8"/>
            <rFont val="Helvetica Neue"/>
          </rPr>
          <t>Codex:
Fonte anagrafica: https://www.fantacalcio.it/serie-a/squadre/roma/svilar/5841/2026-27/italia</t>
        </r>
      </text>
    </comment>
    <comment ref="J6" authorId="0">
      <text>
        <r>
          <rPr>
            <sz val="11"/>
            <color indexed="8"/>
            <rFont val="Helvetica Neue"/>
          </rPr>
          <t>Codex:
Fonte anagrafica: https://www.fantacalcio.it/serie-a/squadre/atalanta/carnesecchi/4431/2026-27/italia</t>
        </r>
      </text>
    </comment>
    <comment ref="J7" authorId="0">
      <text>
        <r>
          <rPr>
            <sz val="11"/>
            <color indexed="8"/>
            <rFont val="Helvetica Neue"/>
          </rPr>
          <t>Codex:
Fonte anagrafica: https://www.fantacalcio.it/serie-a/squadre/milan/maignan/4312/2026-27/italia</t>
        </r>
      </text>
    </comment>
    <comment ref="J8" authorId="0">
      <text>
        <r>
          <rPr>
            <sz val="11"/>
            <color indexed="8"/>
            <rFont val="Helvetica Neue"/>
          </rPr>
          <t>Codex:
Fonte anagrafica: https://www.fantacalcio.it/serie-a/squadre/inter/martinez-jo/5116/2026-27/italia</t>
        </r>
      </text>
    </comment>
    <comment ref="J9" authorId="0">
      <text>
        <r>
          <rPr>
            <sz val="11"/>
            <color indexed="8"/>
            <rFont val="Helvetica Neue"/>
          </rPr>
          <t>Codex:
Fonte anagrafica: https://www.fantacalcio.it/serie-a/squadre/juventus/vicario/4964/2026-27/italia</t>
        </r>
      </text>
    </comment>
    <comment ref="J10" authorId="0">
      <text>
        <r>
          <rPr>
            <sz val="11"/>
            <color indexed="8"/>
            <rFont val="Helvetica Neue"/>
          </rPr>
          <t>Codex:
Fonte anagrafica: https://www.fantacalcio.it/serie-a/squadre/como/butez/6966/2026-27/italia</t>
        </r>
      </text>
    </comment>
    <comment ref="J11" authorId="0">
      <text>
        <r>
          <rPr>
            <sz val="11"/>
            <color indexed="8"/>
            <rFont val="Helvetica Neue"/>
          </rPr>
          <t>Codex:
Fonte anagrafica: https://www.fantacalcio.it/serie-a/squadre/bologna/skorupski/133/2026-27/italia</t>
        </r>
      </text>
    </comment>
    <comment ref="J12" authorId="0">
      <text>
        <r>
          <rPr>
            <sz val="11"/>
            <color indexed="8"/>
            <rFont val="Helvetica Neue"/>
          </rPr>
          <t>Codex:
Fonte anagrafica: https://www.fantacalcio.it/serie-a/squadre/cagliari/caprile/4360/2026-27/italia</t>
        </r>
      </text>
    </comment>
    <comment ref="J13" authorId="0">
      <text>
        <r>
          <rPr>
            <sz val="11"/>
            <color indexed="8"/>
            <rFont val="Helvetica Neue"/>
          </rPr>
          <t>Codex:
Fonte anagrafica: https://www.fantacalcio.it/serie-a/squadre/lazio/mandas/6482/2026-27/italia</t>
        </r>
      </text>
    </comment>
    <comment ref="J14" authorId="0">
      <text>
        <r>
          <rPr>
            <sz val="11"/>
            <color indexed="8"/>
            <rFont val="Helvetica Neue"/>
          </rPr>
          <t>Codex:
Fonte anagrafica: https://www.fantacalcio.it/serie-a/squadre/napoli/meret/572/2026-27/italia</t>
        </r>
      </text>
    </comment>
    <comment ref="J15" authorId="0">
      <text>
        <r>
          <rPr>
            <sz val="11"/>
            <color indexed="8"/>
            <rFont val="Helvetica Neue"/>
          </rPr>
          <t>Codex:
Fonte anagrafica: https://www.fantacalcio.it/serie-a/squadre/genoa/bijlow/7332/2026-27/italia</t>
        </r>
      </text>
    </comment>
    <comment ref="J16" authorId="0">
      <text>
        <r>
          <rPr>
            <sz val="11"/>
            <color indexed="8"/>
            <rFont val="Helvetica Neue"/>
          </rPr>
          <t>Codex:
Fonte anagrafica: https://www.fantacalcio.it/serie-a/squadre/udinese/okoye/6462/2026-27/italia</t>
        </r>
      </text>
    </comment>
    <comment ref="J17" authorId="0">
      <text>
        <r>
          <rPr>
            <sz val="11"/>
            <color indexed="8"/>
            <rFont val="Helvetica Neue"/>
          </rPr>
          <t>Codex:
Fonte anagrafica: https://www.fantacalcio.it/serie-a/squadre/torino/perri/6534/2026-27/italia</t>
        </r>
      </text>
    </comment>
    <comment ref="J18" authorId="0">
      <text>
        <r>
          <rPr>
            <sz val="11"/>
            <color indexed="8"/>
            <rFont val="Helvetica Neue"/>
          </rPr>
          <t>Codex:
Fonte anagrafica: https://www.fantacalcio.it/serie-a/squadre/lecce/falcone/2134/2026-27/italia</t>
        </r>
      </text>
    </comment>
    <comment ref="J19" authorId="0">
      <text>
        <r>
          <rPr>
            <sz val="11"/>
            <color indexed="8"/>
            <rFont val="Helvetica Neue"/>
          </rPr>
          <t>Codex:
Fonte anagrafica: https://www.fantacalcio.it/serie-a/squadre/fiorentina/de-gea/2521/2026-27/italia</t>
        </r>
      </text>
    </comment>
    <comment ref="J20" authorId="0">
      <text>
        <r>
          <rPr>
            <sz val="11"/>
            <color indexed="8"/>
            <rFont val="Helvetica Neue"/>
          </rPr>
          <t>Codex:
Fonte anagrafica: https://www.fantacalcio.it/serie-a/squadre/sassuolo/muric/4236/2026-27/italia</t>
        </r>
      </text>
    </comment>
    <comment ref="J21" authorId="0">
      <text>
        <r>
          <rPr>
            <sz val="11"/>
            <color indexed="8"/>
            <rFont val="Helvetica Neue"/>
          </rPr>
          <t>Codex:
Fonte anagrafica: https://www.fantacalcio.it/serie-a/squadre/napoli/milinkovic-savic-v/2170/2026-27/italia</t>
        </r>
      </text>
    </comment>
    <comment ref="J22" authorId="0">
      <text>
        <r>
          <rPr>
            <sz val="11"/>
            <color indexed="8"/>
            <rFont val="Helvetica Neue"/>
          </rPr>
          <t>Codex:
Fonte anagrafica: https://www.fantacalcio.it/serie-a/squadre/frosinone/palmisani/6415/2026-27/italia</t>
        </r>
      </text>
    </comment>
    <comment ref="J23" authorId="0">
      <text>
        <r>
          <rPr>
            <sz val="11"/>
            <color indexed="8"/>
            <rFont val="Helvetica Neue"/>
          </rPr>
          <t>Codex:
Fonte anagrafica: https://www.fantacalcio.it/serie-a/squadre/venezia/stankovic-f/6248/2026-27/italia</t>
        </r>
      </text>
    </comment>
    <comment ref="J24" authorId="0">
      <text>
        <r>
          <rPr>
            <sz val="11"/>
            <color indexed="8"/>
            <rFont val="Helvetica Neue"/>
          </rPr>
          <t>Codex:
Fonte anagrafica: https://www.fantacalcio.it/serie-a/squadre/torino/paleari/5320/2026-27/italia</t>
        </r>
      </text>
    </comment>
    <comment ref="J25" authorId="0">
      <text>
        <r>
          <rPr>
            <sz val="11"/>
            <color indexed="8"/>
            <rFont val="Helvetica Neue"/>
          </rPr>
          <t>Codex:
Fonte anagrafica: https://www.fantacalcio.it/serie-a/squadre/monza/thiam/4485/2026-27/italia</t>
        </r>
      </text>
    </comment>
    <comment ref="J26" authorId="0">
      <text>
        <r>
          <rPr>
            <sz val="11"/>
            <color indexed="8"/>
            <rFont val="Helvetica Neue"/>
          </rPr>
          <t>Codex:
Fonte anagrafica: https://www.fantacalcio.it/serie-a/squadre/parma/daffara/7411/2026-27/italia</t>
        </r>
      </text>
    </comment>
    <comment ref="J27" authorId="0">
      <text>
        <r>
          <rPr>
            <sz val="11"/>
            <color indexed="8"/>
            <rFont val="Helvetica Neue"/>
          </rPr>
          <t>Codex:
Fonte anagrafica: https://www.fantacalcio.it/serie-a/squadre/monza/tornqvist/7301/2026-27/italia</t>
        </r>
      </text>
    </comment>
    <comment ref="J28" authorId="0">
      <text>
        <r>
          <rPr>
            <sz val="11"/>
            <color indexed="8"/>
            <rFont val="Helvetica Neue"/>
          </rPr>
          <t>Codex:
Fonte anagrafica: https://www.fantacalcio.it/serie-a/squadre/parma/corvi/6662/2026-27/italia</t>
        </r>
      </text>
    </comment>
    <comment ref="J29" authorId="0">
      <text>
        <r>
          <rPr>
            <sz val="11"/>
            <color indexed="8"/>
            <rFont val="Helvetica Neue"/>
          </rPr>
          <t>Codex:
Fonte anagrafica: https://www.fantacalcio.it/serie-a/squadre/venezia/montipò/4957/2026-27/italia</t>
        </r>
      </text>
    </comment>
    <comment ref="J30" authorId="0">
      <text>
        <r>
          <rPr>
            <sz val="11"/>
            <color indexed="8"/>
            <rFont val="Helvetica Neue"/>
          </rPr>
          <t>Codex:
Fonte anagrafica: https://www.fantacalcio.it/serie-a/squadre/inter/provedel/2814/2026-27/italia</t>
        </r>
      </text>
    </comment>
    <comment ref="J31" authorId="0">
      <text>
        <r>
          <rPr>
            <sz val="11"/>
            <color indexed="8"/>
            <rFont val="Helvetica Neue"/>
          </rPr>
          <t>Codex:
Fonte anagrafica: https://serieaspelare.se/</t>
        </r>
      </text>
    </comment>
    <comment ref="J32" authorId="0">
      <text>
        <r>
          <rPr>
            <sz val="11"/>
            <color indexed="8"/>
            <rFont val="Helvetica Neue"/>
          </rPr>
          <t>Codex:
Fonte anagrafica: https://www.fantacalcio.it/serie-a/squadre/fiorentina/christensen-o/6403/2026-27/italia</t>
        </r>
      </text>
    </comment>
    <comment ref="J33" authorId="0">
      <text>
        <r>
          <rPr>
            <sz val="11"/>
            <color indexed="8"/>
            <rFont val="Helvetica Neue"/>
          </rPr>
          <t>Codex:
Fonte anagrafica: https://www.fantacalcio.it/serie-a/squadre/milan/terracciano/2815/2026-27/italia</t>
        </r>
      </text>
    </comment>
    <comment ref="J34" authorId="0">
      <text>
        <r>
          <rPr>
            <sz val="11"/>
            <color indexed="8"/>
            <rFont val="Helvetica Neue"/>
          </rPr>
          <t>Codex:
Fonte anagrafica: https://www.fantacalcio.it/serie-a/squadre/torino/mascardi/7457/2026-27/italia</t>
        </r>
      </text>
    </comment>
    <comment ref="J35" authorId="0">
      <text>
        <r>
          <rPr>
            <sz val="11"/>
            <color indexed="8"/>
            <rFont val="Helvetica Neue"/>
          </rPr>
          <t>Codex:
Fonte anagrafica: https://www.fantacalcio.it/serie-a/squadre/lazio/motta/7337/2026-27/italia</t>
        </r>
      </text>
    </comment>
    <comment ref="J36" authorId="0">
      <text>
        <r>
          <rPr>
            <sz val="11"/>
            <color indexed="8"/>
            <rFont val="Helvetica Neue"/>
          </rPr>
          <t>Codex:
Fonte anagrafica: https://www.fantacalcio.it/serie-a/squadre/bologna/pessina-mas/7172/2026-27/italia</t>
        </r>
      </text>
    </comment>
    <comment ref="J37" authorId="0">
      <text>
        <r>
          <rPr>
            <sz val="11"/>
            <color indexed="8"/>
            <rFont val="Helvetica Neue"/>
          </rPr>
          <t>Codex:
Fonte anagrafica: https://www.fantacalcio.it/serie-a/squadre/sassuolo/turati/4867/2026-27/italia</t>
        </r>
      </text>
    </comment>
    <comment ref="J38" authorId="0">
      <text>
        <r>
          <rPr>
            <sz val="11"/>
            <color indexed="8"/>
            <rFont val="Helvetica Neue"/>
          </rPr>
          <t>Codex:
Fonte anagrafica: https://www.fantacalcio.it/serie-a/squadre/udinese/padelli/543/2026-27/italia</t>
        </r>
      </text>
    </comment>
    <comment ref="J39" authorId="0">
      <text>
        <r>
          <rPr>
            <sz val="11"/>
            <color indexed="8"/>
            <rFont val="Helvetica Neue"/>
          </rPr>
          <t>Codex:
Fonte anagrafica: https://serieaspelare.se/</t>
        </r>
      </text>
    </comment>
    <comment ref="J40" authorId="0">
      <text>
        <r>
          <rPr>
            <sz val="11"/>
            <color indexed="8"/>
            <rFont val="Helvetica Neue"/>
          </rPr>
          <t>Codex:
Fonte anagrafica: https://www.fantacalcio.it/serie-a/squadre/genoa/sommariva/219/2026-27/italia</t>
        </r>
      </text>
    </comment>
    <comment ref="J41" authorId="0">
      <text>
        <r>
          <rPr>
            <sz val="11"/>
            <color indexed="8"/>
            <rFont val="Helvetica Neue"/>
          </rPr>
          <t>Codex:
Fonte anagrafica: https://www.fantacalcio.it/serie-a/squadre/atalanta/sportiello/4/2026-27/italia</t>
        </r>
      </text>
    </comment>
    <comment ref="J42" authorId="0">
      <text>
        <r>
          <rPr>
            <sz val="11"/>
            <color indexed="8"/>
            <rFont val="Helvetica Neue"/>
          </rPr>
          <t>Codex:
Fonte anagrafica: https://www.fantacalcio.it/serie-a/squadre/inter/di-gennaro/1926/2026-27/italia</t>
        </r>
      </text>
    </comment>
    <comment ref="J43" authorId="0">
      <text>
        <r>
          <rPr>
            <sz val="11"/>
            <color indexed="8"/>
            <rFont val="Helvetica Neue"/>
          </rPr>
          <t>Codex:
Fonte anagrafica: https://www.fantacalcio.it/serie-a/squadre/frosinone/desplanches/7463/2026-27/italia</t>
        </r>
      </text>
    </comment>
    <comment ref="J44" authorId="0">
      <text>
        <r>
          <rPr>
            <sz val="11"/>
            <color indexed="8"/>
            <rFont val="Helvetica Neue"/>
          </rPr>
          <t>Codex:
Fonte anagrafica: https://www.fantacalcio.it/serie-a/squadre/cagliari/sherri/6650/2026-27/italia</t>
        </r>
      </text>
    </comment>
    <comment ref="J45" authorId="0">
      <text>
        <r>
          <rPr>
            <sz val="11"/>
            <color indexed="8"/>
            <rFont val="Helvetica Neue"/>
          </rPr>
          <t>Codex:
Fonte anagrafica: https://www.fantacalcio.it/serie-a/squadre/venezia/pozzi/7531/2026-27/italia</t>
        </r>
      </text>
    </comment>
    <comment ref="J46" authorId="0">
      <text>
        <r>
          <rPr>
            <sz val="11"/>
            <color indexed="8"/>
            <rFont val="Helvetica Neue"/>
          </rPr>
          <t>Codex:
Fonte anagrafica: https://www.fantacalcio.it/serie-a/squadre/monza/strajnar/7475/2026-27/italia</t>
        </r>
      </text>
    </comment>
    <comment ref="J47" authorId="0">
      <text>
        <r>
          <rPr>
            <sz val="11"/>
            <color indexed="8"/>
            <rFont val="Helvetica Neue"/>
          </rPr>
          <t>Codex:
Fonte anagrafica: https://www.fantacalcio.it/serie-a/squadre/udinese/mrozek/7611/2026-27/italia</t>
        </r>
      </text>
    </comment>
    <comment ref="J48" authorId="0">
      <text>
        <r>
          <rPr>
            <sz val="11"/>
            <color indexed="8"/>
            <rFont val="Helvetica Neue"/>
          </rPr>
          <t>Codex:
Fonte anagrafica: https://www.fantacalcio.it/serie-a/squadre/cagliari/radunovic/3/2026-27/italia</t>
        </r>
      </text>
    </comment>
    <comment ref="J49" authorId="0">
      <text>
        <r>
          <rPr>
            <sz val="11"/>
            <color indexed="8"/>
            <rFont val="Helvetica Neue"/>
          </rPr>
          <t>Codex:
Fonte anagrafica: https://www.fantacalcio.it/serie-a/squadre/juventus/pinsoglio/1930/2026-27/italia</t>
        </r>
      </text>
    </comment>
    <comment ref="J50" authorId="0">
      <text>
        <r>
          <rPr>
            <sz val="11"/>
            <color indexed="8"/>
            <rFont val="Helvetica Neue"/>
          </rPr>
          <t>Codex:
Fonte anagrafica: https://www.fantacalcio.it/serie-a/squadre/lazio/renzetti/7534/2026-27/italia</t>
        </r>
      </text>
    </comment>
    <comment ref="J51" authorId="0">
      <text>
        <r>
          <rPr>
            <sz val="11"/>
            <color indexed="8"/>
            <rFont val="Helvetica Neue"/>
          </rPr>
          <t>Codex:
Fonte anagrafica: https://www.fantacalcio.it/serie-a/squadre/roma/vasquez-d/6125/2025-26/italia</t>
        </r>
      </text>
    </comment>
    <comment ref="J52" authorId="0">
      <text>
        <r>
          <rPr>
            <sz val="11"/>
            <color indexed="8"/>
            <rFont val="Helvetica Neue"/>
          </rPr>
          <t>Codex:
Fonte anagrafica: https://www.fantacalcio.it/serie-a/squadre/udinese/piana/5707/2026-27/italia</t>
        </r>
      </text>
    </comment>
    <comment ref="J53" authorId="0">
      <text>
        <r>
          <rPr>
            <sz val="11"/>
            <color indexed="8"/>
            <rFont val="Helvetica Neue"/>
          </rPr>
          <t>Codex:
Fonte anagrafica: https://www.fantacalcio.it/serie-a/squadre/frosinone/lolic/7466/2026-27/italia</t>
        </r>
      </text>
    </comment>
    <comment ref="J54" authorId="0">
      <text>
        <r>
          <rPr>
            <sz val="11"/>
            <color indexed="8"/>
            <rFont val="Helvetica Neue"/>
          </rPr>
          <t>Codex:
Fonte anagrafica: https://www.fantacalcio.it/serie-a/squadre/atalanta/rossi-f/2297/2026-27/italia</t>
        </r>
      </text>
    </comment>
    <comment ref="J55" authorId="0">
      <text>
        <r>
          <rPr>
            <sz val="11"/>
            <color indexed="8"/>
            <rFont val="Helvetica Neue"/>
          </rPr>
          <t>Codex:
Fonte anagrafica: https://www.fantacalcio.it/serie-a/squadre/genoa/stolz/6569/2026-27/italia</t>
        </r>
      </text>
    </comment>
    <comment ref="J56" authorId="0">
      <text>
        <r>
          <rPr>
            <sz val="11"/>
            <color indexed="8"/>
            <rFont val="Helvetica Neue"/>
          </rPr>
          <t>Codex:
Fonte anagrafica: https://www.fantacalcio.it/serie-a/squadre/sassuolo/satalino/2127/2026-27/italia</t>
        </r>
      </text>
    </comment>
    <comment ref="J57" authorId="0">
      <text>
        <r>
          <rPr>
            <sz val="11"/>
            <color indexed="8"/>
            <rFont val="Helvetica Neue"/>
          </rPr>
          <t>Codex:
Fonte anagrafica: https://www.fantacalcio.it/serie-a/squadre/roma/de-marzi/7048/2026-27/italia</t>
        </r>
      </text>
    </comment>
    <comment ref="J58" authorId="0">
      <text>
        <r>
          <rPr>
            <sz val="11"/>
            <color indexed="8"/>
            <rFont val="Helvetica Neue"/>
          </rPr>
          <t>Codex:
Fonte anagrafica: https://www.fantacalcio.it/serie-a/squadre/juventus/grabara/7603/2026-27/italia</t>
        </r>
      </text>
    </comment>
    <comment ref="J59" authorId="0">
      <text>
        <r>
          <rPr>
            <sz val="11"/>
            <color indexed="8"/>
            <rFont val="Helvetica Neue"/>
          </rPr>
          <t>Codex:
Fonte anagrafica: https://www.fantacalcio.it/serie-a/squadre/torino/siviero/7363/2026-27/italia</t>
        </r>
      </text>
    </comment>
    <comment ref="J60" authorId="0">
      <text>
        <r>
          <rPr>
            <sz val="11"/>
            <color indexed="8"/>
            <rFont val="Helvetica Neue"/>
          </rPr>
          <t>Codex:
Fonte anagrafica: https://www.fantacalcio.it/serie-a/squadre/milan/torriani/6813/2026-27/italia</t>
        </r>
      </text>
    </comment>
    <comment ref="J61" authorId="0">
      <text>
        <r>
          <rPr>
            <sz val="11"/>
            <color indexed="8"/>
            <rFont val="Helvetica Neue"/>
          </rPr>
          <t>Codex:
Fonte anagrafica: https://www.fantacalcio.it/serie-a/squadre/fiorentina/lezzerini/158/2026-27/italia</t>
        </r>
      </text>
    </comment>
    <comment ref="J62" authorId="0">
      <text>
        <r>
          <rPr>
            <sz val="11"/>
            <color indexed="8"/>
            <rFont val="Helvetica Neue"/>
          </rPr>
          <t>Codex:
Fonte anagrafica: https://www.fantacalcio.it/serie-a/squadre/lecce/bleve/4468/2026-27/italia</t>
        </r>
      </text>
    </comment>
    <comment ref="J63" authorId="0">
      <text>
        <r>
          <rPr>
            <sz val="11"/>
            <color indexed="8"/>
            <rFont val="Helvetica Neue"/>
          </rPr>
          <t>Codex:
Fonte anagrafica: https://www.fantacalcio.it/serie-a/squadre/venezia/grandi/6671/2026-27/italia</t>
        </r>
      </text>
    </comment>
    <comment ref="J64" authorId="0">
      <text>
        <r>
          <rPr>
            <sz val="11"/>
            <color indexed="8"/>
            <rFont val="Helvetica Neue"/>
          </rPr>
          <t>Codex:
Fonte anagrafica: https://www.fantacalcio.it/serie-a/squadre/frosinone/pisseri/7560/2026-27/italia</t>
        </r>
      </text>
    </comment>
    <comment ref="J65" authorId="0">
      <text>
        <r>
          <rPr>
            <sz val="11"/>
            <color indexed="8"/>
            <rFont val="Helvetica Neue"/>
          </rPr>
          <t>Codex:
Fonte anagrafica: https://serieaspelare.se/</t>
        </r>
      </text>
    </comment>
    <comment ref="J66" authorId="0">
      <text>
        <r>
          <rPr>
            <sz val="11"/>
            <color indexed="8"/>
            <rFont val="Helvetica Neue"/>
          </rPr>
          <t>Codex:
Fonte anagrafica: https://www.fantacalcio.it/serie-a/squadre/como/vigorito/2809/2026-27/italia</t>
        </r>
      </text>
    </comment>
    <comment ref="J67" authorId="0">
      <text>
        <r>
          <rPr>
            <sz val="11"/>
            <color indexed="8"/>
            <rFont val="Helvetica Neue"/>
          </rPr>
          <t>Codex:
Fonte anagrafica: https://www.fantacalcio.it/serie-a/squadre/napoli/contini/2845/2026-27/italia</t>
        </r>
      </text>
    </comment>
    <comment ref="J68" authorId="0">
      <text>
        <r>
          <rPr>
            <sz val="11"/>
            <color indexed="8"/>
            <rFont val="Helvetica Neue"/>
          </rPr>
          <t>Codex:
Fonte anagrafica: https://www.fantacalcio.it/serie-a/squadre/roma/gollini/610/2026-27/italia</t>
        </r>
      </text>
    </comment>
    <comment ref="J69" authorId="0">
      <text>
        <r>
          <rPr>
            <sz val="11"/>
            <color indexed="8"/>
            <rFont val="Helvetica Neue"/>
          </rPr>
          <t>Codex:
Fonte anagrafica: https://www.transfermarkt.com/piotr-pardel/profil/spieler/970683</t>
        </r>
      </text>
    </comment>
    <comment ref="J70" authorId="0">
      <text>
        <r>
          <rPr>
            <sz val="11"/>
            <color indexed="8"/>
            <rFont val="Helvetica Neue"/>
          </rPr>
          <t>Codex:
Fonte anagrafica: https://www.fantacalcio.it/serie-a/squadre/lecce/penev/7557/2026-27/italia</t>
        </r>
      </text>
    </comment>
    <comment ref="J71" authorId="0">
      <text>
        <r>
          <rPr>
            <sz val="11"/>
            <color indexed="8"/>
            <rFont val="Helvetica Neue"/>
          </rPr>
          <t>Codex:
Fonte anagrafica: https://www.transfermarkt.com/riccardo-radu/profil/spieler/1124104</t>
        </r>
      </text>
    </comment>
    <comment ref="J72" authorId="0">
      <text>
        <r>
          <rPr>
            <sz val="11"/>
            <color indexed="8"/>
            <rFont val="Helvetica Neue"/>
          </rPr>
          <t>Codex:
Fonte anagrafica: https://www.fantacalcio.it/serie-a/squadre/como/sanchez-ro/6344/2026-27/italia</t>
        </r>
      </text>
    </comment>
    <comment ref="J73" authorId="0">
      <text>
        <r>
          <rPr>
            <sz val="11"/>
            <color indexed="8"/>
            <rFont val="Helvetica Neue"/>
          </rPr>
          <t>Codex:
Fonte anagrafica: https://www.fantacalcio.it/serie-a/squadre/parma/ghidotti/2874/2026-27/italia</t>
        </r>
      </text>
    </comment>
    <comment ref="J74" authorId="0">
      <text>
        <r>
          <rPr>
            <sz val="11"/>
            <color indexed="8"/>
            <rFont val="Helvetica Neue"/>
          </rPr>
          <t>Codex:
Fonte anagrafica: https://www.fantacalcio.it/serie-a/squadre/atalanta/pompei/7626/2026-27/italia</t>
        </r>
      </text>
    </comment>
    <comment ref="J75" authorId="0">
      <text>
        <r>
          <rPr>
            <sz val="11"/>
            <color indexed="8"/>
            <rFont val="Helvetica Neue"/>
          </rPr>
          <t>Codex:
Fonte anagrafica: https://www.fantacalcio.it/serie-a/squadre/bologna/happonen/7533/2026-27/italia</t>
        </r>
      </text>
    </comment>
    <comment ref="J76" authorId="0">
      <text>
        <r>
          <rPr>
            <sz val="11"/>
            <color indexed="8"/>
            <rFont val="Helvetica Neue"/>
          </rPr>
          <t>Codex:
Fonte anagrafica: https://serieaspelare.se/</t>
        </r>
      </text>
    </comment>
  </commentList>
</comments>
</file>

<file path=xl/comments3.xml><?xml version="1.0" encoding="utf-8"?>
<comments xmlns="http://schemas.openxmlformats.org/spreadsheetml/2006/main">
  <authors>
    <author>Codex</author>
  </authors>
  <commentList>
    <comment ref="C4" authorId="0">
      <text>
        <r>
          <rPr>
            <sz val="11"/>
            <color indexed="8"/>
            <rFont val="Helvetica Neue"/>
          </rPr>
          <t>Codex:
Casella manuale: fai clic per selezionare un giocatore. Puoi poi filtrare TRUE per vedere solo i selezionati.</t>
        </r>
      </text>
    </comment>
    <comment ref="O4" authorId="0">
      <text>
        <r>
          <rPr>
            <sz val="11"/>
            <color indexed="8"/>
            <rFont val="Helvetica Neue"/>
          </rPr>
          <t>Codex:
Il mese tra parentesi deriva dal calendario Serie A Enilive 2026/27: https://www.legaseriea.it/serie-a/news/calendario-della-serie-a-enilive-2026-27</t>
        </r>
      </text>
    </comment>
    <comment ref="J5" authorId="0">
      <text>
        <r>
          <rPr>
            <sz val="11"/>
            <color indexed="8"/>
            <rFont val="Helvetica Neue"/>
          </rPr>
          <t>Codex:
Fonte anagrafica: https://www.fantacalcio.it/serie-a/squadre/inter/dimarco/254/2026-27/italia</t>
        </r>
      </text>
    </comment>
    <comment ref="J6" authorId="0">
      <text>
        <r>
          <rPr>
            <sz val="11"/>
            <color indexed="8"/>
            <rFont val="Helvetica Neue"/>
          </rPr>
          <t>Codex:
Fonte anagrafica: https://www.fantacalcio.it/serie-a/squadre/roma/mancini/2296/2026-27/italia</t>
        </r>
      </text>
    </comment>
    <comment ref="J7" authorId="0">
      <text>
        <r>
          <rPr>
            <sz val="11"/>
            <color indexed="8"/>
            <rFont val="Helvetica Neue"/>
          </rPr>
          <t>Codex:
Fonte anagrafica: https://www.fantacalcio.it/serie-a/squadre/juventus/bremer/2788/2026-27/italia</t>
        </r>
      </text>
    </comment>
    <comment ref="J8" authorId="0">
      <text>
        <r>
          <rPr>
            <sz val="11"/>
            <color indexed="8"/>
            <rFont val="Helvetica Neue"/>
          </rPr>
          <t>Codex:
Fonte anagrafica: https://www.fantacalcio.it/serie-a/squadre/roma/wesley/7181/2026-27/italia</t>
        </r>
      </text>
    </comment>
    <comment ref="J9" authorId="0">
      <text>
        <r>
          <rPr>
            <sz val="11"/>
            <color indexed="8"/>
            <rFont val="Helvetica Neue"/>
          </rPr>
          <t>Codex:
Fonte anagrafica: https://www.fantacalcio.it/serie-a/squadre/inter/bastoni/2120/2026-27/italia</t>
        </r>
      </text>
    </comment>
    <comment ref="J10" authorId="0">
      <text>
        <r>
          <rPr>
            <sz val="11"/>
            <color indexed="8"/>
            <rFont val="Helvetica Neue"/>
          </rPr>
          <t>Codex:
Fonte anagrafica: https://www.fantacalcio.it/serie-a/squadre/atalanta/zappacosta/554/2026-27/italia</t>
        </r>
      </text>
    </comment>
    <comment ref="J11" authorId="0">
      <text>
        <r>
          <rPr>
            <sz val="11"/>
            <color indexed="8"/>
            <rFont val="Helvetica Neue"/>
          </rPr>
          <t>Codex:
Fonte anagrafica: https://www.fantacalcio.it/serie-a/squadre/roma/n-dicka/4317/2026-27/italia</t>
        </r>
      </text>
    </comment>
    <comment ref="J12" authorId="0">
      <text>
        <r>
          <rPr>
            <sz val="11"/>
            <color indexed="8"/>
            <rFont val="Helvetica Neue"/>
          </rPr>
          <t>Codex:
Fonte anagrafica: https://www.fantacalcio.it/serie-a/squadre/juventus/kalulu/4976/2026-27/italia</t>
        </r>
      </text>
    </comment>
    <comment ref="J13" authorId="0">
      <text>
        <r>
          <rPr>
            <sz val="11"/>
            <color indexed="8"/>
            <rFont val="Helvetica Neue"/>
          </rPr>
          <t>Codex:
Fonte anagrafica: https://www.fantacalcio.it/serie-a/squadre/udinese/solet/6956/2026-27/italia</t>
        </r>
      </text>
    </comment>
    <comment ref="J14" authorId="0">
      <text>
        <r>
          <rPr>
            <sz val="11"/>
            <color indexed="8"/>
            <rFont val="Helvetica Neue"/>
          </rPr>
          <t>Codex:
Fonte anagrafica: https://www.fantacalcio.it/serie-a/squadre/milan/pavlovic/5022/2026-27/italia</t>
        </r>
      </text>
    </comment>
    <comment ref="J15" authorId="0">
      <text>
        <r>
          <rPr>
            <sz val="11"/>
            <color indexed="8"/>
            <rFont val="Helvetica Neue"/>
          </rPr>
          <t>Codex:
Fonte anagrafica: https://www.fantacalcio.it/serie-a/squadre/napoli/di-lorenzo/2816/2026-27/italia</t>
        </r>
      </text>
    </comment>
    <comment ref="J16" authorId="0">
      <text>
        <r>
          <rPr>
            <sz val="11"/>
            <color indexed="8"/>
            <rFont val="Helvetica Neue"/>
          </rPr>
          <t>Codex:
Fonte anagrafica: https://www.fantacalcio.it/serie-a/squadre/inter/akanji/4159/2026-27/italia</t>
        </r>
      </text>
    </comment>
    <comment ref="J17" authorId="0">
      <text>
        <r>
          <rPr>
            <sz val="11"/>
            <color indexed="8"/>
            <rFont val="Helvetica Neue"/>
          </rPr>
          <t>Codex:
Fonte anagrafica: https://www.fantacalcio.it/serie-a/squadre/roma/hermoso/4807/2026-27/italia</t>
        </r>
      </text>
    </comment>
    <comment ref="J18" authorId="0">
      <text>
        <r>
          <rPr>
            <sz val="11"/>
            <color indexed="8"/>
            <rFont val="Helvetica Neue"/>
          </rPr>
          <t>Codex:
Fonte anagrafica: https://www.fantacalcio.it/serie-a/squadre/inter/stones/2514/2026-27/italia</t>
        </r>
      </text>
    </comment>
    <comment ref="J19" authorId="0">
      <text>
        <r>
          <rPr>
            <sz val="11"/>
            <color indexed="8"/>
            <rFont val="Helvetica Neue"/>
          </rPr>
          <t>Codex:
Fonte anagrafica: https://www.fantacalcio.it/serie-a/squadre/napoli/spinazzola/1852/2026-27/italia</t>
        </r>
      </text>
    </comment>
    <comment ref="J20" authorId="0">
      <text>
        <r>
          <rPr>
            <sz val="11"/>
            <color indexed="8"/>
            <rFont val="Helvetica Neue"/>
          </rPr>
          <t>Codex:
Fonte anagrafica: https://www.fantacalcio.it/serie-a/squadre/atalanta/scalvini/5526/2026-27/italia</t>
        </r>
      </text>
    </comment>
    <comment ref="J21" authorId="0">
      <text>
        <r>
          <rPr>
            <sz val="11"/>
            <color indexed="8"/>
            <rFont val="Helvetica Neue"/>
          </rPr>
          <t>Codex:
Fonte anagrafica: https://www.fantacalcio.it/serie-a/squadre/juventus/cambiaso/5520/2026-27/italia</t>
        </r>
      </text>
    </comment>
    <comment ref="J22" authorId="0">
      <text>
        <r>
          <rPr>
            <sz val="11"/>
            <color indexed="8"/>
            <rFont val="Helvetica Neue"/>
          </rPr>
          <t>Codex:
Fonte anagrafica: https://www.fantacalcio.it/serie-a/squadre/genoa/ostigard/5750/2026-27/italia</t>
        </r>
      </text>
    </comment>
    <comment ref="J23" authorId="0">
      <text>
        <r>
          <rPr>
            <sz val="11"/>
            <color indexed="8"/>
            <rFont val="Helvetica Neue"/>
          </rPr>
          <t>Codex:
Fonte anagrafica: https://www.fantacalcio.it/serie-a/squadre/roma/molina-n/4998/2026-27/italia</t>
        </r>
      </text>
    </comment>
    <comment ref="J24" authorId="0">
      <text>
        <r>
          <rPr>
            <sz val="11"/>
            <color indexed="8"/>
            <rFont val="Helvetica Neue"/>
          </rPr>
          <t>Codex:
Fonte anagrafica: https://www.fantacalcio.it/serie-a/squadre/milan/gila/5833/2026-27/italia</t>
        </r>
      </text>
    </comment>
    <comment ref="J25" authorId="0">
      <text>
        <r>
          <rPr>
            <sz val="11"/>
            <color indexed="8"/>
            <rFont val="Helvetica Neue"/>
          </rPr>
          <t>Codex:
Fonte anagrafica: https://www.fantacalcio.it/serie-a/squadre/como/ramon/6869/2026-27/italia</t>
        </r>
      </text>
    </comment>
    <comment ref="J26" authorId="0">
      <text>
        <r>
          <rPr>
            <sz val="11"/>
            <color indexed="8"/>
            <rFont val="Helvetica Neue"/>
          </rPr>
          <t>Codex:
Fonte anagrafica: https://www.fantacalcio.it/serie-a/squadre/torino/comuzzo/6495/2026-27/italia</t>
        </r>
      </text>
    </comment>
    <comment ref="J27" authorId="0">
      <text>
        <r>
          <rPr>
            <sz val="11"/>
            <color indexed="8"/>
            <rFont val="Helvetica Neue"/>
          </rPr>
          <t>Codex:
Fonte anagrafica: https://www.fantacalcio.it/serie-a/squadre/lecce/tiago-gabriel/6989/2026-27/italia</t>
        </r>
      </text>
    </comment>
    <comment ref="J28" authorId="0">
      <text>
        <r>
          <rPr>
            <sz val="11"/>
            <color indexed="8"/>
            <rFont val="Helvetica Neue"/>
          </rPr>
          <t>Codex:
Fonte anagrafica: https://www.fantacalcio.it/serie-a/squadre/napoli/rrahmani/4409/2026-27/italia</t>
        </r>
      </text>
    </comment>
    <comment ref="J29" authorId="0">
      <text>
        <r>
          <rPr>
            <sz val="11"/>
            <color indexed="8"/>
            <rFont val="Helvetica Neue"/>
          </rPr>
          <t>Codex:
Fonte anagrafica: https://www.fantacalcio.it/serie-a/squadre/bologna/miranda-j/4734/2026-27/italia</t>
        </r>
      </text>
    </comment>
    <comment ref="J30" authorId="0">
      <text>
        <r>
          <rPr>
            <sz val="11"/>
            <color indexed="8"/>
            <rFont val="Helvetica Neue"/>
          </rPr>
          <t>Codex:
Fonte anagrafica: https://www.fantacalcio.it/serie-a/squadre/parma/valeri/5862/2026-27/italia</t>
        </r>
      </text>
    </comment>
    <comment ref="J31" authorId="0">
      <text>
        <r>
          <rPr>
            <sz val="11"/>
            <color indexed="8"/>
            <rFont val="Helvetica Neue"/>
          </rPr>
          <t>Codex:
Fonte anagrafica: https://www.fantacalcio.it/serie-a/squadre/udinese/kamara-h/5555/2026-27/italia</t>
        </r>
      </text>
    </comment>
    <comment ref="J32" authorId="0">
      <text>
        <r>
          <rPr>
            <sz val="11"/>
            <color indexed="8"/>
            <rFont val="Helvetica Neue"/>
          </rPr>
          <t>Codex:
Fonte anagrafica: https://www.fantacalcio.it/serie-a/squadre/genoa/vasquez/5514/2026-27/italia</t>
        </r>
      </text>
    </comment>
    <comment ref="J33" authorId="0">
      <text>
        <r>
          <rPr>
            <sz val="11"/>
            <color indexed="8"/>
            <rFont val="Helvetica Neue"/>
          </rPr>
          <t>Codex:
Fonte anagrafica: https://www.fantacalcio.it/serie-a/squadre/como/chalobah-t/5641/2026-27/italia</t>
        </r>
      </text>
    </comment>
    <comment ref="J34" authorId="0">
      <text>
        <r>
          <rPr>
            <sz val="11"/>
            <color indexed="8"/>
            <rFont val="Helvetica Neue"/>
          </rPr>
          <t>Codex:
Fonte anagrafica: https://www.fantacalcio.it/serie-a/squadre/inter/bisseck/6217/2026-27/italia</t>
        </r>
      </text>
    </comment>
    <comment ref="J35" authorId="0">
      <text>
        <r>
          <rPr>
            <sz val="11"/>
            <color indexed="8"/>
            <rFont val="Helvetica Neue"/>
          </rPr>
          <t>Codex:
Fonte anagrafica: https://www.fantacalcio.it/serie-a/squadre/inter/spence/5982/2026-27/italia</t>
        </r>
      </text>
    </comment>
    <comment ref="J36" authorId="0">
      <text>
        <r>
          <rPr>
            <sz val="11"/>
            <color indexed="8"/>
            <rFont val="Helvetica Neue"/>
          </rPr>
          <t>Codex:
Fonte anagrafica: https://www.fantacalcio.it/serie-a/squadre/bologna/holm/5678/2026-27/italia</t>
        </r>
      </text>
    </comment>
    <comment ref="J37" authorId="0">
      <text>
        <r>
          <rPr>
            <sz val="11"/>
            <color indexed="8"/>
            <rFont val="Helvetica Neue"/>
          </rPr>
          <t>Codex:
Fonte anagrafica: https://www.fantacalcio.it/serie-a/squadre/fiorentina/dodò/5885/2026-27/italia</t>
        </r>
      </text>
    </comment>
    <comment ref="J38" authorId="0">
      <text>
        <r>
          <rPr>
            <sz val="11"/>
            <color indexed="8"/>
            <rFont val="Helvetica Neue"/>
          </rPr>
          <t>Codex:
Fonte anagrafica: https://www.fantacalcio.it/serie-a/squadre/lecce/gallo/4502/2026-27/italia</t>
        </r>
      </text>
    </comment>
    <comment ref="J39" authorId="0">
      <text>
        <r>
          <rPr>
            <sz val="11"/>
            <color indexed="8"/>
            <rFont val="Helvetica Neue"/>
          </rPr>
          <t>Codex:
Fonte anagrafica: https://www.fantacalcio.it/serie-a/squadre/como/valle/6867/2026-27/italia</t>
        </r>
      </text>
    </comment>
    <comment ref="J40" authorId="0">
      <text>
        <r>
          <rPr>
            <sz val="11"/>
            <color indexed="8"/>
            <rFont val="Helvetica Neue"/>
          </rPr>
          <t>Codex:
Fonte anagrafica: https://www.fantacalcio.it/serie-a/squadre/como/kempf/6893/2026-27/italia</t>
        </r>
      </text>
    </comment>
    <comment ref="J41" authorId="0">
      <text>
        <r>
          <rPr>
            <sz val="11"/>
            <color indexed="8"/>
            <rFont val="Helvetica Neue"/>
          </rPr>
          <t>Codex:
Fonte anagrafica: https://www.fantacalcio.it/serie-a/squadre/parma/delprato/6664/2026-27/italia</t>
        </r>
      </text>
    </comment>
    <comment ref="J42" authorId="0">
      <text>
        <r>
          <rPr>
            <sz val="11"/>
            <color indexed="8"/>
            <rFont val="Helvetica Neue"/>
          </rPr>
          <t>Codex:
Fonte anagrafica: https://www.fantacalcio.it/serie-a/squadre/juventus/lucumì/6042/2026-27/italia</t>
        </r>
      </text>
    </comment>
    <comment ref="J43" authorId="0">
      <text>
        <r>
          <rPr>
            <sz val="11"/>
            <color indexed="8"/>
            <rFont val="Helvetica Neue"/>
          </rPr>
          <t>Codex:
Fonte anagrafica: https://www.fantacalcio.it/serie-a/squadre/como/couto/6727/2026-27/italia</t>
        </r>
      </text>
    </comment>
    <comment ref="J44" authorId="0">
      <text>
        <r>
          <rPr>
            <sz val="11"/>
            <color indexed="8"/>
            <rFont val="Helvetica Neue"/>
          </rPr>
          <t>Codex:
Fonte anagrafica: https://www.fantacalcio.it/serie-a/squadre/cagliari/mina/4210/2026-27/italia</t>
        </r>
      </text>
    </comment>
    <comment ref="J45" authorId="0">
      <text>
        <r>
          <rPr>
            <sz val="11"/>
            <color indexed="8"/>
            <rFont val="Helvetica Neue"/>
          </rPr>
          <t>Codex:
Fonte anagrafica: https://www.fantacalcio.it/serie-a/squadre/torino/belghali/7220/2026-27/italia</t>
        </r>
      </text>
    </comment>
    <comment ref="J46" authorId="0">
      <text>
        <r>
          <rPr>
            <sz val="11"/>
            <color indexed="8"/>
            <rFont val="Helvetica Neue"/>
          </rPr>
          <t>Codex:
Fonte anagrafica: https://www.fantacalcio.it/serie-a/squadre/juventus/kelly-l/6766/2026-27/italia</t>
        </r>
      </text>
    </comment>
    <comment ref="J47" authorId="0">
      <text>
        <r>
          <rPr>
            <sz val="11"/>
            <color indexed="8"/>
            <rFont val="Helvetica Neue"/>
          </rPr>
          <t>Codex:
Fonte anagrafica: https://www.fantacalcio.it/serie-a/squadre/atalanta/bernasconi/7219/2026-27/italia</t>
        </r>
      </text>
    </comment>
    <comment ref="J48" authorId="0">
      <text>
        <r>
          <rPr>
            <sz val="11"/>
            <color indexed="8"/>
            <rFont val="Helvetica Neue"/>
          </rPr>
          <t>Codex:
Fonte anagrafica: https://www.fantacalcio.it/serie-a/squadre/fiorentina/jimenez-a/6531/2026-27/italia</t>
        </r>
      </text>
    </comment>
    <comment ref="J49" authorId="0">
      <text>
        <r>
          <rPr>
            <sz val="11"/>
            <color indexed="8"/>
            <rFont val="Helvetica Neue"/>
          </rPr>
          <t>Codex:
Fonte anagrafica: https://www.fantacalcio.it/serie-a/squadre/milan/gabbia/4401/2026-27/italia</t>
        </r>
      </text>
    </comment>
    <comment ref="J50" authorId="0">
      <text>
        <r>
          <rPr>
            <sz val="11"/>
            <color indexed="8"/>
            <rFont val="Helvetica Neue"/>
          </rPr>
          <t>Codex:
Fonte anagrafica: https://www.fantacalcio.it/serie-a/squadre/lazio/marusic/2188/2026-27/italia</t>
        </r>
      </text>
    </comment>
    <comment ref="J51" authorId="0">
      <text>
        <r>
          <rPr>
            <sz val="11"/>
            <color indexed="8"/>
            <rFont val="Helvetica Neue"/>
          </rPr>
          <t>Codex:
Fonte anagrafica: https://www.fantacalcio.it/serie-a/squadre/inter/carlos-augusto/5877/2026-27/italia</t>
        </r>
      </text>
    </comment>
    <comment ref="J52" authorId="0">
      <text>
        <r>
          <rPr>
            <sz val="11"/>
            <color indexed="8"/>
            <rFont val="Helvetica Neue"/>
          </rPr>
          <t>Codex:
Fonte anagrafica: https://www.fantacalcio.it/serie-a/squadre/parma/diego-carlos/4137/2026-27/italia</t>
        </r>
      </text>
    </comment>
    <comment ref="J53" authorId="0">
      <text>
        <r>
          <rPr>
            <sz val="11"/>
            <color indexed="8"/>
            <rFont val="Helvetica Neue"/>
          </rPr>
          <t>Codex:
Fonte anagrafica: https://www.fantacalcio.it/serie-a/squadre/atalanta/bellanova/4887/2026-27/italia</t>
        </r>
      </text>
    </comment>
    <comment ref="J54" authorId="0">
      <text>
        <r>
          <rPr>
            <sz val="11"/>
            <color indexed="8"/>
            <rFont val="Helvetica Neue"/>
          </rPr>
          <t>Codex:
Fonte anagrafica: https://www.fantacalcio.it/serie-a/squadre/udinese/vojvoda/4994/2026-27/italia</t>
        </r>
      </text>
    </comment>
    <comment ref="J55" authorId="0">
      <text>
        <r>
          <rPr>
            <sz val="11"/>
            <color indexed="8"/>
            <rFont val="Helvetica Neue"/>
          </rPr>
          <t>Codex:
Fonte anagrafica: https://www.fantacalcio.it/serie-a/squadre/atalanta/kristensen-t/6485/2026-27/italia</t>
        </r>
      </text>
    </comment>
    <comment ref="J56" authorId="0">
      <text>
        <r>
          <rPr>
            <sz val="11"/>
            <color indexed="8"/>
            <rFont val="Helvetica Neue"/>
          </rPr>
          <t>Codex:
Fonte anagrafica: https://www.fantacalcio.it/serie-a/squadre/inter/pavard/4177/2026-27/italia</t>
        </r>
      </text>
    </comment>
    <comment ref="J57" authorId="0">
      <text>
        <r>
          <rPr>
            <sz val="11"/>
            <color indexed="8"/>
            <rFont val="Helvetica Neue"/>
          </rPr>
          <t>Codex:
Fonte anagrafica: https://www.fantacalcio.it/serie-a/squadre/milan/bartesaghi/6496/2026-27/italia</t>
        </r>
      </text>
    </comment>
    <comment ref="J58" authorId="0">
      <text>
        <r>
          <rPr>
            <sz val="11"/>
            <color indexed="8"/>
            <rFont val="Helvetica Neue"/>
          </rPr>
          <t>Codex:
Fonte anagrafica: https://www.fantacalcio.it/serie-a/squadre/lazio/sutalo-j/7580/2026-27/italia</t>
        </r>
      </text>
    </comment>
    <comment ref="J59" authorId="0">
      <text>
        <r>
          <rPr>
            <sz val="11"/>
            <color indexed="8"/>
            <rFont val="Helvetica Neue"/>
          </rPr>
          <t>Codex:
Fonte anagrafica: https://www.fantacalcio.it/serie-a/squadre/bologna/theate/5675/2026-27/italia</t>
        </r>
      </text>
    </comment>
    <comment ref="J60" authorId="0">
      <text>
        <r>
          <rPr>
            <sz val="11"/>
            <color indexed="8"/>
            <rFont val="Helvetica Neue"/>
          </rPr>
          <t>Codex:
Fonte anagrafica: https://www.fantacalcio.it/serie-a/squadre/napoli/badiashile/4664/2026-27/italia</t>
        </r>
      </text>
    </comment>
    <comment ref="J61" authorId="0">
      <text>
        <r>
          <rPr>
            <sz val="11"/>
            <color indexed="8"/>
            <rFont val="Helvetica Neue"/>
          </rPr>
          <t>Codex:
Fonte anagrafica: https://www.fantacalcio.it/serie-a/squadre/lazio/pedraza/4817/2026-27/italia</t>
        </r>
      </text>
    </comment>
    <comment ref="J62" authorId="0">
      <text>
        <r>
          <rPr>
            <sz val="11"/>
            <color indexed="8"/>
            <rFont val="Helvetica Neue"/>
          </rPr>
          <t>Codex:
Fonte anagrafica: https://www.fantacalcio.it/serie-a/squadre/torino/coco/6642/2026-27/italia</t>
        </r>
      </text>
    </comment>
    <comment ref="J63" authorId="0">
      <text>
        <r>
          <rPr>
            <sz val="11"/>
            <color indexed="8"/>
            <rFont val="Helvetica Neue"/>
          </rPr>
          <t>Codex:
Fonte anagrafica: https://www.fantacalcio.it/serie-a/squadre/cagliari/obert/5701/2026-27/italia</t>
        </r>
      </text>
    </comment>
    <comment ref="J64" authorId="0">
      <text>
        <r>
          <rPr>
            <sz val="11"/>
            <color indexed="8"/>
            <rFont val="Helvetica Neue"/>
          </rPr>
          <t>Codex:
Fonte anagrafica: https://www.fantacalcio.it/serie-a/squadre/roma/balerdi/4705/2026-27/italia</t>
        </r>
      </text>
    </comment>
    <comment ref="J65" authorId="0">
      <text>
        <r>
          <rPr>
            <sz val="11"/>
            <color indexed="8"/>
            <rFont val="Helvetica Neue"/>
          </rPr>
          <t>Codex:
Fonte anagrafica: https://www.fantacalcio.it/serie-a/squadre/atalanta/hien/6046/2026-27/italia</t>
        </r>
      </text>
    </comment>
    <comment ref="J66" authorId="0">
      <text>
        <r>
          <rPr>
            <sz val="11"/>
            <color indexed="8"/>
            <rFont val="Helvetica Neue"/>
          </rPr>
          <t>Codex:
Fonte anagrafica: https://www.fantacalcio.it/serie-a/squadre/juventus/celik/4657/2026-27/italia</t>
        </r>
      </text>
    </comment>
    <comment ref="J67" authorId="0">
      <text>
        <r>
          <rPr>
            <sz val="11"/>
            <color indexed="8"/>
            <rFont val="Helvetica Neue"/>
          </rPr>
          <t>Codex:
Fonte anagrafica: https://www.fantacalcio.it/serie-a/squadre/lazio/provstgaard/7012/2026-27/italia</t>
        </r>
      </text>
    </comment>
    <comment ref="J68" authorId="0">
      <text>
        <r>
          <rPr>
            <sz val="11"/>
            <color indexed="8"/>
            <rFont val="Helvetica Neue"/>
          </rPr>
          <t>Codex:
Fonte anagrafica: https://www.fantacalcio.it/serie-a/squadre/lazio/doekhi/6320/2026-27/italia</t>
        </r>
      </text>
    </comment>
    <comment ref="J69" authorId="0">
      <text>
        <r>
          <rPr>
            <sz val="11"/>
            <color indexed="8"/>
            <rFont val="Helvetica Neue"/>
          </rPr>
          <t>Codex:
Fonte anagrafica: https://www.fantacalcio.it/serie-a/squadre/torino/ismajli/5010/2026-27/italia</t>
        </r>
      </text>
    </comment>
    <comment ref="J70" authorId="0">
      <text>
        <r>
          <rPr>
            <sz val="11"/>
            <color indexed="8"/>
            <rFont val="Helvetica Neue"/>
          </rPr>
          <t>Codex:
Fonte anagrafica: https://www.fantacalcio.it/serie-a/squadre/lecce/veiga-d/6990/2026-27/italia</t>
        </r>
      </text>
    </comment>
    <comment ref="J71" authorId="0">
      <text>
        <r>
          <rPr>
            <sz val="11"/>
            <color indexed="8"/>
            <rFont val="Helvetica Neue"/>
          </rPr>
          <t>Codex:
Fonte anagrafica: https://www.fantacalcio.it/serie-a/squadre/fiorentina/valdepenas/7294/2026-27/italia</t>
        </r>
      </text>
    </comment>
    <comment ref="J72" authorId="0">
      <text>
        <r>
          <rPr>
            <sz val="11"/>
            <color indexed="8"/>
            <rFont val="Helvetica Neue"/>
          </rPr>
          <t>Codex:
Fonte anagrafica: https://www.fantacalcio.it/serie-a/squadre/fiorentina/dragusin/5365/2026-27/italia</t>
        </r>
      </text>
    </comment>
    <comment ref="J73" authorId="0">
      <text>
        <r>
          <rPr>
            <sz val="11"/>
            <color indexed="8"/>
            <rFont val="Helvetica Neue"/>
          </rPr>
          <t>Codex:
Fonte anagrafica: https://www.fantacalcio.it/serie-a/squadre/frosinone/terzic/4375/2026-27/italia</t>
        </r>
      </text>
    </comment>
    <comment ref="J74" authorId="0">
      <text>
        <r>
          <rPr>
            <sz val="11"/>
            <color indexed="8"/>
            <rFont val="Helvetica Neue"/>
          </rPr>
          <t>Codex:
Fonte anagrafica: https://www.fantacalcio.it/serie-a/squadre/milan/tomori/4751/2026-27/italia</t>
        </r>
      </text>
    </comment>
    <comment ref="J75" authorId="0">
      <text>
        <r>
          <rPr>
            <sz val="11"/>
            <color indexed="8"/>
            <rFont val="Helvetica Neue"/>
          </rPr>
          <t>Codex:
Fonte anagrafica: https://www.fantacalcio.it/serie-a/squadre/lazio/tavares-n/5620/2026-27/italia</t>
        </r>
      </text>
    </comment>
    <comment ref="J76" authorId="0">
      <text>
        <r>
          <rPr>
            <sz val="11"/>
            <color indexed="8"/>
            <rFont val="Helvetica Neue"/>
          </rPr>
          <t>Codex:
Fonte anagrafica: https://www.fantacalcio.it/serie-a/squadre/parma/troilo/7235/2026-27/italia</t>
        </r>
      </text>
    </comment>
    <comment ref="J77" authorId="0">
      <text>
        <r>
          <rPr>
            <sz val="11"/>
            <color indexed="8"/>
            <rFont val="Helvetica Neue"/>
          </rPr>
          <t>Codex:
Fonte anagrafica: https://www.fantacalcio.it/serie-a/squadre/bologna/zortea/4433/2026-27/italia</t>
        </r>
      </text>
    </comment>
    <comment ref="J78" authorId="0">
      <text>
        <r>
          <rPr>
            <sz val="11"/>
            <color indexed="8"/>
            <rFont val="Helvetica Neue"/>
          </rPr>
          <t>Codex:
Fonte anagrafica: https://www.fantacalcio.it/serie-a/squadre/udinese/kabasele/4263/2026-27/italia</t>
        </r>
      </text>
    </comment>
    <comment ref="J79" authorId="0">
      <text>
        <r>
          <rPr>
            <sz val="11"/>
            <color indexed="8"/>
            <rFont val="Helvetica Neue"/>
          </rPr>
          <t>Codex:
Fonte anagrafica: https://www.fantacalcio.it/serie-a/squadre/genoa/marcandalli/6660/2026-27/italia</t>
        </r>
      </text>
    </comment>
    <comment ref="J80" authorId="0">
      <text>
        <r>
          <rPr>
            <sz val="11"/>
            <color indexed="8"/>
            <rFont val="Helvetica Neue"/>
          </rPr>
          <t>Codex:
Fonte anagrafica: https://www.fantacalcio.it/serie-a/squadre/como/smolcic-i/7014/2026-27/italia</t>
        </r>
      </text>
    </comment>
    <comment ref="J81" authorId="0">
      <text>
        <r>
          <rPr>
            <sz val="11"/>
            <color indexed="8"/>
            <rFont val="Helvetica Neue"/>
          </rPr>
          <t>Codex:
Fonte anagrafica: https://www.fantacalcio.it/serie-a/squadre/cagliari/zè-pedro/7274/2026-27/italia</t>
        </r>
      </text>
    </comment>
    <comment ref="J82" authorId="0">
      <text>
        <r>
          <rPr>
            <sz val="11"/>
            <color indexed="8"/>
            <rFont val="Helvetica Neue"/>
          </rPr>
          <t>Codex:
Fonte anagrafica: https://www.fantacalcio.it/serie-a/squadre/cagliari/rodriguez-ju/7268/2026-27/italia</t>
        </r>
      </text>
    </comment>
    <comment ref="J83" authorId="0">
      <text>
        <r>
          <rPr>
            <sz val="11"/>
            <color indexed="8"/>
            <rFont val="Helvetica Neue"/>
          </rPr>
          <t>Codex:
Fonte anagrafica: https://www.fantacalcio.it/serie-a/squadre/fiorentina/ranieri-l/4378/2026-27/italia</t>
        </r>
      </text>
    </comment>
    <comment ref="J84" authorId="0">
      <text>
        <r>
          <rPr>
            <sz val="11"/>
            <color indexed="8"/>
            <rFont val="Helvetica Neue"/>
          </rPr>
          <t>Codex:
Fonte anagrafica: https://www.fantacalcio.it/serie-a/squadre/cagliari/sugawara/7621/2026-27/italia</t>
        </r>
      </text>
    </comment>
    <comment ref="J85" authorId="0">
      <text>
        <r>
          <rPr>
            <sz val="11"/>
            <color indexed="8"/>
            <rFont val="Helvetica Neue"/>
          </rPr>
          <t>Codex:
Fonte anagrafica: https://www.fantacalcio.it/serie-a/squadre/juventus/gatti/5831/2026-27/italia</t>
        </r>
      </text>
    </comment>
    <comment ref="J86" authorId="0">
      <text>
        <r>
          <rPr>
            <sz val="11"/>
            <color indexed="8"/>
            <rFont val="Helvetica Neue"/>
          </rPr>
          <t>Codex:
Fonte anagrafica: https://www.fantacalcio.it/serie-a/squadre/sassuolo/obrador/7329/2026-27/italia</t>
        </r>
      </text>
    </comment>
    <comment ref="J87" authorId="0">
      <text>
        <r>
          <rPr>
            <sz val="11"/>
            <color indexed="8"/>
            <rFont val="Helvetica Neue"/>
          </rPr>
          <t>Codex:
Fonte anagrafica: https://www.fantacalcio.it/serie-a/squadre/napoli/buongiorno/2724/2026-27/italia</t>
        </r>
      </text>
    </comment>
    <comment ref="J88" authorId="0">
      <text>
        <r>
          <rPr>
            <sz val="11"/>
            <color indexed="8"/>
            <rFont val="Helvetica Neue"/>
          </rPr>
          <t>Codex:
Fonte anagrafica: https://www.fantacalcio.it/serie-a/squadre/roma/ghilardi/6631/2026-27/italia</t>
        </r>
      </text>
    </comment>
    <comment ref="J89" authorId="0">
      <text>
        <r>
          <rPr>
            <sz val="11"/>
            <color indexed="8"/>
            <rFont val="Helvetica Neue"/>
          </rPr>
          <t>Codex:
Fonte anagrafica: https://www.fantacalcio.it/serie-a/squadre/frosinone/monterisi/4952/2026-27/italia</t>
        </r>
      </text>
    </comment>
    <comment ref="J90" authorId="0">
      <text>
        <r>
          <rPr>
            <sz val="11"/>
            <color indexed="8"/>
            <rFont val="Helvetica Neue"/>
          </rPr>
          <t>Codex:
Fonte anagrafica: https://www.fantacalcio.it/serie-a/squadre/roma/rensch/6986/2026-27/italia</t>
        </r>
      </text>
    </comment>
    <comment ref="J91" authorId="0">
      <text>
        <r>
          <rPr>
            <sz val="11"/>
            <color indexed="8"/>
            <rFont val="Helvetica Neue"/>
          </rPr>
          <t>Codex:
Fonte anagrafica: https://www.fantacalcio.it/serie-a/squadre/venezia/juan-jesus/256/2026-27/italia</t>
        </r>
      </text>
    </comment>
    <comment ref="J92" authorId="0">
      <text>
        <r>
          <rPr>
            <sz val="11"/>
            <color indexed="8"/>
            <rFont val="Helvetica Neue"/>
          </rPr>
          <t>Codex:
Fonte anagrafica: https://www.fantacalcio.it/serie-a/squadre/milan/de-winter/5739/2026-27/italia</t>
        </r>
      </text>
    </comment>
    <comment ref="J93" authorId="0">
      <text>
        <r>
          <rPr>
            <sz val="11"/>
            <color indexed="8"/>
            <rFont val="Helvetica Neue"/>
          </rPr>
          <t>Codex:
Fonte anagrafica: https://www.fantacalcio.it/serie-a/squadre/como/kaiki/7414/2026-27/italia</t>
        </r>
      </text>
    </comment>
    <comment ref="J94" authorId="0">
      <text>
        <r>
          <rPr>
            <sz val="11"/>
            <color indexed="8"/>
            <rFont val="Helvetica Neue"/>
          </rPr>
          <t>Codex:
Fonte anagrafica: https://www.fantacalcio.it/serie-a/squadre/fiorentina/pongracic/5603/2026-27/italia</t>
        </r>
      </text>
    </comment>
    <comment ref="J95" authorId="0">
      <text>
        <r>
          <rPr>
            <sz val="11"/>
            <color indexed="8"/>
            <rFont val="Helvetica Neue"/>
          </rPr>
          <t>Codex:
Fonte anagrafica: https://www.fantacalcio.it/serie-a/squadre/atalanta/kossounou/5578/2026-27/italia</t>
        </r>
      </text>
    </comment>
    <comment ref="J96" authorId="0">
      <text>
        <r>
          <rPr>
            <sz val="11"/>
            <color indexed="8"/>
            <rFont val="Helvetica Neue"/>
          </rPr>
          <t>Codex:
Fonte anagrafica: https://www.fantacalcio.it/serie-a/squadre/monza/mangas/7485/2026-27/italia</t>
        </r>
      </text>
    </comment>
    <comment ref="J97" authorId="0">
      <text>
        <r>
          <rPr>
            <sz val="11"/>
            <color indexed="8"/>
            <rFont val="Helvetica Neue"/>
          </rPr>
          <t>Codex:
Fonte anagrafica: https://www.fantacalcio.it/serie-a/squadre/venezia/correia-t/4845/2026-27/italia</t>
        </r>
      </text>
    </comment>
    <comment ref="J98" authorId="0">
      <text>
        <r>
          <rPr>
            <sz val="11"/>
            <color indexed="8"/>
            <rFont val="Helvetica Neue"/>
          </rPr>
          <t>Codex:
Fonte anagrafica: https://www.fantacalcio.it/serie-a/squadre/monza/birindelli/5838/2026-27/italia</t>
        </r>
      </text>
    </comment>
    <comment ref="J99" authorId="0">
      <text>
        <r>
          <rPr>
            <sz val="11"/>
            <color indexed="8"/>
            <rFont val="Helvetica Neue"/>
          </rPr>
          <t>Codex:
Fonte anagrafica: https://www.fantacalcio.it/serie-a/squadre/napoli/olivera/5840/2026-27/italia</t>
        </r>
      </text>
    </comment>
    <comment ref="J100" authorId="0">
      <text>
        <r>
          <rPr>
            <sz val="11"/>
            <color indexed="8"/>
            <rFont val="Helvetica Neue"/>
          </rPr>
          <t>Codex:
Fonte anagrafica: https://www.fantacalcio.it/serie-a/squadre/genoa/drameh/5742/2026-27/italia</t>
        </r>
      </text>
    </comment>
    <comment ref="J101" authorId="0">
      <text>
        <r>
          <rPr>
            <sz val="11"/>
            <color indexed="8"/>
            <rFont val="Helvetica Neue"/>
          </rPr>
          <t>Codex:
Fonte anagrafica: https://www.fantacalcio.it/serie-a/squadre/napoli/beukema/6202/2026-27/italia</t>
        </r>
      </text>
    </comment>
    <comment ref="J102" authorId="0">
      <text>
        <r>
          <rPr>
            <sz val="11"/>
            <color indexed="8"/>
            <rFont val="Helvetica Neue"/>
          </rPr>
          <t>Codex:
Fonte anagrafica: https://www.fantacalcio.it/serie-a/squadre/bologna/heggem/7212/2026-27/italia</t>
        </r>
      </text>
    </comment>
    <comment ref="J103" authorId="0">
      <text>
        <r>
          <rPr>
            <sz val="11"/>
            <color indexed="8"/>
            <rFont val="Helvetica Neue"/>
          </rPr>
          <t>Codex:
Fonte anagrafica: https://www.fantacalcio.it/serie-a/squadre/fiorentina/parisi/5449/2026-27/italia</t>
        </r>
      </text>
    </comment>
    <comment ref="J104" authorId="0">
      <text>
        <r>
          <rPr>
            <sz val="11"/>
            <color indexed="8"/>
            <rFont val="Helvetica Neue"/>
          </rPr>
          <t>Codex:
Fonte anagrafica: https://www.fantacalcio.it/serie-a/squadre/sassuolo/van-der-brempt/6896/2026-27/italia</t>
        </r>
      </text>
    </comment>
    <comment ref="J105" authorId="0">
      <text>
        <r>
          <rPr>
            <sz val="11"/>
            <color indexed="8"/>
            <rFont val="Helvetica Neue"/>
          </rPr>
          <t>Codex:
Fonte anagrafica: https://www.fantacalcio.it/serie-a/squadre/sassuolo/doig/5851/2026-27/italia</t>
        </r>
      </text>
    </comment>
    <comment ref="J106" authorId="0">
      <text>
        <r>
          <rPr>
            <sz val="11"/>
            <color indexed="8"/>
            <rFont val="Helvetica Neue"/>
          </rPr>
          <t>Codex:
Fonte anagrafica: https://www.fantacalcio.it/serie-a/squadre/fiorentina/viery/7410/2026-27/italia</t>
        </r>
      </text>
    </comment>
    <comment ref="J107" authorId="0">
      <text>
        <r>
          <rPr>
            <sz val="11"/>
            <color indexed="8"/>
            <rFont val="Helvetica Neue"/>
          </rPr>
          <t>Codex:
Fonte anagrafica: https://www.fantacalcio.it/serie-a/squadre/torino/fortini/7069/2026-27/italia</t>
        </r>
      </text>
    </comment>
    <comment ref="J108" authorId="0">
      <text>
        <r>
          <rPr>
            <sz val="11"/>
            <color indexed="8"/>
            <rFont val="Helvetica Neue"/>
          </rPr>
          <t>Codex:
Fonte anagrafica: https://www.fantacalcio.it/serie-a/squadre/monza/carboni-a/4925/2026-27/italia</t>
        </r>
      </text>
    </comment>
    <comment ref="J109" authorId="0">
      <text>
        <r>
          <rPr>
            <sz val="11"/>
            <color indexed="8"/>
            <rFont val="Helvetica Neue"/>
          </rPr>
          <t>Codex:
Fonte anagrafica: https://www.fantacalcio.it/serie-a/squadre/roma/koulierakis/7529/2026-27/italia</t>
        </r>
      </text>
    </comment>
    <comment ref="J110" authorId="0">
      <text>
        <r>
          <rPr>
            <sz val="11"/>
            <color indexed="8"/>
            <rFont val="Helvetica Neue"/>
          </rPr>
          <t>Codex:
Fonte anagrafica: https://www.fantacalcio.it/serie-a/squadre/sassuolo/caleta-car/4147/2026-27/italia</t>
        </r>
      </text>
    </comment>
    <comment ref="J111" authorId="0">
      <text>
        <r>
          <rPr>
            <sz val="11"/>
            <color indexed="8"/>
            <rFont val="Helvetica Neue"/>
          </rPr>
          <t>Codex:
Fonte anagrafica: https://www.fantacalcio.it/serie-a/squadre/como/kambwala/6601/2026-27/italia</t>
        </r>
      </text>
    </comment>
    <comment ref="J112" authorId="0">
      <text>
        <r>
          <rPr>
            <sz val="11"/>
            <color indexed="8"/>
            <rFont val="Helvetica Neue"/>
          </rPr>
          <t>Codex:
Fonte anagrafica: https://www.fantacalcio.it/serie-a/squadre/venezia/schingtienne/6892/2026-27/italia</t>
        </r>
      </text>
    </comment>
    <comment ref="J113" authorId="0">
      <text>
        <r>
          <rPr>
            <sz val="11"/>
            <color indexed="8"/>
            <rFont val="Helvetica Neue"/>
          </rPr>
          <t>Codex:
Fonte anagrafica: https://www.fantacalcio.it/serie-a/squadre/frosinone/oyono-a/6238/2026-27/italia</t>
        </r>
      </text>
    </comment>
    <comment ref="J114" authorId="0">
      <text>
        <r>
          <rPr>
            <sz val="11"/>
            <color indexed="8"/>
            <rFont val="Helvetica Neue"/>
          </rPr>
          <t>Codex:
Fonte anagrafica: https://www.fantacalcio.it/serie-a/squadre/venezia/haps/5695/2026-27/italia</t>
        </r>
      </text>
    </comment>
    <comment ref="J115" authorId="0">
      <text>
        <r>
          <rPr>
            <sz val="11"/>
            <color indexed="8"/>
            <rFont val="Helvetica Neue"/>
          </rPr>
          <t>Codex:
Fonte anagrafica: https://www.fantacalcio.it/serie-a/squadre/sassuolo/leysen-f/7564/2026-27/italia</t>
        </r>
      </text>
    </comment>
    <comment ref="J116" authorId="0">
      <text>
        <r>
          <rPr>
            <sz val="11"/>
            <color indexed="8"/>
            <rFont val="Helvetica Neue"/>
          </rPr>
          <t>Codex:
Fonte anagrafica: https://www.fantacalcio.it/serie-a/squadre/cagliari/aurelio/7548/2026-27/italia</t>
        </r>
      </text>
    </comment>
    <comment ref="J117" authorId="0">
      <text>
        <r>
          <rPr>
            <sz val="11"/>
            <color indexed="8"/>
            <rFont val="Helvetica Neue"/>
          </rPr>
          <t>Codex:
Fonte anagrafica: https://www.fantacalcio.it/serie-a/squadre/torino/patterson/5751/2026-27/italia</t>
        </r>
      </text>
    </comment>
    <comment ref="J118" authorId="0">
      <text>
        <r>
          <rPr>
            <sz val="11"/>
            <color indexed="8"/>
            <rFont val="Helvetica Neue"/>
          </rPr>
          <t>Codex:
Fonte anagrafica: https://www.fantacalcio.it/serie-a/squadre/venezia/bella-kotchap/7253/2026-27/italia</t>
        </r>
      </text>
    </comment>
    <comment ref="J119" authorId="0">
      <text>
        <r>
          <rPr>
            <sz val="11"/>
            <color indexed="8"/>
            <rFont val="Helvetica Neue"/>
          </rPr>
          <t>Codex:
Fonte anagrafica: https://www.fantacalcio.it/serie-a/squadre/atalanta/kolasinac/2640/2026-27/italia</t>
        </r>
      </text>
    </comment>
    <comment ref="J120" authorId="0">
      <text>
        <r>
          <rPr>
            <sz val="11"/>
            <color indexed="8"/>
            <rFont val="Helvetica Neue"/>
          </rPr>
          <t>Codex:
Fonte anagrafica: https://www.fantacalcio.it/serie-a/squadre/genoa/sabelli/791/2026-27/italia</t>
        </r>
      </text>
    </comment>
    <comment ref="J121" authorId="0">
      <text>
        <r>
          <rPr>
            <sz val="11"/>
            <color indexed="8"/>
            <rFont val="Helvetica Neue"/>
          </rPr>
          <t>Codex:
Fonte anagrafica: https://www.fantacalcio.it/serie-a/squadre/frosinone/bracaglia/7469/2026-27/italia</t>
        </r>
      </text>
    </comment>
    <comment ref="J122" authorId="0">
      <text>
        <r>
          <rPr>
            <sz val="11"/>
            <color indexed="8"/>
            <rFont val="Helvetica Neue"/>
          </rPr>
          <t>Codex:
Fonte anagrafica: https://www.fantacalcio.it/serie-a/squadre/frosinone/calvani/7467/2026-27/italia</t>
        </r>
      </text>
    </comment>
    <comment ref="J123" authorId="0">
      <text>
        <r>
          <rPr>
            <sz val="11"/>
            <color indexed="8"/>
            <rFont val="Helvetica Neue"/>
          </rPr>
          <t>Codex:
Fonte anagrafica: https://www.fantacalcio.it/serie-a/squadre/sassuolo/walukiewicz/4374/2026-27/italia</t>
        </r>
      </text>
    </comment>
    <comment ref="J124" authorId="0">
      <text>
        <r>
          <rPr>
            <sz val="11"/>
            <color indexed="8"/>
            <rFont val="Helvetica Neue"/>
          </rPr>
          <t>Codex:
Fonte anagrafica: https://www.fantacalcio.it/serie-a/squadre/bologna/vitik/7068/2026-27/italia</t>
        </r>
      </text>
    </comment>
    <comment ref="J125" authorId="0">
      <text>
        <r>
          <rPr>
            <sz val="11"/>
            <color indexed="8"/>
            <rFont val="Helvetica Neue"/>
          </rPr>
          <t>Codex:
Fonte anagrafica: https://www.fantacalcio.it/serie-a/squadre/udinese/bertola/5820/2026-27/italia</t>
        </r>
      </text>
    </comment>
    <comment ref="J126" authorId="0">
      <text>
        <r>
          <rPr>
            <sz val="11"/>
            <color indexed="8"/>
            <rFont val="Helvetica Neue"/>
          </rPr>
          <t>Codex:
Fonte anagrafica: https://www.fantacalcio.it/serie-a/squadre/torino/comert/7526/2026-27/italia</t>
        </r>
      </text>
    </comment>
    <comment ref="J127" authorId="0">
      <text>
        <r>
          <rPr>
            <sz val="11"/>
            <color indexed="8"/>
            <rFont val="Helvetica Neue"/>
          </rPr>
          <t>Codex:
Fonte anagrafica: https://www.fantacalcio.it/serie-a/squadre/monza/goglichidze/6537/2026-27/italia</t>
        </r>
      </text>
    </comment>
    <comment ref="J128" authorId="0">
      <text>
        <r>
          <rPr>
            <sz val="11"/>
            <color indexed="8"/>
            <rFont val="Helvetica Neue"/>
          </rPr>
          <t>Codex:
Fonte anagrafica: https://www.fantacalcio.it/serie-a/squadre/juventus/cabal/6039/2026-27/italia</t>
        </r>
      </text>
    </comment>
    <comment ref="J129" authorId="0">
      <text>
        <r>
          <rPr>
            <sz val="11"/>
            <color indexed="8"/>
            <rFont val="Helvetica Neue"/>
          </rPr>
          <t>Codex:
Fonte anagrafica: https://www.fantacalcio.it/serie-a/squadre/fiorentina/joao-mario/7175/2026-27/italia</t>
        </r>
      </text>
    </comment>
    <comment ref="J130" authorId="0">
      <text>
        <r>
          <rPr>
            <sz val="11"/>
            <color indexed="8"/>
            <rFont val="Helvetica Neue"/>
          </rPr>
          <t>Codex:
Fonte anagrafica: https://www.fantacalcio.it/serie-a/squadre/sassuolo/idzes/6672/2026-27/italia</t>
        </r>
      </text>
    </comment>
    <comment ref="J131" authorId="0">
      <text>
        <r>
          <rPr>
            <sz val="11"/>
            <color indexed="8"/>
            <rFont val="Helvetica Neue"/>
          </rPr>
          <t>Codex:
Fonte anagrafica: https://www.fantacalcio.it/serie-a/squadre/napoli/marin-r/6638/2026-27/italia</t>
        </r>
      </text>
    </comment>
    <comment ref="J132" authorId="0">
      <text>
        <r>
          <rPr>
            <sz val="11"/>
            <color indexed="8"/>
            <rFont val="Helvetica Neue"/>
          </rPr>
          <t>Codex:
Fonte anagrafica: https://www.fantacalcio.it/serie-a/squadre/napoli/favasuli/7563/2026-27/italia</t>
        </r>
      </text>
    </comment>
    <comment ref="J133" authorId="0">
      <text>
        <r>
          <rPr>
            <sz val="11"/>
            <color indexed="8"/>
            <rFont val="Helvetica Neue"/>
          </rPr>
          <t>Codex:
Fonte anagrafica: https://www.fantacalcio.it/serie-a/squadre/lecce/gaspar-k/6632/2026-27/italia</t>
        </r>
      </text>
    </comment>
    <comment ref="J134" authorId="0">
      <text>
        <r>
          <rPr>
            <sz val="11"/>
            <color indexed="8"/>
            <rFont val="Helvetica Neue"/>
          </rPr>
          <t>Codex:
Fonte anagrafica: https://www.fantacalcio.it/serie-a/squadre/lecce/siebert/7240/2026-27/italia</t>
        </r>
      </text>
    </comment>
    <comment ref="J135" authorId="0">
      <text>
        <r>
          <rPr>
            <sz val="11"/>
            <color indexed="8"/>
            <rFont val="Helvetica Neue"/>
          </rPr>
          <t>Codex:
Fonte anagrafica: https://www.fantacalcio.it/serie-a/squadre/lazio/lazzari/2263/2026-27/italia</t>
        </r>
      </text>
    </comment>
    <comment ref="J136" authorId="0">
      <text>
        <r>
          <rPr>
            <sz val="11"/>
            <color indexed="8"/>
            <rFont val="Helvetica Neue"/>
          </rPr>
          <t>Codex:
Fonte anagrafica: https://www.fantacalcio.it/serie-a/squadre/frosinone/cittadini/5757/2026-27/italia</t>
        </r>
      </text>
    </comment>
    <comment ref="J137" authorId="0">
      <text>
        <r>
          <rPr>
            <sz val="11"/>
            <color indexed="8"/>
            <rFont val="Helvetica Neue"/>
          </rPr>
          <t>Codex:
Fonte anagrafica: https://www.fantacalcio.it/serie-a/squadre/monza/ziolkowski/7260/2026-27/italia</t>
        </r>
      </text>
    </comment>
    <comment ref="J138" authorId="0">
      <text>
        <r>
          <rPr>
            <sz val="11"/>
            <color indexed="8"/>
            <rFont val="Helvetica Neue"/>
          </rPr>
          <t>Codex:
Fonte anagrafica: https://www.fantacalcio.it/serie-a/squadre/lazio/patric/327/2026-27/italia</t>
        </r>
      </text>
    </comment>
    <comment ref="J139" authorId="0">
      <text>
        <r>
          <rPr>
            <sz val="11"/>
            <color indexed="8"/>
            <rFont val="Helvetica Neue"/>
          </rPr>
          <t>Codex:
Fonte anagrafica: https://www.fantacalcio.it/serie-a/squadre/bologna/alhassane/7483/2026-27/italia</t>
        </r>
      </text>
    </comment>
    <comment ref="J140" authorId="0">
      <text>
        <r>
          <rPr>
            <sz val="11"/>
            <color indexed="8"/>
            <rFont val="Helvetica Neue"/>
          </rPr>
          <t>Codex:
Fonte anagrafica: https://www.fantacalcio.it/serie-a/squadre/lazio/pellegrini-lu/2728/2026-27/italia</t>
        </r>
      </text>
    </comment>
    <comment ref="J141" authorId="0">
      <text>
        <r>
          <rPr>
            <sz val="11"/>
            <color indexed="8"/>
            <rFont val="Helvetica Neue"/>
          </rPr>
          <t>Codex:
Fonte anagrafica: https://www.fantacalcio.it/serie-a/squadre/lazio/floriani-mussolini/7131/2026-27/italia</t>
        </r>
      </text>
    </comment>
    <comment ref="J142" authorId="0">
      <text>
        <r>
          <rPr>
            <sz val="11"/>
            <color indexed="8"/>
            <rFont val="Helvetica Neue"/>
          </rPr>
          <t>Codex:
Fonte anagrafica: https://www.fantacalcio.it/serie-a/squadre/frosinone/tchato/7605/2026-27/italia</t>
        </r>
      </text>
    </comment>
    <comment ref="J143" authorId="0">
      <text>
        <r>
          <rPr>
            <sz val="11"/>
            <color indexed="8"/>
            <rFont val="Helvetica Neue"/>
          </rPr>
          <t>Codex:
Fonte anagrafica: https://www.fantacalcio.it/serie-a/squadre/milan/terracciano-f/5812/2026-27/italia</t>
        </r>
      </text>
    </comment>
    <comment ref="J144" authorId="0">
      <text>
        <r>
          <rPr>
            <sz val="11"/>
            <color indexed="8"/>
            <rFont val="Helvetica Neue"/>
          </rPr>
          <t>Codex:
Fonte anagrafica: https://www.fantacalcio.it/serie-a/squadre/parma/britschgi/7255/2026-27/italia</t>
        </r>
      </text>
    </comment>
    <comment ref="J145" authorId="0">
      <text>
        <r>
          <rPr>
            <sz val="11"/>
            <color indexed="8"/>
            <rFont val="Helvetica Neue"/>
          </rPr>
          <t>Codex:
Fonte anagrafica: https://www.fantacalcio.it/serie-a/squadre/milan/estupinan/5273/2026-27/italia</t>
        </r>
      </text>
    </comment>
    <comment ref="J146" authorId="0">
      <text>
        <r>
          <rPr>
            <sz val="11"/>
            <color indexed="8"/>
            <rFont val="Helvetica Neue"/>
          </rPr>
          <t>Codex:
Fonte anagrafica: https://www.fantacalcio.it/serie-a/squadre/venezia/halhal/7538/2026-27/italia</t>
        </r>
      </text>
    </comment>
    <comment ref="J147" authorId="0">
      <text>
        <r>
          <rPr>
            <sz val="11"/>
            <color indexed="8"/>
            <rFont val="Helvetica Neue"/>
          </rPr>
          <t>Codex:
Fonte anagrafica: https://www.fantacalcio.it/serie-a/squadre/parma/valenti/5307/2026-27/italia</t>
        </r>
      </text>
    </comment>
    <comment ref="J148" authorId="0">
      <text>
        <r>
          <rPr>
            <sz val="11"/>
            <color indexed="8"/>
            <rFont val="Helvetica Neue"/>
          </rPr>
          <t>Codex:
Fonte anagrafica: https://www.fantacalcio.it/serie-a/squadre/torino/rodriguez-r/2169/2026-27/italia</t>
        </r>
      </text>
    </comment>
    <comment ref="J149" authorId="0">
      <text>
        <r>
          <rPr>
            <sz val="11"/>
            <color indexed="8"/>
            <rFont val="Helvetica Neue"/>
          </rPr>
          <t>Codex:
Fonte anagrafica: https://www.fantacalcio.it/serie-a/squadre/cagliari/idrissi-r/7125/2026-27/italia</t>
        </r>
      </text>
    </comment>
    <comment ref="J150" authorId="0">
      <text>
        <r>
          <rPr>
            <sz val="11"/>
            <color indexed="8"/>
            <rFont val="Helvetica Neue"/>
          </rPr>
          <t>Codex:
Fonte anagrafica: https://www.fantacalcio.it/serie-a/squadre/parma/ndiaye/7202/2026-27/italia</t>
        </r>
      </text>
    </comment>
    <comment ref="J151" authorId="0">
      <text>
        <r>
          <rPr>
            <sz val="11"/>
            <color indexed="8"/>
            <rFont val="Helvetica Neue"/>
          </rPr>
          <t>Codex:
Fonte anagrafica: https://www.fantacalcio.it/serie-a/squadre/napoli/marianucci/6809/2026-27/italia</t>
        </r>
      </text>
    </comment>
    <comment ref="J152" authorId="0">
      <text>
        <r>
          <rPr>
            <sz val="11"/>
            <color indexed="8"/>
            <rFont val="Helvetica Neue"/>
          </rPr>
          <t>Codex:
Fonte anagrafica: https://www.fantacalcio.it/serie-a/squadre/bologna/helland/7326/2026-27/italia</t>
        </r>
      </text>
    </comment>
    <comment ref="J153" authorId="0">
      <text>
        <r>
          <rPr>
            <sz val="11"/>
            <color indexed="8"/>
            <rFont val="Helvetica Neue"/>
          </rPr>
          <t>Codex:
Fonte anagrafica: https://www.fantacalcio.it/serie-a/squadre/venezia/franjic/7478/2026-27/italia</t>
        </r>
      </text>
    </comment>
    <comment ref="J154" authorId="0">
      <text>
        <r>
          <rPr>
            <sz val="11"/>
            <color indexed="8"/>
            <rFont val="Helvetica Neue"/>
          </rPr>
          <t>Codex:
Fonte anagrafica: https://serieaspelare.se/</t>
        </r>
      </text>
    </comment>
    <comment ref="J155" authorId="0">
      <text>
        <r>
          <rPr>
            <sz val="11"/>
            <color indexed="8"/>
            <rFont val="Helvetica Neue"/>
          </rPr>
          <t>Codex:
Fonte anagrafica: https://www.fantacalcio.it/serie-a/squadre/torino/biraghi/252/2026-27/italia</t>
        </r>
      </text>
    </comment>
    <comment ref="J156" authorId="0">
      <text>
        <r>
          <rPr>
            <sz val="11"/>
            <color indexed="8"/>
            <rFont val="Helvetica Neue"/>
          </rPr>
          <t>Codex:
Fonte anagrafica: https://www.fantacalcio.it/serie-a/squadre/udinese/ebosse/5994/2026-27/italia</t>
        </r>
      </text>
    </comment>
    <comment ref="J157" authorId="0">
      <text>
        <r>
          <rPr>
            <sz val="11"/>
            <color indexed="8"/>
            <rFont val="Helvetica Neue"/>
          </rPr>
          <t>Codex:
Fonte anagrafica: https://www.fantacalcio.it/serie-a/squadre/sassuolo/odenthal/7154/2026-27/italia</t>
        </r>
      </text>
    </comment>
    <comment ref="J158" authorId="0">
      <text>
        <r>
          <rPr>
            <sz val="11"/>
            <color indexed="8"/>
            <rFont val="Helvetica Neue"/>
          </rPr>
          <t>Codex:
Fonte anagrafica: https://www.fantacalcio.it/serie-a/squadre/genoa/puczka/7413/2026-27/italia</t>
        </r>
      </text>
    </comment>
    <comment ref="J159" authorId="0">
      <text>
        <r>
          <rPr>
            <sz val="11"/>
            <color indexed="8"/>
            <rFont val="Helvetica Neue"/>
          </rPr>
          <t>Codex:
Fonte anagrafica: https://www.fantacalcio.it/serie-a/squadre/como/goldaniga/418/2026-27/italia</t>
        </r>
      </text>
    </comment>
    <comment ref="J160" authorId="0">
      <text>
        <r>
          <rPr>
            <sz val="11"/>
            <color indexed="8"/>
            <rFont val="Helvetica Neue"/>
          </rPr>
          <t>Codex:
Fonte anagrafica: https://www.fantacalcio.it/serie-a/squadre/frosinone/akpoguma/7540/2026-27/italia</t>
        </r>
      </text>
    </comment>
    <comment ref="J161" authorId="0">
      <text>
        <r>
          <rPr>
            <sz val="11"/>
            <color indexed="8"/>
            <rFont val="Helvetica Neue"/>
          </rPr>
          <t>Codex:
Fonte anagrafica: https://www.fantacalcio.it/serie-a/squadre/venezia/sagrado/6681/2026-27/italia</t>
        </r>
      </text>
    </comment>
    <comment ref="J162" authorId="0">
      <text>
        <r>
          <rPr>
            <sz val="11"/>
            <color indexed="8"/>
            <rFont val="Helvetica Neue"/>
          </rPr>
          <t>Codex:
Fonte anagrafica: https://www.fantacalcio.it/serie-a/squadre/roma/lulli/7599/2026-27/italia</t>
        </r>
      </text>
    </comment>
    <comment ref="J163" authorId="0">
      <text>
        <r>
          <rPr>
            <sz val="11"/>
            <color indexed="8"/>
            <rFont val="Helvetica Neue"/>
          </rPr>
          <t>Codex:
Fonte anagrafica: https://www.fantacalcio.it/serie-a/squadre/udinese/palma/6925/2026-27/italia</t>
        </r>
      </text>
    </comment>
    <comment ref="J164" authorId="0">
      <text>
        <r>
          <rPr>
            <sz val="11"/>
            <color indexed="8"/>
            <rFont val="Helvetica Neue"/>
          </rPr>
          <t>Codex:
Fonte anagrafica: https://www.fantacalcio.it/serie-a/squadre/udinese/zanoli/5527/2026-27/italia</t>
        </r>
      </text>
    </comment>
    <comment ref="J165" authorId="0">
      <text>
        <r>
          <rPr>
            <sz val="11"/>
            <color indexed="8"/>
            <rFont val="Helvetica Neue"/>
          </rPr>
          <t>Codex:
Fonte anagrafica: https://www.fantacalcio.it/serie-a/squadre/genoa/otoa/6977/2026-27/italia</t>
        </r>
      </text>
    </comment>
    <comment ref="J166" authorId="0">
      <text>
        <r>
          <rPr>
            <sz val="11"/>
            <color indexed="8"/>
            <rFont val="Helvetica Neue"/>
          </rPr>
          <t>Codex:
Fonte anagrafica: https://www.fantacalcio.it/serie-a/squadre/venezia/mazzocchi/5481/2026-27/italia</t>
        </r>
      </text>
    </comment>
    <comment ref="J167" authorId="0">
      <text>
        <r>
          <rPr>
            <sz val="11"/>
            <color indexed="8"/>
            <rFont val="Helvetica Neue"/>
          </rPr>
          <t>Codex:
Fonte anagrafica: https://www.fantacalcio.it/serie-a/squadre/sassuolo/candè/6985/2026-27/italia</t>
        </r>
      </text>
    </comment>
    <comment ref="J168" authorId="0">
      <text>
        <r>
          <rPr>
            <sz val="11"/>
            <color indexed="8"/>
            <rFont val="Helvetica Neue"/>
          </rPr>
          <t>Codex:
Fonte anagrafica: https://www.fantacalcio.it/serie-a/squadre/genoa/mitaj/7537/2026-27/italia</t>
        </r>
      </text>
    </comment>
    <comment ref="J169" authorId="0">
      <text>
        <r>
          <rPr>
            <sz val="11"/>
            <color indexed="8"/>
            <rFont val="Helvetica Neue"/>
          </rPr>
          <t>Codex:
Fonte anagrafica: https://www.fantacalcio.it/serie-a/squadre/bologna/casale/5498/2026-27/italia</t>
        </r>
      </text>
    </comment>
    <comment ref="J170" authorId="0">
      <text>
        <r>
          <rPr>
            <sz val="11"/>
            <color indexed="8"/>
            <rFont val="Helvetica Neue"/>
          </rPr>
          <t>Codex:
Fonte anagrafica: https://www.fantacalcio.it/serie-a/squadre/lecce/jean/6883/2026-27/italia</t>
        </r>
      </text>
    </comment>
    <comment ref="J171" authorId="0">
      <text>
        <r>
          <rPr>
            <sz val="11"/>
            <color indexed="8"/>
            <rFont val="Helvetica Neue"/>
          </rPr>
          <t>Codex:
Fonte anagrafica: https://www.fantacalcio.it/serie-a/squadre/parma/carboni-f/6149/2026-27/italia</t>
        </r>
      </text>
    </comment>
    <comment ref="J172" authorId="0">
      <text>
        <r>
          <rPr>
            <sz val="11"/>
            <color indexed="8"/>
            <rFont val="Helvetica Neue"/>
          </rPr>
          <t>Codex:
Fonte anagrafica: https://www.fantacalcio.it/serie-a/squadre/monza/kouadio/7238/2026-27/italia</t>
        </r>
      </text>
    </comment>
    <comment ref="J173" authorId="0">
      <text>
        <r>
          <rPr>
            <sz val="11"/>
            <color indexed="8"/>
            <rFont val="Helvetica Neue"/>
          </rPr>
          <t>Codex:
Fonte anagrafica: https://www.fantacalcio.it/serie-a/squadre/venezia/sverko/6673/2026-27/italia</t>
        </r>
      </text>
    </comment>
    <comment ref="J174" authorId="0">
      <text>
        <r>
          <rPr>
            <sz val="11"/>
            <color indexed="8"/>
            <rFont val="Helvetica Neue"/>
          </rPr>
          <t>Codex:
Fonte anagrafica: https://www.fantacalcio.it/serie-a/squadre/venezia/moreno-m/6890/2026-27/italia</t>
        </r>
      </text>
    </comment>
    <comment ref="J175" authorId="0">
      <text>
        <r>
          <rPr>
            <sz val="11"/>
            <color indexed="8"/>
            <rFont val="Helvetica Neue"/>
          </rPr>
          <t>Codex:
Fonte anagrafica: https://www.fantacalcio.it/serie-a/squadre/cagliari/kofler/7532/2026-27/italia</t>
        </r>
      </text>
    </comment>
    <comment ref="J176" authorId="0">
      <text>
        <r>
          <rPr>
            <sz val="11"/>
            <color indexed="8"/>
            <rFont val="Helvetica Neue"/>
          </rPr>
          <t>Codex:
Fonte anagrafica: https://www.fantacalcio.it/serie-a/squadre/monza/lucchesi/6659/2026-27/italia</t>
        </r>
      </text>
    </comment>
    <comment ref="J177" authorId="0">
      <text>
        <r>
          <rPr>
            <sz val="11"/>
            <color indexed="8"/>
            <rFont val="Helvetica Neue"/>
          </rPr>
          <t>Codex:
Fonte anagrafica: https://www.fantacalcio.it/serie-a/squadre/lecce/ndaba/7182/2026-27/italia</t>
        </r>
      </text>
    </comment>
    <comment ref="J178" authorId="0">
      <text>
        <r>
          <rPr>
            <sz val="11"/>
            <color indexed="8"/>
            <rFont val="Helvetica Neue"/>
          </rPr>
          <t>Codex:
Fonte anagrafica: https://www.fantacalcio.it/serie-a/squadre/bologna/de-silvestri/487/2026-27/italia</t>
        </r>
      </text>
    </comment>
    <comment ref="J179" authorId="0">
      <text>
        <r>
          <rPr>
            <sz val="11"/>
            <color indexed="8"/>
            <rFont val="Helvetica Neue"/>
          </rPr>
          <t>Codex:
Fonte anagrafica: https://www.fantacalcio.it/serie-a/squadre/milan/diawara-s/7525/2026-27/italia</t>
        </r>
      </text>
    </comment>
    <comment ref="J180" authorId="0">
      <text>
        <r>
          <rPr>
            <sz val="11"/>
            <color indexed="8"/>
            <rFont val="Helvetica Neue"/>
          </rPr>
          <t>Codex:
Fonte anagrafica: https://www.fantacalcio.it/serie-a/squadre/frosinone/omar-fayed/7553/2026-27/italia</t>
        </r>
      </text>
    </comment>
    <comment ref="J181" authorId="0">
      <text>
        <r>
          <rPr>
            <sz val="11"/>
            <color indexed="8"/>
            <rFont val="Helvetica Neue"/>
          </rPr>
          <t>Codex:
Fonte anagrafica: https://www.fantacalcio.it/serie-a/squadre/udinese/arizala/7312/2026-27/italia</t>
        </r>
      </text>
    </comment>
    <comment ref="J182" authorId="0">
      <text>
        <r>
          <rPr>
            <sz val="11"/>
            <color indexed="8"/>
            <rFont val="Helvetica Neue"/>
          </rPr>
          <t>Codex:
Fonte anagrafica: https://www.fantacalcio.it/serie-a/squadre/parma/drobnic/7615/2026-27/italia</t>
        </r>
      </text>
    </comment>
    <comment ref="J183" authorId="0">
      <text>
        <r>
          <rPr>
            <sz val="11"/>
            <color indexed="8"/>
            <rFont val="Helvetica Neue"/>
          </rPr>
          <t>Codex:
Fonte anagrafica: https://www.fantacalcio.it/serie-a/squadre/venezia/gomes/7454/2026-27/italia</t>
        </r>
      </text>
    </comment>
    <comment ref="J184" authorId="0">
      <text>
        <r>
          <rPr>
            <sz val="11"/>
            <color indexed="8"/>
            <rFont val="Helvetica Neue"/>
          </rPr>
          <t>Codex:
Fonte anagrafica: https://www.fantacalcio.it/serie-a/squadre/frosinone/el-azzouzi-a/7456/2026-27/italia</t>
        </r>
      </text>
    </comment>
    <comment ref="J185" authorId="0">
      <text>
        <r>
          <rPr>
            <sz val="11"/>
            <color indexed="8"/>
            <rFont val="Helvetica Neue"/>
          </rPr>
          <t>Codex:
Fonte anagrafica: https://www.transfermarkt.com/rufai-mohammed/profil/spieler/1321938</t>
        </r>
      </text>
    </comment>
    <comment ref="J186" authorId="0">
      <text>
        <r>
          <rPr>
            <sz val="11"/>
            <color indexed="8"/>
            <rFont val="Helvetica Neue"/>
          </rPr>
          <t>Codex:
Fonte anagrafica: https://www.fantacalcio.it/serie-a/squadre/frosinone/amey/5424/2026-27/italia</t>
        </r>
      </text>
    </comment>
    <comment ref="J187" authorId="0">
      <text>
        <r>
          <rPr>
            <sz val="11"/>
            <color indexed="8"/>
            <rFont val="Helvetica Neue"/>
          </rPr>
          <t>Codex:
Fonte anagrafica: https://www.fantacalcio.it/serie-a/squadre/monza/antov/5399/2026-27/italia</t>
        </r>
      </text>
    </comment>
    <comment ref="J188" authorId="0">
      <text>
        <r>
          <rPr>
            <sz val="11"/>
            <color indexed="8"/>
            <rFont val="Helvetica Neue"/>
          </rPr>
          <t>Codex:
Fonte anagrafica: https://www.fantacalcio.it/serie-a/squadre/udinese/abankwah/6021/2026-27/italia</t>
        </r>
      </text>
    </comment>
    <comment ref="J189" authorId="0">
      <text>
        <r>
          <rPr>
            <sz val="11"/>
            <color indexed="8"/>
            <rFont val="Helvetica Neue"/>
          </rPr>
          <t>Codex:
Fonte anagrafica: https://www.fantacalcio.it/serie-a/squadre/juventus/rugani/294/2026-27/italia</t>
        </r>
      </text>
    </comment>
    <comment ref="J190" authorId="0">
      <text>
        <r>
          <rPr>
            <sz val="11"/>
            <color indexed="8"/>
            <rFont val="Helvetica Neue"/>
          </rPr>
          <t>Codex:
Fonte anagrafica: https://www.fantacalcio.it/serie-a/squadre/sassuolo/pieragnolo/7156/2026-27/italia</t>
        </r>
      </text>
    </comment>
    <comment ref="J191" authorId="0">
      <text>
        <r>
          <rPr>
            <sz val="11"/>
            <color indexed="8"/>
            <rFont val="Helvetica Neue"/>
          </rPr>
          <t>Codex:
Fonte anagrafica: https://www.fantacalcio.it/serie-a/squadre/lecce/dembelè-a/6826/2026-27/italia</t>
        </r>
      </text>
    </comment>
    <comment ref="J192" authorId="0">
      <text>
        <r>
          <rPr>
            <sz val="11"/>
            <color indexed="8"/>
            <rFont val="Helvetica Neue"/>
          </rPr>
          <t>Codex:
Fonte anagrafica: https://www.fantacalcio.it/serie-a/squadre/monza/bakoune/7476/2026-27/italia</t>
        </r>
      </text>
    </comment>
    <comment ref="J193" authorId="0">
      <text>
        <r>
          <rPr>
            <sz val="11"/>
            <color indexed="8"/>
            <rFont val="Helvetica Neue"/>
          </rPr>
          <t>Codex:
Fonte anagrafica: https://serieaspelare.se/</t>
        </r>
      </text>
    </comment>
    <comment ref="J194" authorId="0">
      <text>
        <r>
          <rPr>
            <sz val="11"/>
            <color indexed="8"/>
            <rFont val="Helvetica Neue"/>
          </rPr>
          <t>Codex:
Fonte anagrafica: https://www.fantacalcio.it/serie-a/squadre/roma/vaz/6981/2026-27/italia</t>
        </r>
      </text>
    </comment>
    <comment ref="J195" authorId="0">
      <text>
        <r>
          <rPr>
            <sz val="11"/>
            <color indexed="8"/>
            <rFont val="Helvetica Neue"/>
          </rPr>
          <t>Codex:
Fonte anagrafica: https://www.fantacalcio.it/serie-a/squadre/monza/maye/7604/2026-27/italia</t>
        </r>
      </text>
    </comment>
    <comment ref="J196" authorId="0">
      <text>
        <r>
          <rPr>
            <sz val="11"/>
            <color indexed="8"/>
            <rFont val="Helvetica Neue"/>
          </rPr>
          <t>Codex:
Fonte anagrafica: https://serieaspelare.se/</t>
        </r>
      </text>
    </comment>
    <comment ref="J197" authorId="0">
      <text>
        <r>
          <rPr>
            <sz val="11"/>
            <color indexed="8"/>
            <rFont val="Helvetica Neue"/>
          </rPr>
          <t>Codex:
Fonte anagrafica: https://www.transfermarkt.com/cristiano-de-paoli/profil/spieler/1078795</t>
        </r>
      </text>
    </comment>
    <comment ref="J198" authorId="0">
      <text>
        <r>
          <rPr>
            <sz val="11"/>
            <color indexed="8"/>
            <rFont val="Helvetica Neue"/>
          </rPr>
          <t>Codex:
Fonte anagrafica: https://www.transfermarkt.com/junior-ligue/profil/spieler/862744</t>
        </r>
      </text>
    </comment>
    <comment ref="J199" authorId="0">
      <text>
        <r>
          <rPr>
            <sz val="11"/>
            <color indexed="8"/>
            <rFont val="Helvetica Neue"/>
          </rPr>
          <t>Codex:
Fonte anagrafica: https://serieaspelare.se/</t>
        </r>
      </text>
    </comment>
    <comment ref="J200" authorId="0">
      <text>
        <r>
          <rPr>
            <sz val="11"/>
            <color indexed="8"/>
            <rFont val="Helvetica Neue"/>
          </rPr>
          <t>Codex:
Fonte anagrafica: https://serieaspelare.se/</t>
        </r>
      </text>
    </comment>
    <comment ref="J201" authorId="0">
      <text>
        <r>
          <rPr>
            <sz val="11"/>
            <color indexed="8"/>
            <rFont val="Helvetica Neue"/>
          </rPr>
          <t>Codex:
Fonte anagrafica: https://serieaspelare.se/</t>
        </r>
      </text>
    </comment>
    <comment ref="J202" authorId="0">
      <text>
        <r>
          <rPr>
            <sz val="11"/>
            <color indexed="8"/>
            <rFont val="Helvetica Neue"/>
          </rPr>
          <t>Codex:
Fonte anagrafica: https://serieaspelare.se/</t>
        </r>
      </text>
    </comment>
    <comment ref="J203" authorId="0">
      <text>
        <r>
          <rPr>
            <sz val="11"/>
            <color indexed="8"/>
            <rFont val="Helvetica Neue"/>
          </rPr>
          <t>Codex:
Fonte anagrafica: https://serieaspelare.se/</t>
        </r>
      </text>
    </comment>
  </commentList>
</comments>
</file>

<file path=xl/comments4.xml><?xml version="1.0" encoding="utf-8"?>
<comments xmlns="http://schemas.openxmlformats.org/spreadsheetml/2006/main">
  <authors>
    <author>Codex</author>
  </authors>
  <commentList>
    <comment ref="C4" authorId="0">
      <text>
        <r>
          <rPr>
            <sz val="11"/>
            <color indexed="8"/>
            <rFont val="Helvetica Neue"/>
          </rPr>
          <t>Codex:
Casella manuale: fai clic per selezionare un giocatore. Puoi poi filtrare TRUE per vedere solo i selezionati.</t>
        </r>
      </text>
    </comment>
    <comment ref="O4" authorId="0">
      <text>
        <r>
          <rPr>
            <sz val="11"/>
            <color indexed="8"/>
            <rFont val="Helvetica Neue"/>
          </rPr>
          <t>Codex:
Il mese tra parentesi deriva dal calendario Serie A Enilive 2026/27: https://www.legaseriea.it/serie-a/news/calendario-della-serie-a-enilive-2026-27</t>
        </r>
      </text>
    </comment>
    <comment ref="J5" authorId="0">
      <text>
        <r>
          <rPr>
            <sz val="11"/>
            <color indexed="8"/>
            <rFont val="Helvetica Neue"/>
          </rPr>
          <t>Codex:
Fonte anagrafica: https://www.fantacalcio.it/serie-a/squadre/inter/calhanoglu/2194/2026-27/italia</t>
        </r>
      </text>
    </comment>
    <comment ref="J6" authorId="0">
      <text>
        <r>
          <rPr>
            <sz val="11"/>
            <color indexed="8"/>
            <rFont val="Helvetica Neue"/>
          </rPr>
          <t>Codex:
Fonte anagrafica: https://www.fantacalcio.it/serie-a/squadre/como/paz-n/6875/2026-27/italia</t>
        </r>
      </text>
    </comment>
    <comment ref="J7" authorId="0">
      <text>
        <r>
          <rPr>
            <sz val="11"/>
            <color indexed="8"/>
            <rFont val="Helvetica Neue"/>
          </rPr>
          <t>Codex:
Fonte anagrafica: https://www.fantacalcio.it/serie-a/squadre/torino/vlasic/5687/2026-27/italia</t>
        </r>
      </text>
    </comment>
    <comment ref="J8" authorId="0">
      <text>
        <r>
          <rPr>
            <sz val="11"/>
            <color indexed="8"/>
            <rFont val="Helvetica Neue"/>
          </rPr>
          <t>Codex:
Fonte anagrafica: https://www.fantacalcio.it/serie-a/squadre/milan/rabiot/2379/2026-27/italia</t>
        </r>
      </text>
    </comment>
    <comment ref="J9" authorId="0">
      <text>
        <r>
          <rPr>
            <sz val="11"/>
            <color indexed="8"/>
            <rFont val="Helvetica Neue"/>
          </rPr>
          <t>Codex:
Fonte anagrafica: https://www.fantacalcio.it/serie-a/squadre/como/baturina/7126/2026-27/italia</t>
        </r>
      </text>
    </comment>
    <comment ref="J10" authorId="0">
      <text>
        <r>
          <rPr>
            <sz val="11"/>
            <color indexed="8"/>
            <rFont val="Helvetica Neue"/>
          </rPr>
          <t>Codex:
Fonte anagrafica: https://www.fantacalcio.it/serie-a/squadre/milan/pulisic/2423/2026-27/italia</t>
        </r>
      </text>
    </comment>
    <comment ref="J11" authorId="0">
      <text>
        <r>
          <rPr>
            <sz val="11"/>
            <color indexed="8"/>
            <rFont val="Helvetica Neue"/>
          </rPr>
          <t>Codex:
Fonte anagrafica: https://www.fantacalcio.it/serie-a/squadre/bologna/orsolini/2167/2026-27/italia</t>
        </r>
      </text>
    </comment>
    <comment ref="J12" authorId="0">
      <text>
        <r>
          <rPr>
            <sz val="11"/>
            <color indexed="8"/>
            <rFont val="Helvetica Neue"/>
          </rPr>
          <t>Codex:
Fonte anagrafica: https://www.fantacalcio.it/serie-a/squadre/inter/barella/1870/2026-27/italia</t>
        </r>
      </text>
    </comment>
    <comment ref="J13" authorId="0">
      <text>
        <r>
          <rPr>
            <sz val="11"/>
            <color indexed="8"/>
            <rFont val="Helvetica Neue"/>
          </rPr>
          <t>Codex:
Fonte anagrafica: https://www.fantacalcio.it/serie-a/squadre/napoli/mctominay/4777/2026-27/italia</t>
        </r>
      </text>
    </comment>
    <comment ref="J14" authorId="0">
      <text>
        <r>
          <rPr>
            <sz val="11"/>
            <color indexed="8"/>
            <rFont val="Helvetica Neue"/>
          </rPr>
          <t>Codex:
Fonte anagrafica: https://www.fantacalcio.it/serie-a/squadre/napoli/de-bruyne/2517/2026-27/italia</t>
        </r>
      </text>
    </comment>
    <comment ref="J15" authorId="0">
      <text>
        <r>
          <rPr>
            <sz val="11"/>
            <color indexed="8"/>
            <rFont val="Helvetica Neue"/>
          </rPr>
          <t>Codex:
Fonte anagrafica: https://www.fantacalcio.it/serie-a/squadre/bologna/bernardeschi/184/2026-27/italia</t>
        </r>
      </text>
    </comment>
    <comment ref="J16" authorId="0">
      <text>
        <r>
          <rPr>
            <sz val="11"/>
            <color indexed="8"/>
            <rFont val="Helvetica Neue"/>
          </rPr>
          <t>Codex:
Fonte anagrafica: https://www.fantacalcio.it/serie-a/squadre/como/da-cunha/5559/2026-27/italia</t>
        </r>
      </text>
    </comment>
    <comment ref="J17" authorId="0">
      <text>
        <r>
          <rPr>
            <sz val="11"/>
            <color indexed="8"/>
            <rFont val="Helvetica Neue"/>
          </rPr>
          <t>Codex:
Fonte anagrafica: https://www.fantacalcio.it/serie-a/squadre/fiorentina/atta/6908/2026-27/italia</t>
        </r>
      </text>
    </comment>
    <comment ref="J18" authorId="0">
      <text>
        <r>
          <rPr>
            <sz val="11"/>
            <color indexed="8"/>
            <rFont val="Helvetica Neue"/>
          </rPr>
          <t>Codex:
Fonte anagrafica: https://www.fantacalcio.it/serie-a/squadre/roma/konè-m/5589/2026-27/italia</t>
        </r>
      </text>
    </comment>
    <comment ref="J19" authorId="0">
      <text>
        <r>
          <rPr>
            <sz val="11"/>
            <color indexed="8"/>
            <rFont val="Helvetica Neue"/>
          </rPr>
          <t>Codex:
Fonte anagrafica: https://www.fantacalcio.it/serie-a/squadre/udinese/zaniolo/2766/2026-27/italia</t>
        </r>
      </text>
    </comment>
    <comment ref="J20" authorId="0">
      <text>
        <r>
          <rPr>
            <sz val="11"/>
            <color indexed="8"/>
            <rFont val="Helvetica Neue"/>
          </rPr>
          <t>Codex:
Fonte anagrafica: https://www.fantacalcio.it/serie-a/squadre/milan/modric/2606/2026-27/italia</t>
        </r>
      </text>
    </comment>
    <comment ref="J21" authorId="0">
      <text>
        <r>
          <rPr>
            <sz val="11"/>
            <color indexed="8"/>
            <rFont val="Helvetica Neue"/>
          </rPr>
          <t>Codex:
Fonte anagrafica: https://www.fantacalcio.it/serie-a/squadre/napoli/santos-a/7351/2026-27/italia</t>
        </r>
      </text>
    </comment>
    <comment ref="J22" authorId="0">
      <text>
        <r>
          <rPr>
            <sz val="11"/>
            <color indexed="8"/>
            <rFont val="Helvetica Neue"/>
          </rPr>
          <t>Codex:
Fonte anagrafica: https://www.fantacalcio.it/serie-a/squadre/lazio/zaccagni/632/2026-27/italia</t>
        </r>
      </text>
    </comment>
    <comment ref="J23" authorId="0">
      <text>
        <r>
          <rPr>
            <sz val="11"/>
            <color indexed="8"/>
            <rFont val="Helvetica Neue"/>
          </rPr>
          <t>Codex:
Fonte anagrafica: https://www.fantacalcio.it/serie-a/squadre/juventus/conceicao/6884/2026-27/italia</t>
        </r>
      </text>
    </comment>
    <comment ref="J24" authorId="0">
      <text>
        <r>
          <rPr>
            <sz val="11"/>
            <color indexed="8"/>
            <rFont val="Helvetica Neue"/>
          </rPr>
          <t>Codex:
Fonte anagrafica: https://www.fantacalcio.it/serie-a/squadre/atalanta/ederson-d-s/5792/2026-27/italia</t>
        </r>
      </text>
    </comment>
    <comment ref="J25" authorId="0">
      <text>
        <r>
          <rPr>
            <sz val="11"/>
            <color indexed="8"/>
            <rFont val="Helvetica Neue"/>
          </rPr>
          <t>Codex:
Fonte anagrafica: https://www.fantacalcio.it/serie-a/squadre/juventus/locatelli/827/2026-27/italia</t>
        </r>
      </text>
    </comment>
    <comment ref="J26" authorId="0">
      <text>
        <r>
          <rPr>
            <sz val="11"/>
            <color indexed="8"/>
            <rFont val="Helvetica Neue"/>
          </rPr>
          <t>Codex:
Fonte anagrafica: https://www.fantacalcio.it/serie-a/squadre/lazio/taylor-k/7314/2026-27/italia</t>
        </r>
      </text>
    </comment>
    <comment ref="J27" authorId="0">
      <text>
        <r>
          <rPr>
            <sz val="11"/>
            <color indexed="8"/>
            <rFont val="Helvetica Neue"/>
          </rPr>
          <t>Codex:
Fonte anagrafica: https://www.fantacalcio.it/serie-a/squadre/udinese/ekkelenkamp/6684/2026-27/italia</t>
        </r>
      </text>
    </comment>
    <comment ref="J28" authorId="0">
      <text>
        <r>
          <rPr>
            <sz val="11"/>
            <color indexed="8"/>
            <rFont val="Helvetica Neue"/>
          </rPr>
          <t>Codex:
Fonte anagrafica: https://www.fantacalcio.it/serie-a/squadre/inter/zielinski/152/2026-27/italia</t>
        </r>
      </text>
    </comment>
    <comment ref="J29" authorId="0">
      <text>
        <r>
          <rPr>
            <sz val="11"/>
            <color indexed="8"/>
            <rFont val="Helvetica Neue"/>
          </rPr>
          <t>Codex:
Fonte anagrafica: https://www.fantacalcio.it/serie-a/squadre/como/perrone/6151/2026-27/italia</t>
        </r>
      </text>
    </comment>
    <comment ref="J30" authorId="0">
      <text>
        <r>
          <rPr>
            <sz val="11"/>
            <color indexed="8"/>
            <rFont val="Helvetica Neue"/>
          </rPr>
          <t>Codex:
Fonte anagrafica: https://www.fantacalcio.it/serie-a/squadre/fiorentina/mastantuono/7078/2026-27/italia</t>
        </r>
      </text>
    </comment>
    <comment ref="J31" authorId="0">
      <text>
        <r>
          <rPr>
            <sz val="11"/>
            <color indexed="8"/>
            <rFont val="Helvetica Neue"/>
          </rPr>
          <t>Codex:
Fonte anagrafica: https://www.fantacalcio.it/serie-a/squadre/juventus/mckennie/4973/2026-27/italia</t>
        </r>
      </text>
    </comment>
    <comment ref="J32" authorId="0">
      <text>
        <r>
          <rPr>
            <sz val="11"/>
            <color indexed="8"/>
            <rFont val="Helvetica Neue"/>
          </rPr>
          <t>Codex:
Fonte anagrafica: https://www.fantacalcio.it/serie-a/squadre/roma/cristante/779/2026-27/italia</t>
        </r>
      </text>
    </comment>
    <comment ref="J33" authorId="0">
      <text>
        <r>
          <rPr>
            <sz val="11"/>
            <color indexed="8"/>
            <rFont val="Helvetica Neue"/>
          </rPr>
          <t>Codex:
Fonte anagrafica: https://www.fantacalcio.it/serie-a/squadre/sassuolo/thorstvedt/5844/2026-27/italia</t>
        </r>
      </text>
    </comment>
    <comment ref="J34" authorId="0">
      <text>
        <r>
          <rPr>
            <sz val="11"/>
            <color indexed="8"/>
            <rFont val="Helvetica Neue"/>
          </rPr>
          <t>Codex:
Fonte anagrafica: https://www.fantacalcio.it/serie-a/squadre/milan/saelemaekers/4892/2026-27/italia</t>
        </r>
      </text>
    </comment>
    <comment ref="J35" authorId="0">
      <text>
        <r>
          <rPr>
            <sz val="11"/>
            <color indexed="8"/>
            <rFont val="Helvetica Neue"/>
          </rPr>
          <t>Codex:
Fonte anagrafica: https://www.fantacalcio.it/serie-a/squadre/inter/jones-c/5172/2026-27/italia</t>
        </r>
      </text>
    </comment>
    <comment ref="J36" authorId="0">
      <text>
        <r>
          <rPr>
            <sz val="11"/>
            <color indexed="8"/>
            <rFont val="Helvetica Neue"/>
          </rPr>
          <t>Codex:
Fonte anagrafica: https://www.fantacalcio.it/serie-a/squadre/lazio/frattesi/2848/2026-27/italia</t>
        </r>
      </text>
    </comment>
    <comment ref="J37" authorId="0">
      <text>
        <r>
          <rPr>
            <sz val="11"/>
            <color indexed="8"/>
            <rFont val="Helvetica Neue"/>
          </rPr>
          <t>Codex:
Fonte anagrafica: https://www.fantacalcio.it/serie-a/squadre/napoli/zambo-anguissa/4220/2026-27/italia</t>
        </r>
      </text>
    </comment>
    <comment ref="J38" authorId="0">
      <text>
        <r>
          <rPr>
            <sz val="11"/>
            <color indexed="8"/>
            <rFont val="Helvetica Neue"/>
          </rPr>
          <t>Codex:
Fonte anagrafica: https://www.fantacalcio.it/serie-a/squadre/lazio/gudmundsson-a/5800/2026-27/italia</t>
        </r>
      </text>
    </comment>
    <comment ref="J39" authorId="0">
      <text>
        <r>
          <rPr>
            <sz val="11"/>
            <color indexed="8"/>
            <rFont val="Helvetica Neue"/>
          </rPr>
          <t>Codex:
Fonte anagrafica: https://www.fantacalcio.it/serie-a/squadre/torino/mandragora/1933/2026-27/italia</t>
        </r>
      </text>
    </comment>
    <comment ref="J40" authorId="0">
      <text>
        <r>
          <rPr>
            <sz val="11"/>
            <color indexed="8"/>
            <rFont val="Helvetica Neue"/>
          </rPr>
          <t>Codex:
Fonte anagrafica: https://www.fantacalcio.it/serie-a/squadre/milan/moreira/6372/2026-27/italia</t>
        </r>
      </text>
    </comment>
    <comment ref="J41" authorId="0">
      <text>
        <r>
          <rPr>
            <sz val="11"/>
            <color indexed="8"/>
            <rFont val="Helvetica Neue"/>
          </rPr>
          <t>Codex:
Fonte anagrafica: https://www.fantacalcio.it/serie-a/squadre/parma/bernabè/6666/2026-27/italia</t>
        </r>
      </text>
    </comment>
    <comment ref="J42" authorId="0">
      <text>
        <r>
          <rPr>
            <sz val="11"/>
            <color indexed="8"/>
            <rFont val="Helvetica Neue"/>
          </rPr>
          <t>Codex:
Fonte anagrafica: https://www.fantacalcio.it/serie-a/squadre/milan/chukwueze/4856/2026-27/italia</t>
        </r>
      </text>
    </comment>
    <comment ref="J43" authorId="0">
      <text>
        <r>
          <rPr>
            <sz val="11"/>
            <color indexed="8"/>
            <rFont val="Helvetica Neue"/>
          </rPr>
          <t>Codex:
Fonte anagrafica: https://www.fantacalcio.it/serie-a/squadre/napoli/politano/536/2026-27/italia</t>
        </r>
      </text>
    </comment>
    <comment ref="J44" authorId="0">
      <text>
        <r>
          <rPr>
            <sz val="11"/>
            <color indexed="8"/>
            <rFont val="Helvetica Neue"/>
          </rPr>
          <t>Codex:
Fonte anagrafica: https://www.fantacalcio.it/serie-a/squadre/roma/mora/7556/2026-27/italia</t>
        </r>
      </text>
    </comment>
    <comment ref="J45" authorId="0">
      <text>
        <r>
          <rPr>
            <sz val="11"/>
            <color indexed="8"/>
            <rFont val="Helvetica Neue"/>
          </rPr>
          <t>Codex:
Fonte anagrafica: https://www.fantacalcio.it/serie-a/squadre/napoli/lobotka/4287/2026-27/italia</t>
        </r>
      </text>
    </comment>
    <comment ref="J46" authorId="0">
      <text>
        <r>
          <rPr>
            <sz val="11"/>
            <color indexed="8"/>
            <rFont val="Helvetica Neue"/>
          </rPr>
          <t>Codex:
Fonte anagrafica: https://www.fantacalcio.it/serie-a/squadre/udinese/karlstrom/6680/2026-27/italia</t>
        </r>
      </text>
    </comment>
    <comment ref="J47" authorId="0">
      <text>
        <r>
          <rPr>
            <sz val="11"/>
            <color indexed="8"/>
            <rFont val="Helvetica Neue"/>
          </rPr>
          <t>Codex:
Fonte anagrafica: https://www.fantacalcio.it/serie-a/squadre/frosinone/calò/7472/2026-27/italia</t>
        </r>
      </text>
    </comment>
    <comment ref="J48" authorId="0">
      <text>
        <r>
          <rPr>
            <sz val="11"/>
            <color indexed="8"/>
            <rFont val="Helvetica Neue"/>
          </rPr>
          <t>Codex:
Fonte anagrafica: https://www.fantacalcio.it/serie-a/squadre/como/caqueret/5036/2026-27/italia</t>
        </r>
      </text>
    </comment>
    <comment ref="J49" authorId="0">
      <text>
        <r>
          <rPr>
            <sz val="11"/>
            <color indexed="8"/>
            <rFont val="Helvetica Neue"/>
          </rPr>
          <t>Codex:
Fonte anagrafica: https://www.fantacalcio.it/serie-a/squadre/lecce/pierotti/6549/2026-27/italia</t>
        </r>
      </text>
    </comment>
    <comment ref="J50" authorId="0">
      <text>
        <r>
          <rPr>
            <sz val="11"/>
            <color indexed="8"/>
            <rFont val="Helvetica Neue"/>
          </rPr>
          <t>Codex:
Fonte anagrafica: https://www.fantacalcio.it/serie-a/squadre/roma/pellegrini-lo/530/2026-27/italia</t>
        </r>
      </text>
    </comment>
    <comment ref="J51" authorId="0">
      <text>
        <r>
          <rPr>
            <sz val="11"/>
            <color indexed="8"/>
            <rFont val="Helvetica Neue"/>
          </rPr>
          <t>Codex:
Fonte anagrafica: https://www.fantacalcio.it/serie-a/squadre/atalanta/kessiè/1850/2026-27/italia</t>
        </r>
      </text>
    </comment>
    <comment ref="J52" authorId="0">
      <text>
        <r>
          <rPr>
            <sz val="11"/>
            <color indexed="8"/>
            <rFont val="Helvetica Neue"/>
          </rPr>
          <t>Codex:
Fonte anagrafica: https://www.fantacalcio.it/serie-a/squadre/fiorentina/goncalves-p/7625/2026-27/italia</t>
        </r>
      </text>
    </comment>
    <comment ref="J53" authorId="0">
      <text>
        <r>
          <rPr>
            <sz val="11"/>
            <color indexed="8"/>
            <rFont val="Helvetica Neue"/>
          </rPr>
          <t>Codex:
Fonte anagrafica: https://www.fantacalcio.it/serie-a/squadre/roma/pisilli/6190/2026-27/italia</t>
        </r>
      </text>
    </comment>
    <comment ref="J54" authorId="0">
      <text>
        <r>
          <rPr>
            <sz val="11"/>
            <color indexed="8"/>
            <rFont val="Helvetica Neue"/>
          </rPr>
          <t>Codex:
Fonte anagrafica: https://www.fantacalcio.it/serie-a/squadre/atalanta/gaetano/4364/2026-27/italia</t>
        </r>
      </text>
    </comment>
    <comment ref="J55" authorId="0">
      <text>
        <r>
          <rPr>
            <sz val="11"/>
            <color indexed="8"/>
            <rFont val="Helvetica Neue"/>
          </rPr>
          <t>Codex:
Fonte anagrafica: https://www.fantacalcio.it/serie-a/squadre/atalanta/samardzic/5119/2026-27/italia</t>
        </r>
      </text>
    </comment>
    <comment ref="J56" authorId="0">
      <text>
        <r>
          <rPr>
            <sz val="11"/>
            <color indexed="8"/>
            <rFont val="Helvetica Neue"/>
          </rPr>
          <t>Codex:
Fonte anagrafica: https://www.fantacalcio.it/serie-a/squadre/sassuolo/matic/2528/2026-27/italia</t>
        </r>
      </text>
    </comment>
    <comment ref="J57" authorId="0">
      <text>
        <r>
          <rPr>
            <sz val="11"/>
            <color indexed="8"/>
            <rFont val="Helvetica Neue"/>
          </rPr>
          <t>Codex:
Fonte anagrafica: https://www.fantacalcio.it/serie-a/squadre/fiorentina/fagioli/4465/2026-27/italia</t>
        </r>
      </text>
    </comment>
    <comment ref="J58" authorId="0">
      <text>
        <r>
          <rPr>
            <sz val="11"/>
            <color indexed="8"/>
            <rFont val="Helvetica Neue"/>
          </rPr>
          <t>Codex:
Fonte anagrafica: https://www.fantacalcio.it/serie-a/squadre/inter/mkhitaryan/2529/2026-27/italia</t>
        </r>
      </text>
    </comment>
    <comment ref="J59" authorId="0">
      <text>
        <r>
          <rPr>
            <sz val="11"/>
            <color indexed="8"/>
            <rFont val="Helvetica Neue"/>
          </rPr>
          <t>Codex:
Fonte anagrafica: https://www.fantacalcio.it/serie-a/squadre/inter/sucic-p/7070/2026-27/italia</t>
        </r>
      </text>
    </comment>
    <comment ref="J60" authorId="0">
      <text>
        <r>
          <rPr>
            <sz val="11"/>
            <color indexed="8"/>
            <rFont val="Helvetica Neue"/>
          </rPr>
          <t>Codex:
Fonte anagrafica: https://www.fantacalcio.it/serie-a/squadre/parma/keita-m/6898/2026-27/italia</t>
        </r>
      </text>
    </comment>
    <comment ref="J61" authorId="0">
      <text>
        <r>
          <rPr>
            <sz val="11"/>
            <color indexed="8"/>
            <rFont val="Helvetica Neue"/>
          </rPr>
          <t>Codex:
Fonte anagrafica: https://www.fantacalcio.it/serie-a/squadre/atalanta/pasalic/2077/2026-27/italia</t>
        </r>
      </text>
    </comment>
    <comment ref="J62" authorId="0">
      <text>
        <r>
          <rPr>
            <sz val="11"/>
            <color indexed="8"/>
            <rFont val="Helvetica Neue"/>
          </rPr>
          <t>Codex:
Fonte anagrafica: https://www.fantacalcio.it/serie-a/squadre/sassuolo/konè-i/6717/2026-27/italia</t>
        </r>
      </text>
    </comment>
    <comment ref="J63" authorId="0">
      <text>
        <r>
          <rPr>
            <sz val="11"/>
            <color indexed="8"/>
            <rFont val="Helvetica Neue"/>
          </rPr>
          <t>Codex:
Fonte anagrafica: https://www.fantacalcio.it/serie-a/squadre/genoa/frendrup/5791/2026-27/italia</t>
        </r>
      </text>
    </comment>
    <comment ref="J64" authorId="0">
      <text>
        <r>
          <rPr>
            <sz val="11"/>
            <color indexed="8"/>
            <rFont val="Helvetica Neue"/>
          </rPr>
          <t>Codex:
Fonte anagrafica: https://www.fantacalcio.it/serie-a/squadre/genoa/baldanzi/5823/2026-27/italia</t>
        </r>
      </text>
    </comment>
    <comment ref="J65" authorId="0">
      <text>
        <r>
          <rPr>
            <sz val="11"/>
            <color indexed="8"/>
            <rFont val="Helvetica Neue"/>
          </rPr>
          <t>Codex:
Fonte anagrafica: https://www.fantacalcio.it/serie-a/squadre/milan/loftus-cheek/4199/2026-27/italia</t>
        </r>
      </text>
    </comment>
    <comment ref="J66" authorId="0">
      <text>
        <r>
          <rPr>
            <sz val="11"/>
            <color indexed="8"/>
            <rFont val="Helvetica Neue"/>
          </rPr>
          <t>Codex:
Fonte anagrafica: https://www.fantacalcio.it/serie-a/squadre/sassuolo/volpato/5735/2026-27/italia</t>
        </r>
      </text>
    </comment>
    <comment ref="J67" authorId="0">
      <text>
        <r>
          <rPr>
            <sz val="11"/>
            <color indexed="8"/>
            <rFont val="Helvetica Neue"/>
          </rPr>
          <t>Codex:
Fonte anagrafica: https://www.fantacalcio.it/serie-a/squadre/bologna/ferguson/5858/2026-27/italia</t>
        </r>
      </text>
    </comment>
    <comment ref="J68" authorId="0">
      <text>
        <r>
          <rPr>
            <sz val="11"/>
            <color indexed="8"/>
            <rFont val="Helvetica Neue"/>
          </rPr>
          <t>Codex:
Fonte anagrafica: https://www.fantacalcio.it/serie-a/squadre/cagliari/maldini/4896/2026-27/italia</t>
        </r>
      </text>
    </comment>
    <comment ref="J69" authorId="0">
      <text>
        <r>
          <rPr>
            <sz val="11"/>
            <color indexed="8"/>
            <rFont val="Helvetica Neue"/>
          </rPr>
          <t>Codex:
Fonte anagrafica: https://www.fantacalcio.it/serie-a/squadre/cagliari/adopo/4870/2026-27/italia</t>
        </r>
      </text>
    </comment>
    <comment ref="J70" authorId="0">
      <text>
        <r>
          <rPr>
            <sz val="11"/>
            <color indexed="8"/>
            <rFont val="Helvetica Neue"/>
          </rPr>
          <t>Codex:
Fonte anagrafica: https://www.fantacalcio.it/serie-a/squadre/lecce/coulibaly-l/5504/2026-27/italia</t>
        </r>
      </text>
    </comment>
    <comment ref="J71" authorId="0">
      <text>
        <r>
          <rPr>
            <sz val="11"/>
            <color indexed="8"/>
            <rFont val="Helvetica Neue"/>
          </rPr>
          <t>Codex:
Fonte anagrafica: https://www.fantacalcio.it/serie-a/squadre/juventus/koopmeiners/5685/2026-27/italia</t>
        </r>
      </text>
    </comment>
    <comment ref="J72" authorId="0">
      <text>
        <r>
          <rPr>
            <sz val="11"/>
            <color indexed="8"/>
            <rFont val="Helvetica Neue"/>
          </rPr>
          <t>Codex:
Fonte anagrafica: https://www.fantacalcio.it/serie-a/squadre/atalanta/zalewski/5422/2026-27/italia</t>
        </r>
      </text>
    </comment>
    <comment ref="J73" authorId="0">
      <text>
        <r>
          <rPr>
            <sz val="11"/>
            <color indexed="8"/>
            <rFont val="Helvetica Neue"/>
          </rPr>
          <t>Codex:
Fonte anagrafica: https://www.fantacalcio.it/serie-a/squadre/napoli/vergara/7223/2026-27/italia</t>
        </r>
      </text>
    </comment>
    <comment ref="J74" authorId="0">
      <text>
        <r>
          <rPr>
            <sz val="11"/>
            <color indexed="8"/>
            <rFont val="Helvetica Neue"/>
          </rPr>
          <t>Codex:
Fonte anagrafica: https://www.fantacalcio.it/serie-a/squadre/venezia/busio/5507/2026-27/italia</t>
        </r>
      </text>
    </comment>
    <comment ref="J75" authorId="0">
      <text>
        <r>
          <rPr>
            <sz val="11"/>
            <color indexed="8"/>
            <rFont val="Helvetica Neue"/>
          </rPr>
          <t>Codex:
Fonte anagrafica: https://www.fantacalcio.it/serie-a/squadre/bologna/odgaard/2765/2026-27/italia</t>
        </r>
      </text>
    </comment>
    <comment ref="J76" authorId="0">
      <text>
        <r>
          <rPr>
            <sz val="11"/>
            <color indexed="8"/>
            <rFont val="Helvetica Neue"/>
          </rPr>
          <t>Codex:
Fonte anagrafica: https://www.fantacalcio.it/serie-a/squadre/genoa/messias/4970/2026-27/italia</t>
        </r>
      </text>
    </comment>
    <comment ref="J77" authorId="0">
      <text>
        <r>
          <rPr>
            <sz val="11"/>
            <color indexed="8"/>
            <rFont val="Helvetica Neue"/>
          </rPr>
          <t>Codex:
Fonte anagrafica: https://www.fantacalcio.it/serie-a/squadre/juventus/thuram-k/5562/2026-27/italia</t>
        </r>
      </text>
    </comment>
    <comment ref="J78" authorId="0">
      <text>
        <r>
          <rPr>
            <sz val="11"/>
            <color indexed="8"/>
            <rFont val="Helvetica Neue"/>
          </rPr>
          <t>Codex:
Fonte anagrafica: https://www.fantacalcio.it/serie-a/squadre/inter/luis-henrique/5301/2026-27/italia</t>
        </r>
      </text>
    </comment>
    <comment ref="J79" authorId="0">
      <text>
        <r>
          <rPr>
            <sz val="11"/>
            <color indexed="8"/>
            <rFont val="Helvetica Neue"/>
          </rPr>
          <t>Codex:
Fonte anagrafica: https://www.fantacalcio.it/serie-a/squadre/bologna/pobega/5298/2026-27/italia</t>
        </r>
      </text>
    </comment>
    <comment ref="J80" authorId="0">
      <text>
        <r>
          <rPr>
            <sz val="11"/>
            <color indexed="8"/>
            <rFont val="Helvetica Neue"/>
          </rPr>
          <t>Codex:
Fonte anagrafica: https://www.fantacalcio.it/serie-a/squadre/venezia/basic/5674/2026-27/italia</t>
        </r>
      </text>
    </comment>
    <comment ref="J81" authorId="0">
      <text>
        <r>
          <rPr>
            <sz val="11"/>
            <color indexed="8"/>
            <rFont val="Helvetica Neue"/>
          </rPr>
          <t>Codex:
Fonte anagrafica: https://www.fantacalcio.it/serie-a/squadre/roma/de-roon/22/2026-27/italia</t>
        </r>
      </text>
    </comment>
    <comment ref="J82" authorId="0">
      <text>
        <r>
          <rPr>
            <sz val="11"/>
            <color indexed="8"/>
            <rFont val="Helvetica Neue"/>
          </rPr>
          <t>Codex:
Fonte anagrafica: https://www.fantacalcio.it/serie-a/squadre/cagliari/fazzini/6010/2026-27/italia</t>
        </r>
      </text>
    </comment>
    <comment ref="J83" authorId="0">
      <text>
        <r>
          <rPr>
            <sz val="11"/>
            <color indexed="8"/>
            <rFont val="Helvetica Neue"/>
          </rPr>
          <t>Codex:
Fonte anagrafica: https://www.fantacalcio.it/serie-a/squadre/atalanta/elmas/4479/2026-27/italia</t>
        </r>
      </text>
    </comment>
    <comment ref="J84" authorId="0">
      <text>
        <r>
          <rPr>
            <sz val="11"/>
            <color indexed="8"/>
            <rFont val="Helvetica Neue"/>
          </rPr>
          <t>Codex:
Fonte anagrafica: https://www.fantacalcio.it/serie-a/squadre/parma/fabbian/6206/2026-27/italia</t>
        </r>
      </text>
    </comment>
    <comment ref="J85" authorId="0">
      <text>
        <r>
          <rPr>
            <sz val="11"/>
            <color indexed="8"/>
            <rFont val="Helvetica Neue"/>
          </rPr>
          <t>Codex:
Fonte anagrafica: https://www.fantacalcio.it/serie-a/squadre/torino/gineitis/6170/2026-27/italia</t>
        </r>
      </text>
    </comment>
    <comment ref="J86" authorId="0">
      <text>
        <r>
          <rPr>
            <sz val="11"/>
            <color indexed="8"/>
            <rFont val="Helvetica Neue"/>
          </rPr>
          <t>Codex:
Fonte anagrafica: https://www.fantacalcio.it/serie-a/squadre/torino/casadei/5888/2026-27/italia</t>
        </r>
      </text>
    </comment>
    <comment ref="J87" authorId="0">
      <text>
        <r>
          <rPr>
            <sz val="11"/>
            <color indexed="8"/>
            <rFont val="Helvetica Neue"/>
          </rPr>
          <t>Codex:
Fonte anagrafica: https://www.fantacalcio.it/serie-a/squadre/udinese/piotrowski/7198/2026-27/italia</t>
        </r>
      </text>
    </comment>
    <comment ref="J88" authorId="0">
      <text>
        <r>
          <rPr>
            <sz val="11"/>
            <color indexed="8"/>
            <rFont val="Helvetica Neue"/>
          </rPr>
          <t>Codex:
Fonte anagrafica: https://www.fantacalcio.it/serie-a/squadre/venezia/perez-k/6994/2026-27/italia</t>
        </r>
      </text>
    </comment>
    <comment ref="J89" authorId="0">
      <text>
        <r>
          <rPr>
            <sz val="11"/>
            <color indexed="8"/>
            <rFont val="Helvetica Neue"/>
          </rPr>
          <t>Codex:
Fonte anagrafica: https://www.fantacalcio.it/serie-a/squadre/como/ricci-s/5453/2026-27/italia</t>
        </r>
      </text>
    </comment>
    <comment ref="J90" authorId="0">
      <text>
        <r>
          <rPr>
            <sz val="11"/>
            <color indexed="8"/>
            <rFont val="Helvetica Neue"/>
          </rPr>
          <t>Codex:
Fonte anagrafica: https://www.fantacalcio.it/serie-a/squadre/lecce/berisha-m/6015/2026-27/italia</t>
        </r>
      </text>
    </comment>
    <comment ref="J91" authorId="0">
      <text>
        <r>
          <rPr>
            <sz val="11"/>
            <color indexed="8"/>
            <rFont val="Helvetica Neue"/>
          </rPr>
          <t>Codex:
Fonte anagrafica: https://www.fantacalcio.it/serie-a/squadre/juventus/sarr-p/5680/2026-27/italia</t>
        </r>
      </text>
    </comment>
    <comment ref="J92" authorId="0">
      <text>
        <r>
          <rPr>
            <sz val="11"/>
            <color indexed="8"/>
            <rFont val="Helvetica Neue"/>
          </rPr>
          <t>Codex:
Fonte anagrafica: https://www.fantacalcio.it/serie-a/squadre/fiorentina/oulai/7464/2026-27/italia</t>
        </r>
      </text>
    </comment>
    <comment ref="J93" authorId="0">
      <text>
        <r>
          <rPr>
            <sz val="11"/>
            <color indexed="8"/>
            <rFont val="Helvetica Neue"/>
          </rPr>
          <t>Codex:
Fonte anagrafica: https://www.fantacalcio.it/serie-a/squadre/genoa/ellertsson/6020/2026-27/italia</t>
        </r>
      </text>
    </comment>
    <comment ref="J94" authorId="0">
      <text>
        <r>
          <rPr>
            <sz val="11"/>
            <color indexed="8"/>
            <rFont val="Helvetica Neue"/>
          </rPr>
          <t>Codex:
Fonte anagrafica: https://www.fantacalcio.it/serie-a/squadre/milan/hutchinson/7618/2026-27/italia</t>
        </r>
      </text>
    </comment>
    <comment ref="J95" authorId="0">
      <text>
        <r>
          <rPr>
            <sz val="11"/>
            <color indexed="8"/>
            <rFont val="Helvetica Neue"/>
          </rPr>
          <t>Codex:
Fonte anagrafica: https://www.fantacalcio.it/serie-a/squadre/juventus/douglas-luiz/4911/2026-27/italia</t>
        </r>
      </text>
    </comment>
    <comment ref="J96" authorId="0">
      <text>
        <r>
          <rPr>
            <sz val="11"/>
            <color indexed="8"/>
            <rFont val="Helvetica Neue"/>
          </rPr>
          <t>Codex:
Fonte anagrafica: https://www.fantacalcio.it/serie-a/squadre/inter/diouf/6274/2026-27/italia</t>
        </r>
      </text>
    </comment>
    <comment ref="J97" authorId="0">
      <text>
        <r>
          <rPr>
            <sz val="11"/>
            <color indexed="8"/>
            <rFont val="Helvetica Neue"/>
          </rPr>
          <t>Codex:
Fonte anagrafica: https://www.fantacalcio.it/serie-a/squadre/frosinone/schmid/7551/2026-27/italia</t>
        </r>
      </text>
    </comment>
    <comment ref="J98" authorId="0">
      <text>
        <r>
          <rPr>
            <sz val="11"/>
            <color indexed="8"/>
            <rFont val="Helvetica Neue"/>
          </rPr>
          <t>Codex:
Fonte anagrafica: https://www.fantacalcio.it/serie-a/squadre/monza/colpani/5878/2026-27/italia</t>
        </r>
      </text>
    </comment>
    <comment ref="J99" authorId="0">
      <text>
        <r>
          <rPr>
            <sz val="11"/>
            <color indexed="8"/>
            <rFont val="Helvetica Neue"/>
          </rPr>
          <t>Codex:
Fonte anagrafica: https://www.fantacalcio.it/serie-a/squadre/monza/folorunsho/6252/2026-27/italia</t>
        </r>
      </text>
    </comment>
    <comment ref="J100" authorId="0">
      <text>
        <r>
          <rPr>
            <sz val="11"/>
            <color indexed="8"/>
            <rFont val="Helvetica Neue"/>
          </rPr>
          <t>Codex:
Fonte anagrafica: https://www.fantacalcio.it/serie-a/squadre/cagliari/fadera/6815/2026-27/italia</t>
        </r>
      </text>
    </comment>
    <comment ref="J101" authorId="0">
      <text>
        <r>
          <rPr>
            <sz val="11"/>
            <color indexed="8"/>
            <rFont val="Helvetica Neue"/>
          </rPr>
          <t>Codex:
Fonte anagrafica: https://www.fantacalcio.it/serie-a/squadre/lecce/monteiro-j/7619/2026-27/italia</t>
        </r>
      </text>
    </comment>
    <comment ref="J102" authorId="0">
      <text>
        <r>
          <rPr>
            <sz val="11"/>
            <color indexed="8"/>
            <rFont val="Helvetica Neue"/>
          </rPr>
          <t>Codex:
Fonte anagrafica: https://www.fantacalcio.it/serie-a/squadre/como/milla/7412/2026-27/italia</t>
        </r>
      </text>
    </comment>
    <comment ref="J103" authorId="0">
      <text>
        <r>
          <rPr>
            <sz val="11"/>
            <color indexed="8"/>
            <rFont val="Helvetica Neue"/>
          </rPr>
          <t>Codex:
Fonte anagrafica: https://www.fantacalcio.it/serie-a/squadre/fiorentina/brescianini/4947/2026-27/italia</t>
        </r>
      </text>
    </comment>
    <comment ref="J104" authorId="0">
      <text>
        <r>
          <rPr>
            <sz val="11"/>
            <color indexed="8"/>
            <rFont val="Helvetica Neue"/>
          </rPr>
          <t>Codex:
Fonte anagrafica: https://www.fantacalcio.it/serie-a/squadre/bologna/mbangula/6833/2026-27/italia</t>
        </r>
      </text>
    </comment>
    <comment ref="J105" authorId="0">
      <text>
        <r>
          <rPr>
            <sz val="11"/>
            <color indexed="8"/>
            <rFont val="Helvetica Neue"/>
          </rPr>
          <t>Codex:
Fonte anagrafica: https://www.fantacalcio.it/serie-a/squadre/milan/jashari/7203/2026-27/italia</t>
        </r>
      </text>
    </comment>
    <comment ref="J106" authorId="0">
      <text>
        <r>
          <rPr>
            <sz val="11"/>
            <color indexed="8"/>
            <rFont val="Helvetica Neue"/>
          </rPr>
          <t>Codex:
Fonte anagrafica: https://www.fantacalcio.it/serie-a/squadre/fiorentina/ndour/6294/2026-27/italia</t>
        </r>
      </text>
    </comment>
    <comment ref="J107" authorId="0">
      <text>
        <r>
          <rPr>
            <sz val="11"/>
            <color indexed="8"/>
            <rFont val="Helvetica Neue"/>
          </rPr>
          <t>Codex:
Fonte anagrafica: https://www.fantacalcio.it/serie-a/squadre/torino/braganca/7624/2026-27/italia</t>
        </r>
      </text>
    </comment>
    <comment ref="J108" authorId="0">
      <text>
        <r>
          <rPr>
            <sz val="11"/>
            <color indexed="8"/>
            <rFont val="Helvetica Neue"/>
          </rPr>
          <t>Codex:
Fonte anagrafica: https://www.fantacalcio.it/serie-a/squadre/udinese/miller-l/7208/2026-27/italia</t>
        </r>
      </text>
    </comment>
    <comment ref="J109" authorId="0">
      <text>
        <r>
          <rPr>
            <sz val="11"/>
            <color indexed="8"/>
            <rFont val="Helvetica Neue"/>
          </rPr>
          <t>Codex:
Fonte anagrafica: https://www.fantacalcio.it/serie-a/squadre/lecce/gandelman/7318/2026-27/italia</t>
        </r>
      </text>
    </comment>
    <comment ref="J110" authorId="0">
      <text>
        <r>
          <rPr>
            <sz val="11"/>
            <color indexed="8"/>
            <rFont val="Helvetica Neue"/>
          </rPr>
          <t>Codex:
Fonte anagrafica: https://www.fantacalcio.it/serie-a/squadre/lazio/cataldi/333/2026-27/italia</t>
        </r>
      </text>
    </comment>
    <comment ref="J111" authorId="0">
      <text>
        <r>
          <rPr>
            <sz val="11"/>
            <color indexed="8"/>
            <rFont val="Helvetica Neue"/>
          </rPr>
          <t>Codex:
Fonte anagrafica: https://www.fantacalcio.it/serie-a/squadre/lazio/rovella/4459/2026-27/italia</t>
        </r>
      </text>
    </comment>
    <comment ref="J112" authorId="0">
      <text>
        <r>
          <rPr>
            <sz val="11"/>
            <color indexed="8"/>
            <rFont val="Helvetica Neue"/>
          </rPr>
          <t>Codex:
Fonte anagrafica: https://www.fantacalcio.it/serie-a/squadre/cagliari/winks/4260/2026-27/italia</t>
        </r>
      </text>
    </comment>
    <comment ref="J113" authorId="0">
      <text>
        <r>
          <rPr>
            <sz val="11"/>
            <color indexed="8"/>
            <rFont val="Helvetica Neue"/>
          </rPr>
          <t>Codex:
Fonte anagrafica: https://www.fantacalcio.it/serie-a/squadre/venezia/hainaut/6821/2026-27/italia</t>
        </r>
      </text>
    </comment>
    <comment ref="J114" authorId="0">
      <text>
        <r>
          <rPr>
            <sz val="11"/>
            <color indexed="8"/>
            <rFont val="Helvetica Neue"/>
          </rPr>
          <t>Codex:
Fonte anagrafica: https://www.fantacalcio.it/serie-a/squadre/frosinone/zerbin/5998/2026-27/italia</t>
        </r>
      </text>
    </comment>
    <comment ref="J115" authorId="0">
      <text>
        <r>
          <rPr>
            <sz val="11"/>
            <color indexed="8"/>
            <rFont val="Helvetica Neue"/>
          </rPr>
          <t>Codex:
Fonte anagrafica: https://www.fantacalcio.it/serie-a/squadre/como/liberali/6678/2026-27/italia</t>
        </r>
      </text>
    </comment>
    <comment ref="J116" authorId="0">
      <text>
        <r>
          <rPr>
            <sz val="11"/>
            <color indexed="8"/>
            <rFont val="Helvetica Neue"/>
          </rPr>
          <t>Codex:
Fonte anagrafica: https://www.fantacalcio.it/serie-a/squadre/bologna/moro-n/6054/2026-27/italia</t>
        </r>
      </text>
    </comment>
    <comment ref="J117" authorId="0">
      <text>
        <r>
          <rPr>
            <sz val="11"/>
            <color indexed="8"/>
            <rFont val="Helvetica Neue"/>
          </rPr>
          <t>Codex:
Fonte anagrafica: https://www.fantacalcio.it/serie-a/squadre/cagliari/romano/7311/2026-27/italia</t>
        </r>
      </text>
    </comment>
    <comment ref="J118" authorId="0">
      <text>
        <r>
          <rPr>
            <sz val="11"/>
            <color indexed="8"/>
            <rFont val="Helvetica Neue"/>
          </rPr>
          <t>Codex:
Fonte anagrafica: https://www.fantacalcio.it/serie-a/squadre/udinese/unai-gomez/6783/2026-27/italia</t>
        </r>
      </text>
    </comment>
    <comment ref="J119" authorId="0">
      <text>
        <r>
          <rPr>
            <sz val="11"/>
            <color indexed="8"/>
            <rFont val="Helvetica Neue"/>
          </rPr>
          <t>Codex:
Fonte anagrafica: https://www.fantacalcio.it/serie-a/squadre/sassuolo/adzic/6677/2026-27/italia</t>
        </r>
      </text>
    </comment>
    <comment ref="J120" authorId="0">
      <text>
        <r>
          <rPr>
            <sz val="11"/>
            <color indexed="8"/>
            <rFont val="Helvetica Neue"/>
          </rPr>
          <t>Codex:
Fonte anagrafica: https://www.fantacalcio.it/serie-a/squadre/lecce/ilic/5007/2026-27/italia</t>
        </r>
      </text>
    </comment>
    <comment ref="J121" authorId="0">
      <text>
        <r>
          <rPr>
            <sz val="11"/>
            <color indexed="8"/>
            <rFont val="Helvetica Neue"/>
          </rPr>
          <t>Codex:
Fonte anagrafica: https://www.fantacalcio.it/serie-a/squadre/frosinone/masini/6917/2026-27/italia</t>
        </r>
      </text>
    </comment>
    <comment ref="J122" authorId="0">
      <text>
        <r>
          <rPr>
            <sz val="11"/>
            <color indexed="8"/>
            <rFont val="Helvetica Neue"/>
          </rPr>
          <t>Codex:
Fonte anagrafica: https://www.fantacalcio.it/serie-a/squadre/genoa/sow/5946/2026-27/italia</t>
        </r>
      </text>
    </comment>
    <comment ref="J123" authorId="0">
      <text>
        <r>
          <rPr>
            <sz val="11"/>
            <color indexed="8"/>
            <rFont val="Helvetica Neue"/>
          </rPr>
          <t>Codex:
Fonte anagrafica: https://www.fantacalcio.it/serie-a/squadre/juventus/zhegrova/5761/2026-27/italia</t>
        </r>
      </text>
    </comment>
    <comment ref="J124" authorId="0">
      <text>
        <r>
          <rPr>
            <sz val="11"/>
            <color indexed="8"/>
            <rFont val="Helvetica Neue"/>
          </rPr>
          <t>Codex:
Fonte anagrafica: https://www.fantacalcio.it/serie-a/squadre/frosinone/grillitsch/7550/2026-27/italia</t>
        </r>
      </text>
    </comment>
    <comment ref="J125" authorId="0">
      <text>
        <r>
          <rPr>
            <sz val="11"/>
            <color indexed="8"/>
            <rFont val="Helvetica Neue"/>
          </rPr>
          <t>Codex:
Fonte anagrafica: https://www.fantacalcio.it/serie-a/squadre/inter/stankovic-a/6503/2026-27/italia</t>
        </r>
      </text>
    </comment>
    <comment ref="J126" authorId="0">
      <text>
        <r>
          <rPr>
            <sz val="11"/>
            <color indexed="8"/>
            <rFont val="Helvetica Neue"/>
          </rPr>
          <t>Codex:
Fonte anagrafica: https://www.fantacalcio.it/serie-a/squadre/torino/ilkhan/6005/2026-27/italia</t>
        </r>
      </text>
    </comment>
    <comment ref="J127" authorId="0">
      <text>
        <r>
          <rPr>
            <sz val="11"/>
            <color indexed="8"/>
            <rFont val="Helvetica Neue"/>
          </rPr>
          <t>Codex:
Fonte anagrafica: https://www.fantacalcio.it/serie-a/squadre/venezia/sohm/5319/2026-27/italia</t>
        </r>
      </text>
    </comment>
    <comment ref="J128" authorId="0">
      <text>
        <r>
          <rPr>
            <sz val="11"/>
            <color indexed="8"/>
            <rFont val="Helvetica Neue"/>
          </rPr>
          <t>Codex:
Fonte anagrafica: https://www.fantacalcio.it/serie-a/squadre/torino/fitz-jim/7535/2026-27/italia</t>
        </r>
      </text>
    </comment>
    <comment ref="J129" authorId="0">
      <text>
        <r>
          <rPr>
            <sz val="11"/>
            <color indexed="8"/>
            <rFont val="Helvetica Neue"/>
          </rPr>
          <t>Codex:
Fonte anagrafica: https://www.fantacalcio.it/serie-a/squadre/monza/pessina/2741/2026-27/italia</t>
        </r>
      </text>
    </comment>
    <comment ref="J130" authorId="0">
      <text>
        <r>
          <rPr>
            <sz val="11"/>
            <color indexed="8"/>
            <rFont val="Helvetica Neue"/>
          </rPr>
          <t>Codex:
Fonte anagrafica: https://www.fantacalcio.it/serie-a/squadre/parma/ordonez-c/7138/2026-27/italia</t>
        </r>
      </text>
    </comment>
    <comment ref="J131" authorId="0">
      <text>
        <r>
          <rPr>
            <sz val="11"/>
            <color indexed="8"/>
            <rFont val="Helvetica Neue"/>
          </rPr>
          <t>Codex:
Fonte anagrafica: https://www.fantacalcio.it/serie-a/squadre/torino/oristanio/6218/2026-27/italia</t>
        </r>
      </text>
    </comment>
    <comment ref="J132" authorId="0">
      <text>
        <r>
          <rPr>
            <sz val="11"/>
            <color indexed="8"/>
            <rFont val="Helvetica Neue"/>
          </rPr>
          <t>Codex:
Fonte anagrafica: https://www.fantacalcio.it/serie-a/squadre/milan/musah/5295/2026-27/italia</t>
        </r>
      </text>
    </comment>
    <comment ref="J133" authorId="0">
      <text>
        <r>
          <rPr>
            <sz val="11"/>
            <color indexed="8"/>
            <rFont val="Helvetica Neue"/>
          </rPr>
          <t>Codex:
Fonte anagrafica: https://www.fantacalcio.it/serie-a/squadre/sassuolo/bakola/7036/2026-27/italia</t>
        </r>
      </text>
    </comment>
    <comment ref="J134" authorId="0">
      <text>
        <r>
          <rPr>
            <sz val="11"/>
            <color indexed="8"/>
            <rFont val="Helvetica Neue"/>
          </rPr>
          <t>Codex:
Fonte anagrafica: https://www.fantacalcio.it/serie-a/squadre/sassuolo/lipani/6246/2026-27/italia</t>
        </r>
      </text>
    </comment>
    <comment ref="J135" authorId="0">
      <text>
        <r>
          <rPr>
            <sz val="11"/>
            <color indexed="8"/>
            <rFont val="Helvetica Neue"/>
          </rPr>
          <t>Codex:
Fonte anagrafica: https://www.fantacalcio.it/serie-a/squadre/lazio/dele-bashiru/6629/2026-27/italia</t>
        </r>
      </text>
    </comment>
    <comment ref="J136" authorId="0">
      <text>
        <r>
          <rPr>
            <sz val="11"/>
            <color indexed="8"/>
            <rFont val="Helvetica Neue"/>
          </rPr>
          <t>Codex:
Fonte anagrafica: https://www.fantacalcio.it/serie-a/squadre/lazio/belahyane/6191/2026-27/italia</t>
        </r>
      </text>
    </comment>
    <comment ref="J137" authorId="0">
      <text>
        <r>
          <rPr>
            <sz val="11"/>
            <color indexed="8"/>
            <rFont val="Helvetica Neue"/>
          </rPr>
          <t>Codex:
Fonte anagrafica: https://www.fantacalcio.it/serie-a/squadre/monza/akinsanmiro/6593/2026-27/italia</t>
        </r>
      </text>
    </comment>
    <comment ref="J138" authorId="0">
      <text>
        <r>
          <rPr>
            <sz val="11"/>
            <color indexed="8"/>
            <rFont val="Helvetica Neue"/>
          </rPr>
          <t>Codex:
Fonte anagrafica: https://www.fantacalcio.it/serie-a/squadre/frosinone/cichella/7473/2026-27/italia</t>
        </r>
      </text>
    </comment>
    <comment ref="J139" authorId="0">
      <text>
        <r>
          <rPr>
            <sz val="11"/>
            <color indexed="8"/>
            <rFont val="Helvetica Neue"/>
          </rPr>
          <t>Codex:
Fonte anagrafica: https://www.fantacalcio.it/serie-a/squadre/cagliari/deiola/1871/2026-27/italia</t>
        </r>
      </text>
    </comment>
    <comment ref="J140" authorId="0">
      <text>
        <r>
          <rPr>
            <sz val="11"/>
            <color indexed="8"/>
            <rFont val="Helvetica Neue"/>
          </rPr>
          <t>Codex:
Fonte anagrafica: https://www.fantacalcio.it/serie-a/squadre/lecce/ngom/7322/2026-27/italia</t>
        </r>
      </text>
    </comment>
    <comment ref="J141" authorId="0">
      <text>
        <r>
          <rPr>
            <sz val="11"/>
            <color indexed="8"/>
            <rFont val="Helvetica Neue"/>
          </rPr>
          <t>Codex:
Fonte anagrafica: https://www.fantacalcio.it/serie-a/squadre/parma/nicolussi-caviglia/4349/2026-27/italia</t>
        </r>
      </text>
    </comment>
    <comment ref="J142" authorId="0">
      <text>
        <r>
          <rPr>
            <sz val="11"/>
            <color indexed="8"/>
            <rFont val="Helvetica Neue"/>
          </rPr>
          <t>Codex:
Fonte anagrafica: https://www.fantacalcio.it/serie-a/squadre/monza/tourè-i/7146/2026-27/italia</t>
        </r>
      </text>
    </comment>
    <comment ref="J143" authorId="0">
      <text>
        <r>
          <rPr>
            <sz val="11"/>
            <color indexed="8"/>
            <rFont val="Helvetica Neue"/>
          </rPr>
          <t>Codex:
Fonte anagrafica: https://www.fantacalcio.it/serie-a/squadre/genoa/meichtry/7409/2026-27/italia</t>
        </r>
      </text>
    </comment>
    <comment ref="J144" authorId="0">
      <text>
        <r>
          <rPr>
            <sz val="11"/>
            <color indexed="8"/>
            <rFont val="Helvetica Neue"/>
          </rPr>
          <t>Codex:
Fonte anagrafica: https://www.fantacalcio.it/serie-a/squadre/genoa/traorè-hj/2857/2026-27/italia</t>
        </r>
      </text>
    </comment>
    <comment ref="J145" authorId="0">
      <text>
        <r>
          <rPr>
            <sz val="11"/>
            <color indexed="8"/>
            <rFont val="Helvetica Neue"/>
          </rPr>
          <t>Codex:
Fonte anagrafica: https://www.fantacalcio.it/serie-a/squadre/udinese/zarraga/6212/2026-27/italia</t>
        </r>
      </text>
    </comment>
    <comment ref="J146" authorId="0">
      <text>
        <r>
          <rPr>
            <sz val="11"/>
            <color indexed="8"/>
            <rFont val="Helvetica Neue"/>
          </rPr>
          <t>Codex:
Fonte anagrafica: https://www.fantacalcio.it/serie-a/squadre/lecce/sottil/2839/2025-26/italia</t>
        </r>
      </text>
    </comment>
    <comment ref="J147" authorId="0">
      <text>
        <r>
          <rPr>
            <sz val="11"/>
            <color indexed="8"/>
            <rFont val="Helvetica Neue"/>
          </rPr>
          <t>Codex:
Fonte anagrafica: https://www.fantacalcio.it/serie-a/squadre/cagliari/ciervo/5462/2026-27/italia</t>
        </r>
      </text>
    </comment>
    <comment ref="J148" authorId="0">
      <text>
        <r>
          <rPr>
            <sz val="11"/>
            <color indexed="8"/>
            <rFont val="Helvetica Neue"/>
          </rPr>
          <t>Codex:
Fonte anagrafica: https://www.fantacalcio.it/serie-a/squadre/venezia/fernandez-t/7232/2026-27/italia</t>
        </r>
      </text>
    </comment>
    <comment ref="J149" authorId="0">
      <text>
        <r>
          <rPr>
            <sz val="11"/>
            <color indexed="8"/>
            <rFont val="Helvetica Neue"/>
          </rPr>
          <t>Codex:
Fonte anagrafica: https://www.fantacalcio.it/serie-a/squadre/sassuolo/sulemana-i/6024/2026-27/italia</t>
        </r>
      </text>
    </comment>
    <comment ref="J150" authorId="0">
      <text>
        <r>
          <rPr>
            <sz val="11"/>
            <color indexed="8"/>
            <rFont val="Helvetica Neue"/>
          </rPr>
          <t>Codex:
Fonte anagrafica: https://www.fantacalcio.it/serie-a/squadre/genoa/venturino/6980/2026-27/italia</t>
        </r>
      </text>
    </comment>
    <comment ref="J151" authorId="0">
      <text>
        <r>
          <rPr>
            <sz val="11"/>
            <color indexed="8"/>
            <rFont val="Helvetica Neue"/>
          </rPr>
          <t>Codex:
Fonte anagrafica: https://www.fantacalcio.it/serie-a/squadre/lecce/maleh/5457/2026-27/italia</t>
        </r>
      </text>
    </comment>
    <comment ref="J152" authorId="0">
      <text>
        <r>
          <rPr>
            <sz val="11"/>
            <color indexed="8"/>
            <rFont val="Helvetica Neue"/>
          </rPr>
          <t>Codex:
Fonte anagrafica: https://www.fantacalcio.it/serie-a/squadre/genoa/el-shaarawy/795/2026-27/italia</t>
        </r>
      </text>
    </comment>
    <comment ref="J153" authorId="0">
      <text>
        <r>
          <rPr>
            <sz val="11"/>
            <color indexed="8"/>
            <rFont val="Helvetica Neue"/>
          </rPr>
          <t>Codex:
Fonte anagrafica: https://www.fantacalcio.it/serie-a/squadre/genoa/amorim/7341/2026-27/italia</t>
        </r>
      </text>
    </comment>
    <comment ref="J154" authorId="0">
      <text>
        <r>
          <rPr>
            <sz val="11"/>
            <color indexed="8"/>
            <rFont val="Helvetica Neue"/>
          </rPr>
          <t>Codex:
Fonte anagrafica: https://www.fantacalcio.it/serie-a/squadre/cremonese/bondo/5992/2025-26/italia</t>
        </r>
      </text>
    </comment>
    <comment ref="J155" authorId="0">
      <text>
        <r>
          <rPr>
            <sz val="11"/>
            <color indexed="8"/>
            <rFont val="Helvetica Neue"/>
          </rPr>
          <t>Codex:
Fonte anagrafica: https://www.fantacalcio.it/serie-a/squadre/frosinone/hasa/6903/2026-27/italia</t>
        </r>
      </text>
    </comment>
    <comment ref="J156" authorId="0">
      <text>
        <r>
          <rPr>
            <sz val="11"/>
            <color indexed="8"/>
            <rFont val="Helvetica Neue"/>
          </rPr>
          <t>Codex:
Fonte anagrafica: https://www.fantacalcio.it/serie-a/squadre/bologna/amondarain/7528/2026-27/italia</t>
        </r>
      </text>
    </comment>
    <comment ref="J157" authorId="0">
      <text>
        <r>
          <rPr>
            <sz val="11"/>
            <color indexed="8"/>
            <rFont val="Helvetica Neue"/>
          </rPr>
          <t>Codex:
Fonte anagrafica: https://www.fantacalcio.it/serie-a/squadre/parma/cremaschi/7276/2026-27/italia</t>
        </r>
      </text>
    </comment>
    <comment ref="J158" authorId="0">
      <text>
        <r>
          <rPr>
            <sz val="11"/>
            <color indexed="8"/>
            <rFont val="Helvetica Neue"/>
          </rPr>
          <t>Codex:
Fonte anagrafica: https://www.fantacalcio.it/serie-a/squadre/cagliari/gagliardini/801/2026-27/italia</t>
        </r>
      </text>
    </comment>
    <comment ref="J159" authorId="0">
      <text>
        <r>
          <rPr>
            <sz val="11"/>
            <color indexed="8"/>
            <rFont val="Helvetica Neue"/>
          </rPr>
          <t>Codex:
Fonte anagrafica: https://www.fantacalcio.it/serie-a/squadre/torino/anjorin/6889/2026-27/italia</t>
        </r>
      </text>
    </comment>
    <comment ref="J160" authorId="0">
      <text>
        <r>
          <rPr>
            <sz val="11"/>
            <color indexed="8"/>
            <rFont val="Helvetica Neue"/>
          </rPr>
          <t>Codex:
Fonte anagrafica: https://www.fantacalcio.it/serie-a/squadre/udinese/chakvetadze/7418/2026-27/italia</t>
        </r>
      </text>
    </comment>
    <comment ref="J161" authorId="0">
      <text>
        <r>
          <rPr>
            <sz val="11"/>
            <color indexed="8"/>
            <rFont val="Helvetica Neue"/>
          </rPr>
          <t>Codex:
Fonte anagrafica: https://www.fantacalcio.it/serie-a/squadre/monza/colombo-l/7477/2026-27/italia</t>
        </r>
      </text>
    </comment>
    <comment ref="J162" authorId="0">
      <text>
        <r>
          <rPr>
            <sz val="11"/>
            <color indexed="8"/>
            <rFont val="Helvetica Neue"/>
          </rPr>
          <t>Codex:
Fonte anagrafica: https://serieaspelare.se/</t>
        </r>
      </text>
    </comment>
    <comment ref="J163" authorId="0">
      <text>
        <r>
          <rPr>
            <sz val="11"/>
            <color indexed="8"/>
            <rFont val="Helvetica Neue"/>
          </rPr>
          <t>Codex:
Fonte anagrafica: https://www.fantacalcio.it/serie-a/squadre/venezia/helgason/5872/2026-27/italia</t>
        </r>
      </text>
    </comment>
    <comment ref="J164" authorId="0">
      <text>
        <r>
          <rPr>
            <sz val="11"/>
            <color indexed="8"/>
            <rFont val="Helvetica Neue"/>
          </rPr>
          <t>Codex:
Fonte anagrafica: https://www.fantacalcio.it/serie-a/squadre/napoli/gilmour/5131/2026-27/italia</t>
        </r>
      </text>
    </comment>
    <comment ref="J165" authorId="0">
      <text>
        <r>
          <rPr>
            <sz val="11"/>
            <color indexed="8"/>
            <rFont val="Helvetica Neue"/>
          </rPr>
          <t>Codex:
Fonte anagrafica: https://www.fantacalcio.it/serie-a/squadre/milan/cissè-a/6618/2026-27/italia</t>
        </r>
      </text>
    </comment>
    <comment ref="J166" authorId="0">
      <text>
        <r>
          <rPr>
            <sz val="11"/>
            <color indexed="8"/>
            <rFont val="Helvetica Neue"/>
          </rPr>
          <t>Codex:
Fonte anagrafica: https://www.fantacalcio.it/serie-a/squadre/venezia/duncan/526/2026-27/italia</t>
        </r>
      </text>
    </comment>
    <comment ref="J167" authorId="0">
      <text>
        <r>
          <rPr>
            <sz val="11"/>
            <color indexed="8"/>
            <rFont val="Helvetica Neue"/>
          </rPr>
          <t>Codex:
Fonte anagrafica: https://www.fantacalcio.it/serie-a/squadre/frosinone/gelli-f/6241/2026-27/italia</t>
        </r>
      </text>
    </comment>
    <comment ref="J168" authorId="0">
      <text>
        <r>
          <rPr>
            <sz val="11"/>
            <color indexed="8"/>
            <rFont val="Helvetica Neue"/>
          </rPr>
          <t>Codex:
Fonte anagrafica: https://www.fantacalcio.it/serie-a/squadre/frosinone/kone-b/5725/2026-27/italia</t>
        </r>
      </text>
    </comment>
    <comment ref="J169" authorId="0">
      <text>
        <r>
          <rPr>
            <sz val="11"/>
            <color indexed="8"/>
            <rFont val="Helvetica Neue"/>
          </rPr>
          <t>Codex:
Fonte anagrafica: https://www.fantacalcio.it/serie-a/squadre/lecce/gorter/7248/2026-27/italia</t>
        </r>
      </text>
    </comment>
    <comment ref="J170" authorId="0">
      <text>
        <r>
          <rPr>
            <sz val="11"/>
            <color indexed="8"/>
            <rFont val="Helvetica Neue"/>
          </rPr>
          <t>Codex:
Fonte anagrafica: https://www.fantacalcio.it/serie-a/squadre/udinese/jovanovic/7092/2026-27/italia</t>
        </r>
      </text>
    </comment>
    <comment ref="J171" authorId="0">
      <text>
        <r>
          <rPr>
            <sz val="11"/>
            <color indexed="8"/>
            <rFont val="Helvetica Neue"/>
          </rPr>
          <t>Codex:
Fonte anagrafica: https://www.fantacalcio.it/serie-a/squadre/torino/cacciamani/7060/2026-27/italia</t>
        </r>
      </text>
    </comment>
    <comment ref="J172" authorId="0">
      <text>
        <r>
          <rPr>
            <sz val="11"/>
            <color indexed="8"/>
            <rFont val="Helvetica Neue"/>
          </rPr>
          <t>Codex:
Fonte anagrafica: https://www.fantacalcio.it/serie-a/squadre/monza/ciurria/5880/2026-27/italia</t>
        </r>
      </text>
    </comment>
    <comment ref="J173" authorId="0">
      <text>
        <r>
          <rPr>
            <sz val="11"/>
            <color indexed="8"/>
            <rFont val="Helvetica Neue"/>
          </rPr>
          <t>Codex:
Fonte anagrafica: https://www.fantacalcio.it/serie-a/squadre/lecce/kaba/6410/2026-27/italia</t>
        </r>
      </text>
    </comment>
    <comment ref="J174" authorId="0">
      <text>
        <r>
          <rPr>
            <sz val="11"/>
            <color indexed="8"/>
            <rFont val="Helvetica Neue"/>
          </rPr>
          <t>Codex:
Fonte anagrafica: https://www.fantacalcio.it/serie-a/squadre/monza/foe-ondoa/7574/2026-27/italia</t>
        </r>
      </text>
    </comment>
    <comment ref="J175" authorId="0">
      <text>
        <r>
          <rPr>
            <sz val="11"/>
            <color indexed="8"/>
            <rFont val="Helvetica Neue"/>
          </rPr>
          <t>Codex:
Fonte anagrafica: https://www.fantacalcio.it/serie-a/squadre/venezia/dagasso/7481/2026-27/italia</t>
        </r>
      </text>
    </comment>
    <comment ref="J176" authorId="0">
      <text>
        <r>
          <rPr>
            <sz val="11"/>
            <color indexed="8"/>
            <rFont val="Helvetica Neue"/>
          </rPr>
          <t>Codex:
Fonte anagrafica: https://www.fantacalcio.it/serie-a/squadre/lazio/przyborek/7345/2026-27/italia</t>
        </r>
      </text>
    </comment>
    <comment ref="J177" authorId="0">
      <text>
        <r>
          <rPr>
            <sz val="11"/>
            <color indexed="8"/>
            <rFont val="Helvetica Neue"/>
          </rPr>
          <t>Codex:
Fonte anagrafica: https://www.fantacalcio.it/serie-a/squadre/parma/sierro/7628/2026-27/italia</t>
        </r>
      </text>
    </comment>
    <comment ref="J178" authorId="0">
      <text>
        <r>
          <rPr>
            <sz val="11"/>
            <color indexed="8"/>
            <rFont val="Helvetica Neue"/>
          </rPr>
          <t>Codex:
Fonte anagrafica: https://www.transfermarkt.com/gael-lafont/profil/spieler/955358</t>
        </r>
      </text>
    </comment>
    <comment ref="J179" authorId="0">
      <text>
        <r>
          <rPr>
            <sz val="11"/>
            <color indexed="8"/>
            <rFont val="Helvetica Neue"/>
          </rPr>
          <t>Codex:
Fonte anagrafica: https://www.fantacalcio.it/serie-a/squadre/cagliari/liteta/7165/2026-27/italia</t>
        </r>
      </text>
    </comment>
    <comment ref="J180" authorId="0">
      <text>
        <r>
          <rPr>
            <sz val="11"/>
            <color indexed="8"/>
            <rFont val="Helvetica Neue"/>
          </rPr>
          <t>Codex:
Fonte anagrafica: https://www.fantacalcio.it/serie-a/squadre/lecce/fofana-sa/7319/2026-27/italia</t>
        </r>
      </text>
    </comment>
    <comment ref="J181" authorId="0">
      <text>
        <r>
          <rPr>
            <sz val="11"/>
            <color indexed="8"/>
            <rFont val="Helvetica Neue"/>
          </rPr>
          <t>Codex:
Fonte anagrafica: https://www.fantacalcio.it/serie-a/squadre/sassuolo/cinquegrano/7573/2026-27/italia</t>
        </r>
      </text>
    </comment>
    <comment ref="J182" authorId="0">
      <text>
        <r>
          <rPr>
            <sz val="11"/>
            <color indexed="8"/>
            <rFont val="Helvetica Neue"/>
          </rPr>
          <t>Codex:
Fonte anagrafica: https://serieaspelare.se/</t>
        </r>
      </text>
    </comment>
    <comment ref="J183" authorId="0">
      <text>
        <r>
          <rPr>
            <sz val="11"/>
            <color indexed="8"/>
            <rFont val="Helvetica Neue"/>
          </rPr>
          <t>Codex:
Fonte anagrafica: https://www.fantacalcio.it/serie-a/squadre/bologna/el-azzouzi-o/6225/2026-27/italia</t>
        </r>
      </text>
    </comment>
    <comment ref="J184" authorId="0">
      <text>
        <r>
          <rPr>
            <sz val="11"/>
            <color indexed="8"/>
            <rFont val="Helvetica Neue"/>
          </rPr>
          <t>Codex:
Fonte anagrafica: https://www.fantacalcio.it/serie-a/squadre/sassuolo/boloca/6219/2026-27/italia</t>
        </r>
      </text>
    </comment>
    <comment ref="J185" authorId="0">
      <text>
        <r>
          <rPr>
            <sz val="11"/>
            <color indexed="8"/>
            <rFont val="Helvetica Neue"/>
          </rPr>
          <t>Codex:
Fonte anagrafica: https://serieaspelare.se/</t>
        </r>
      </text>
    </comment>
    <comment ref="J186" authorId="0">
      <text>
        <r>
          <rPr>
            <sz val="11"/>
            <color indexed="8"/>
            <rFont val="Helvetica Neue"/>
          </rPr>
          <t>Codex:
Fonte anagrafica: https://www.fantacalcio.it/serie-a/squadre/monza/mout/7575/2026-27/italia</t>
        </r>
      </text>
    </comment>
    <comment ref="J187" authorId="0">
      <text>
        <r>
          <rPr>
            <sz val="11"/>
            <color indexed="8"/>
            <rFont val="Helvetica Neue"/>
          </rPr>
          <t>Codex:
Fonte anagrafica: https://serieaspelare.se/</t>
        </r>
      </text>
    </comment>
    <comment ref="J188" authorId="0">
      <text>
        <r>
          <rPr>
            <sz val="11"/>
            <color indexed="8"/>
            <rFont val="Helvetica Neue"/>
          </rPr>
          <t>Codex:
Fonte anagrafica: https://serieaspelare.se/</t>
        </r>
      </text>
    </comment>
    <comment ref="J189" authorId="0">
      <text>
        <r>
          <rPr>
            <sz val="11"/>
            <color indexed="8"/>
            <rFont val="Helvetica Neue"/>
          </rPr>
          <t>Codex:
Fonte anagrafica: https://serieaspelare.se/</t>
        </r>
      </text>
    </comment>
    <comment ref="J190" authorId="0">
      <text>
        <r>
          <rPr>
            <sz val="11"/>
            <color indexed="8"/>
            <rFont val="Helvetica Neue"/>
          </rPr>
          <t>Codex:
Fonte anagrafica: https://www.fantacalcio.it/serie-a/squadre/cagliari/massolin/7579/2026-27/italia</t>
        </r>
      </text>
    </comment>
    <comment ref="J191" authorId="0">
      <text>
        <r>
          <rPr>
            <sz val="11"/>
            <color indexed="8"/>
            <rFont val="Helvetica Neue"/>
          </rPr>
          <t>Codex:
Fonte anagrafica: https://serieaspelare.se/</t>
        </r>
      </text>
    </comment>
    <comment ref="J192" authorId="0">
      <text>
        <r>
          <rPr>
            <sz val="11"/>
            <color indexed="8"/>
            <rFont val="Helvetica Neue"/>
          </rPr>
          <t>Codex:
Fonte anagrafica: https://www.fantacalcio.it/serie-a/squadre/como/lahdo/7357/2026-27/italia</t>
        </r>
      </text>
    </comment>
    <comment ref="J193" authorId="0">
      <text>
        <r>
          <rPr>
            <sz val="11"/>
            <color indexed="8"/>
            <rFont val="Helvetica Neue"/>
          </rPr>
          <t>Codex:
Fonte anagrafica: https://serieaspelare.se/</t>
        </r>
      </text>
    </comment>
    <comment ref="J194" authorId="0">
      <text>
        <r>
          <rPr>
            <sz val="11"/>
            <color indexed="8"/>
            <rFont val="Helvetica Neue"/>
          </rPr>
          <t>Codex:
Fonte anagrafica: https://serieaspelare.se/</t>
        </r>
      </text>
    </comment>
    <comment ref="J195" authorId="0">
      <text>
        <r>
          <rPr>
            <sz val="11"/>
            <color indexed="8"/>
            <rFont val="Helvetica Neue"/>
          </rPr>
          <t>Codex:
Fonte anagrafica: https://serieaspelare.se/</t>
        </r>
      </text>
    </comment>
    <comment ref="J196" authorId="0">
      <text>
        <r>
          <rPr>
            <sz val="11"/>
            <color indexed="8"/>
            <rFont val="Helvetica Neue"/>
          </rPr>
          <t>Codex:
Fonte anagrafica: https://www.fantacalcio.it/serie-a/squadre/milan/comotto/7572/2026-27/italia</t>
        </r>
      </text>
    </comment>
    <comment ref="J197" authorId="0">
      <text>
        <r>
          <rPr>
            <sz val="11"/>
            <color indexed="8"/>
            <rFont val="Helvetica Neue"/>
          </rPr>
          <t>Codex:
Fonte anagrafica: https://serieaspelare.se/</t>
        </r>
      </text>
    </comment>
    <comment ref="J198" authorId="0">
      <text>
        <r>
          <rPr>
            <sz val="11"/>
            <color indexed="8"/>
            <rFont val="Helvetica Neue"/>
          </rPr>
          <t>Codex:
Fonte anagrafica: https://serieaspelare.se/</t>
        </r>
      </text>
    </comment>
    <comment ref="J199" authorId="0">
      <text>
        <r>
          <rPr>
            <sz val="11"/>
            <color indexed="8"/>
            <rFont val="Helvetica Neue"/>
          </rPr>
          <t>Codex:
Fonte anagrafica: https://www.transfermarkt.com/nicolo-ballabio/profil/spieler/1058362</t>
        </r>
      </text>
    </comment>
    <comment ref="J200" authorId="0">
      <text>
        <r>
          <rPr>
            <sz val="11"/>
            <color indexed="8"/>
            <rFont val="Helvetica Neue"/>
          </rPr>
          <t>Codex:
Fonte anagrafica: https://serieaspelare.se/</t>
        </r>
      </text>
    </comment>
    <comment ref="J201" authorId="0">
      <text>
        <r>
          <rPr>
            <sz val="11"/>
            <color indexed="8"/>
            <rFont val="Helvetica Neue"/>
          </rPr>
          <t>Codex:
Fonte anagrafica: https://serieaspelare.se/</t>
        </r>
      </text>
    </comment>
    <comment ref="J202" authorId="0">
      <text>
        <r>
          <rPr>
            <sz val="11"/>
            <color indexed="8"/>
            <rFont val="Helvetica Neue"/>
          </rPr>
          <t>Codex:
Fonte anagrafica: https://serieaspelare.se/</t>
        </r>
      </text>
    </comment>
    <comment ref="J203" authorId="0">
      <text>
        <r>
          <rPr>
            <sz val="11"/>
            <color indexed="8"/>
            <rFont val="Helvetica Neue"/>
          </rPr>
          <t>Codex:
Fonte anagrafica: https://serieaspelare.se/</t>
        </r>
      </text>
    </comment>
  </commentList>
</comments>
</file>

<file path=xl/comments5.xml><?xml version="1.0" encoding="utf-8"?>
<comments xmlns="http://schemas.openxmlformats.org/spreadsheetml/2006/main">
  <authors>
    <author>Codex</author>
  </authors>
  <commentList>
    <comment ref="C4" authorId="0">
      <text>
        <r>
          <rPr>
            <sz val="11"/>
            <color indexed="8"/>
            <rFont val="Helvetica Neue"/>
          </rPr>
          <t>Codex:
Casella manuale: fai clic per selezionare un giocatore. Puoi poi filtrare TRUE per vedere solo i selezionati.</t>
        </r>
      </text>
    </comment>
    <comment ref="O4" authorId="0">
      <text>
        <r>
          <rPr>
            <sz val="11"/>
            <color indexed="8"/>
            <rFont val="Helvetica Neue"/>
          </rPr>
          <t>Codex:
Il mese tra parentesi deriva dal calendario Serie A Enilive 2026/27: https://www.legaseriea.it/serie-a/news/calendario-della-serie-a-enilive-2026-27</t>
        </r>
      </text>
    </comment>
    <comment ref="J5" authorId="0">
      <text>
        <r>
          <rPr>
            <sz val="11"/>
            <color indexed="8"/>
            <rFont val="Helvetica Neue"/>
          </rPr>
          <t>Codex:
Fonte anagrafica: https://www.fantacalcio.it/serie-a/squadre/roma/malen/5585/2026-27/italia</t>
        </r>
      </text>
    </comment>
    <comment ref="J6" authorId="0">
      <text>
        <r>
          <rPr>
            <sz val="11"/>
            <color indexed="8"/>
            <rFont val="Helvetica Neue"/>
          </rPr>
          <t>Codex:
Fonte anagrafica: https://www.fantacalcio.it/serie-a/squadre/inter/martinez-l/2764/2026-27/italia</t>
        </r>
      </text>
    </comment>
    <comment ref="J7" authorId="0">
      <text>
        <r>
          <rPr>
            <sz val="11"/>
            <color indexed="8"/>
            <rFont val="Helvetica Neue"/>
          </rPr>
          <t>Codex:
Fonte anagrafica: https://www.fantacalcio.it/serie-a/squadre/napoli/hojlund/6052/2026-27/italia</t>
        </r>
      </text>
    </comment>
    <comment ref="J8" authorId="0">
      <text>
        <r>
          <rPr>
            <sz val="11"/>
            <color indexed="8"/>
            <rFont val="Helvetica Neue"/>
          </rPr>
          <t>Codex:
Fonte anagrafica: https://www.fantacalcio.it/serie-a/squadre/inter/thuram/4871/2026-27/italia</t>
        </r>
      </text>
    </comment>
    <comment ref="J9" authorId="0">
      <text>
        <r>
          <rPr>
            <sz val="11"/>
            <color indexed="8"/>
            <rFont val="Helvetica Neue"/>
          </rPr>
          <t>Codex:
Fonte anagrafica: https://www.fantacalcio.it/serie-a/squadre/milan/ramos-g/6397/2026-27/italia</t>
        </r>
      </text>
    </comment>
    <comment ref="J10" authorId="0">
      <text>
        <r>
          <rPr>
            <sz val="11"/>
            <color indexed="8"/>
            <rFont val="Helvetica Neue"/>
          </rPr>
          <t>Codex:
Fonte anagrafica: https://www.fantacalcio.it/serie-a/squadre/udinese/davis-k/5637/2026-27/italia</t>
        </r>
      </text>
    </comment>
    <comment ref="J11" authorId="0">
      <text>
        <r>
          <rPr>
            <sz val="11"/>
            <color indexed="8"/>
            <rFont val="Helvetica Neue"/>
          </rPr>
          <t>Codex:
Fonte anagrafica: https://www.fantacalcio.it/serie-a/squadre/como/kean/2097/2026-27/italia</t>
        </r>
      </text>
    </comment>
    <comment ref="J12" authorId="0">
      <text>
        <r>
          <rPr>
            <sz val="11"/>
            <color indexed="8"/>
            <rFont val="Helvetica Neue"/>
          </rPr>
          <t>Codex:
Fonte anagrafica: https://www.fantacalcio.it/serie-a/squadre/juventus/kolo-muani/5951/2026-27/italia</t>
        </r>
      </text>
    </comment>
    <comment ref="J13" authorId="0">
      <text>
        <r>
          <rPr>
            <sz val="11"/>
            <color indexed="8"/>
            <rFont val="Helvetica Neue"/>
          </rPr>
          <t>Codex:
Fonte anagrafica: https://www.fantacalcio.it/serie-a/squadre/atalanta/scamacca/2137/2026-27/italia</t>
        </r>
      </text>
    </comment>
    <comment ref="J14" authorId="0">
      <text>
        <r>
          <rPr>
            <sz val="11"/>
            <color indexed="8"/>
            <rFont val="Helvetica Neue"/>
          </rPr>
          <t>Codex:
Fonte anagrafica: https://www.fantacalcio.it/serie-a/squadre/roma/dybala/309/2026-27/italia</t>
        </r>
      </text>
    </comment>
    <comment ref="J15" authorId="0">
      <text>
        <r>
          <rPr>
            <sz val="11"/>
            <color indexed="8"/>
            <rFont val="Helvetica Neue"/>
          </rPr>
          <t>Codex:
Fonte anagrafica: https://www.fantacalcio.it/serie-a/squadre/torino/simeone/2061/2026-27/italia</t>
        </r>
      </text>
    </comment>
    <comment ref="J16" authorId="0">
      <text>
        <r>
          <rPr>
            <sz val="11"/>
            <color indexed="8"/>
            <rFont val="Helvetica Neue"/>
          </rPr>
          <t>Codex:
Fonte anagrafica: https://www.fantacalcio.it/serie-a/squadre/sassuolo/laurientè/6060/2026-27/italia</t>
        </r>
      </text>
    </comment>
    <comment ref="J17" authorId="0">
      <text>
        <r>
          <rPr>
            <sz val="11"/>
            <color indexed="8"/>
            <rFont val="Helvetica Neue"/>
          </rPr>
          <t>Codex:
Fonte anagrafica: https://www.fantacalcio.it/serie-a/squadre/sassuolo/berardi/531/2026-27/italia</t>
        </r>
      </text>
    </comment>
    <comment ref="J18" authorId="0">
      <text>
        <r>
          <rPr>
            <sz val="11"/>
            <color indexed="8"/>
            <rFont val="Helvetica Neue"/>
          </rPr>
          <t>Codex:
Fonte anagrafica: https://www.fantacalcio.it/serie-a/squadre/juventus/yildiz/6434/2026-27/italia</t>
        </r>
      </text>
    </comment>
    <comment ref="J19" authorId="0">
      <text>
        <r>
          <rPr>
            <sz val="11"/>
            <color indexed="8"/>
            <rFont val="Helvetica Neue"/>
          </rPr>
          <t>Codex:
Fonte anagrafica: https://www.fantacalcio.it/serie-a/squadre/como/douvikas/7017/2026-27/italia</t>
        </r>
      </text>
    </comment>
    <comment ref="J20" authorId="0">
      <text>
        <r>
          <rPr>
            <sz val="11"/>
            <color indexed="8"/>
            <rFont val="Helvetica Neue"/>
          </rPr>
          <t>Codex:
Fonte anagrafica: https://www.fantacalcio.it/serie-a/squadre/lazio/pinamonti/2038/2026-27/italia</t>
        </r>
      </text>
    </comment>
    <comment ref="J21" authorId="0">
      <text>
        <r>
          <rPr>
            <sz val="11"/>
            <color indexed="8"/>
            <rFont val="Helvetica Neue"/>
          </rPr>
          <t>Codex:
Fonte anagrafica: https://www.fantacalcio.it/serie-a/squadre/torino/adams-c/6646/2026-27/italia</t>
        </r>
      </text>
    </comment>
    <comment ref="J22" authorId="0">
      <text>
        <r>
          <rPr>
            <sz val="11"/>
            <color indexed="8"/>
            <rFont val="Helvetica Neue"/>
          </rPr>
          <t>Codex:
Fonte anagrafica: https://www.fantacalcio.it/serie-a/squadre/atalanta/krstovic/6435/2026-27/italia</t>
        </r>
      </text>
    </comment>
    <comment ref="J23" authorId="0">
      <text>
        <r>
          <rPr>
            <sz val="11"/>
            <color indexed="8"/>
            <rFont val="Helvetica Neue"/>
          </rPr>
          <t>Codex:
Fonte anagrafica: https://www.fantacalcio.it/serie-a/squadre/juventus/woltemade/6752/2026-27/italia</t>
        </r>
      </text>
    </comment>
    <comment ref="J24" authorId="0">
      <text>
        <r>
          <rPr>
            <sz val="11"/>
            <color indexed="8"/>
            <rFont val="Helvetica Neue"/>
          </rPr>
          <t>Codex:
Fonte anagrafica: https://www.fantacalcio.it/serie-a/squadre/genoa/colombo/4923/2026-27/italia</t>
        </r>
      </text>
    </comment>
    <comment ref="J25" authorId="0">
      <text>
        <r>
          <rPr>
            <sz val="11"/>
            <color indexed="8"/>
            <rFont val="Helvetica Neue"/>
          </rPr>
          <t>Codex:
Fonte anagrafica: https://www.fantacalcio.it/serie-a/squadre/roma/castro-s/6572/2026-27/italia</t>
        </r>
      </text>
    </comment>
    <comment ref="J26" authorId="0">
      <text>
        <r>
          <rPr>
            <sz val="11"/>
            <color indexed="8"/>
            <rFont val="Helvetica Neue"/>
          </rPr>
          <t>Codex:
Fonte anagrafica: https://www.fantacalcio.it/serie-a/squadre/atalanta/de-ketelaere/5995/2026-27/italia</t>
        </r>
      </text>
    </comment>
    <comment ref="J27" authorId="0">
      <text>
        <r>
          <rPr>
            <sz val="11"/>
            <color indexed="8"/>
            <rFont val="Helvetica Neue"/>
          </rPr>
          <t>Codex:
Fonte anagrafica: https://www.fantacalcio.it/serie-a/squadre/roma/soulè/5734/2026-27/italia</t>
        </r>
      </text>
    </comment>
    <comment ref="J28" authorId="0">
      <text>
        <r>
          <rPr>
            <sz val="11"/>
            <color indexed="8"/>
            <rFont val="Helvetica Neue"/>
          </rPr>
          <t>Codex:
Fonte anagrafica: https://www.fantacalcio.it/serie-a/squadre/sassuolo/esposito-se/4463/2026-27/italia</t>
        </r>
      </text>
    </comment>
    <comment ref="J29" authorId="0">
      <text>
        <r>
          <rPr>
            <sz val="11"/>
            <color indexed="8"/>
            <rFont val="Helvetica Neue"/>
          </rPr>
          <t>Codex:
Fonte anagrafica: https://www.fantacalcio.it/serie-a/squadre/fiorentina/beto/5694/2026-27/italia</t>
        </r>
      </text>
    </comment>
    <comment ref="J30" authorId="0">
      <text>
        <r>
          <rPr>
            <sz val="11"/>
            <color indexed="8"/>
            <rFont val="Helvetica Neue"/>
          </rPr>
          <t>Codex:
Fonte anagrafica: https://www.fantacalcio.it/serie-a/squadre/atalanta/rowe/6844/2026-27/italia</t>
        </r>
      </text>
    </comment>
    <comment ref="J31" authorId="0">
      <text>
        <r>
          <rPr>
            <sz val="11"/>
            <color indexed="8"/>
            <rFont val="Helvetica Neue"/>
          </rPr>
          <t>Codex:
Fonte anagrafica: https://www.fantacalcio.it/serie-a/squadre/genoa/vitinha-o/6164/2026-27/italia</t>
        </r>
      </text>
    </comment>
    <comment ref="J32" authorId="0">
      <text>
        <r>
          <rPr>
            <sz val="11"/>
            <color indexed="8"/>
            <rFont val="Helvetica Neue"/>
          </rPr>
          <t>Codex:
Fonte anagrafica: https://www.fantacalcio.it/serie-a/squadre/como/diao/6967/2026-27/italia</t>
        </r>
      </text>
    </comment>
    <comment ref="J33" authorId="0">
      <text>
        <r>
          <rPr>
            <sz val="11"/>
            <color indexed="8"/>
            <rFont val="Helvetica Neue"/>
          </rPr>
          <t>Codex:
Fonte anagrafica: https://www.fantacalcio.it/serie-a/squadre/inter/esposito-f-p/7071/2026-27/italia</t>
        </r>
      </text>
    </comment>
    <comment ref="J34" authorId="0">
      <text>
        <r>
          <rPr>
            <sz val="11"/>
            <color indexed="8"/>
            <rFont val="Helvetica Neue"/>
          </rPr>
          <t>Codex:
Fonte anagrafica: https://www.fantacalcio.it/serie-a/squadre/fiorentina/pellegrino-m/7023/2026-27/italia</t>
        </r>
      </text>
    </comment>
    <comment ref="J35" authorId="0">
      <text>
        <r>
          <rPr>
            <sz val="11"/>
            <color indexed="8"/>
            <rFont val="Helvetica Neue"/>
          </rPr>
          <t>Codex:
Fonte anagrafica: https://www.fantacalcio.it/serie-a/squadre/lazio/isaksen/6398/2026-27/italia</t>
        </r>
      </text>
    </comment>
    <comment ref="J36" authorId="0">
      <text>
        <r>
          <rPr>
            <sz val="11"/>
            <color indexed="8"/>
            <rFont val="Helvetica Neue"/>
          </rPr>
          <t>Codex:
Fonte anagrafica: https://www.fantacalcio.it/serie-a/squadre/frosinone/raimondo/5436/2026-27/italia</t>
        </r>
      </text>
    </comment>
    <comment ref="J37" authorId="0">
      <text>
        <r>
          <rPr>
            <sz val="11"/>
            <color indexed="8"/>
            <rFont val="Helvetica Neue"/>
          </rPr>
          <t>Codex:
Fonte anagrafica: https://www.fantacalcio.it/serie-a/squadre/bologna/cambiaghi/4436/2026-27/italia</t>
        </r>
      </text>
    </comment>
    <comment ref="J38" authorId="0">
      <text>
        <r>
          <rPr>
            <sz val="11"/>
            <color indexed="8"/>
            <rFont val="Helvetica Neue"/>
          </rPr>
          <t>Codex:
Fonte anagrafica: https://www.fantacalcio.it/serie-a/squadre/bologna/piccoli/4359/2026-27/italia</t>
        </r>
      </text>
    </comment>
    <comment ref="J39" authorId="0">
      <text>
        <r>
          <rPr>
            <sz val="11"/>
            <color indexed="8"/>
            <rFont val="Helvetica Neue"/>
          </rPr>
          <t>Codex:
Fonte anagrafica: https://www.fantacalcio.it/serie-a/squadre/atalanta/raspadori/4371/2026-27/italia</t>
        </r>
      </text>
    </comment>
    <comment ref="J40" authorId="0">
      <text>
        <r>
          <rPr>
            <sz val="11"/>
            <color indexed="8"/>
            <rFont val="Helvetica Neue"/>
          </rPr>
          <t>Codex:
Fonte anagrafica: https://www.fantacalcio.it/serie-a/squadre/venezia/yeboah-j/6904/2026-27/italia</t>
        </r>
      </text>
    </comment>
    <comment ref="J41" authorId="0">
      <text>
        <r>
          <rPr>
            <sz val="11"/>
            <color indexed="8"/>
            <rFont val="Helvetica Neue"/>
          </rPr>
          <t>Codex:
Fonte anagrafica: https://www.fantacalcio.it/serie-a/squadre/napoli/neres/6831/2026-27/italia</t>
        </r>
      </text>
    </comment>
    <comment ref="J42" authorId="0">
      <text>
        <r>
          <rPr>
            <sz val="11"/>
            <color indexed="8"/>
            <rFont val="Helvetica Neue"/>
          </rPr>
          <t>Codex:
Fonte anagrafica: https://www.fantacalcio.it/serie-a/squadre/juventus/boga/2832/2026-27/italia</t>
        </r>
      </text>
    </comment>
    <comment ref="J43" authorId="0">
      <text>
        <r>
          <rPr>
            <sz val="11"/>
            <color indexed="8"/>
            <rFont val="Helvetica Neue"/>
          </rPr>
          <t>Codex:
Fonte anagrafica: https://www.fantacalcio.it/serie-a/squadre/torino/zapata-d/608/2026-27/italia</t>
        </r>
      </text>
    </comment>
    <comment ref="J44" authorId="0">
      <text>
        <r>
          <rPr>
            <sz val="11"/>
            <color indexed="8"/>
            <rFont val="Helvetica Neue"/>
          </rPr>
          <t>Codex:
Fonte anagrafica: https://www.fantacalcio.it/serie-a/squadre/como/rodriguez-je/7129/2026-27/italia</t>
        </r>
      </text>
    </comment>
    <comment ref="J45" authorId="0">
      <text>
        <r>
          <rPr>
            <sz val="11"/>
            <color indexed="8"/>
            <rFont val="Helvetica Neue"/>
          </rPr>
          <t>Codex:
Fonte anagrafica: https://www.fantacalcio.it/serie-a/squadre/inter/bonny/6669/2026-27/italia</t>
        </r>
      </text>
    </comment>
    <comment ref="J46" authorId="0">
      <text>
        <r>
          <rPr>
            <sz val="11"/>
            <color indexed="8"/>
            <rFont val="Helvetica Neue"/>
          </rPr>
          <t>Codex:
Fonte anagrafica: https://www.fantacalcio.it/serie-a/squadre/napoli/lang/7120/2026-27/italia</t>
        </r>
      </text>
    </comment>
    <comment ref="J47" authorId="0">
      <text>
        <r>
          <rPr>
            <sz val="11"/>
            <color indexed="8"/>
            <rFont val="Helvetica Neue"/>
          </rPr>
          <t>Codex:
Fonte anagrafica: https://www.fantacalcio.it/serie-a/squadre/lecce/stulic/7252/2026-27/italia</t>
        </r>
      </text>
    </comment>
    <comment ref="J48" authorId="0">
      <text>
        <r>
          <rPr>
            <sz val="11"/>
            <color indexed="8"/>
            <rFont val="Helvetica Neue"/>
          </rPr>
          <t>Codex:
Fonte anagrafica: https://www.fantacalcio.it/serie-a/squadre/juventus/alajbegovic/7436/2026-27/italia</t>
        </r>
      </text>
    </comment>
    <comment ref="J49" authorId="0">
      <text>
        <r>
          <rPr>
            <sz val="11"/>
            <color indexed="8"/>
            <rFont val="Helvetica Neue"/>
          </rPr>
          <t>Codex:
Fonte anagrafica: https://www.fantacalcio.it/serie-a/squadre/sassuolo/bowie/7347/2026-27/italia</t>
        </r>
      </text>
    </comment>
    <comment ref="J50" authorId="0">
      <text>
        <r>
          <rPr>
            <sz val="11"/>
            <color indexed="8"/>
            <rFont val="Helvetica Neue"/>
          </rPr>
          <t>Codex:
Fonte anagrafica: https://www.fantacalcio.it/serie-a/squadre/monza/cutrone/2155/2026-27/italia</t>
        </r>
      </text>
    </comment>
    <comment ref="J51" authorId="0">
      <text>
        <r>
          <rPr>
            <sz val="11"/>
            <color indexed="8"/>
            <rFont val="Helvetica Neue"/>
          </rPr>
          <t>Codex:
Fonte anagrafica: https://www.fantacalcio.it/serie-a/squadre/monza/varela-g/7523/2026-27/italia</t>
        </r>
      </text>
    </comment>
    <comment ref="J52" authorId="0">
      <text>
        <r>
          <rPr>
            <sz val="11"/>
            <color indexed="8"/>
            <rFont val="Helvetica Neue"/>
          </rPr>
          <t>Codex:
Fonte anagrafica: https://www.fantacalcio.it/serie-a/squadre/fiorentina/njie/6827/2026-27/italia</t>
        </r>
      </text>
    </comment>
    <comment ref="J53" authorId="0">
      <text>
        <r>
          <rPr>
            <sz val="11"/>
            <color indexed="8"/>
            <rFont val="Helvetica Neue"/>
          </rPr>
          <t>Codex:
Fonte anagrafica: https://www.fantacalcio.it/serie-a/squadre/napoli/lucca/6215/2026-27/italia</t>
        </r>
      </text>
    </comment>
    <comment ref="J54" authorId="0">
      <text>
        <r>
          <rPr>
            <sz val="11"/>
            <color indexed="8"/>
            <rFont val="Helvetica Neue"/>
          </rPr>
          <t>Codex:
Fonte anagrafica: https://www.fantacalcio.it/serie-a/squadre/cagliari/borrelli/6243/2026-27/italia</t>
        </r>
      </text>
    </comment>
    <comment ref="J55" authorId="0">
      <text>
        <r>
          <rPr>
            <sz val="11"/>
            <color indexed="8"/>
            <rFont val="Helvetica Neue"/>
          </rPr>
          <t>Codex:
Fonte anagrafica: https://www.fantacalcio.it/serie-a/squadre/frosinone/ghedjemis/6530/2026-27/italia</t>
        </r>
      </text>
    </comment>
    <comment ref="J56" authorId="0">
      <text>
        <r>
          <rPr>
            <sz val="11"/>
            <color indexed="8"/>
            <rFont val="Helvetica Neue"/>
          </rPr>
          <t>Codex:
Fonte anagrafica: https://www.fantacalcio.it/serie-a/squadre/fiorentina/gnonto/7623/2026-27/italia</t>
        </r>
      </text>
    </comment>
    <comment ref="J57" authorId="0">
      <text>
        <r>
          <rPr>
            <sz val="11"/>
            <color indexed="8"/>
            <rFont val="Helvetica Neue"/>
          </rPr>
          <t>Codex:
Fonte anagrafica: https://www.fantacalcio.it/serie-a/squadre/parma/romero-d/7554/2026-27/italia</t>
        </r>
      </text>
    </comment>
    <comment ref="J58" authorId="0">
      <text>
        <r>
          <rPr>
            <sz val="11"/>
            <color indexed="8"/>
            <rFont val="Helvetica Neue"/>
          </rPr>
          <t>Codex:
Fonte anagrafica: https://www.fantacalcio.it/serie-a/squadre/venezia/adams-a/7484/2026-27/italia</t>
        </r>
      </text>
    </comment>
    <comment ref="J59" authorId="0">
      <text>
        <r>
          <rPr>
            <sz val="11"/>
            <color indexed="8"/>
            <rFont val="Helvetica Neue"/>
          </rPr>
          <t>Codex:
Fonte anagrafica: https://www.fantacalcio.it/serie-a/squadre/lazio/noslin/6556/2026-27/italia</t>
        </r>
      </text>
    </comment>
    <comment ref="J60" authorId="0">
      <text>
        <r>
          <rPr>
            <sz val="11"/>
            <color indexed="8"/>
            <rFont val="Helvetica Neue"/>
          </rPr>
          <t>Codex:
Fonte anagrafica: https://www.fantacalcio.it/serie-a/squadre/bologna/dovbyk/6675/2026-27/italia</t>
        </r>
      </text>
    </comment>
    <comment ref="J61" authorId="0">
      <text>
        <r>
          <rPr>
            <sz val="11"/>
            <color indexed="8"/>
            <rFont val="Helvetica Neue"/>
          </rPr>
          <t>Codex:
Fonte anagrafica: https://www.fantacalcio.it/serie-a/squadre/parma/elphege/7342/2026-27/italia</t>
        </r>
      </text>
    </comment>
    <comment ref="J62" authorId="0">
      <text>
        <r>
          <rPr>
            <sz val="11"/>
            <color indexed="8"/>
            <rFont val="Helvetica Neue"/>
          </rPr>
          <t>Codex:
Fonte anagrafica: https://www.fantacalcio.it/serie-a/squadre/frosinone/kvernadze/6204/2026-27/italia</t>
        </r>
      </text>
    </comment>
    <comment ref="J63" authorId="0">
      <text>
        <r>
          <rPr>
            <sz val="11"/>
            <color indexed="8"/>
            <rFont val="Helvetica Neue"/>
          </rPr>
          <t>Codex:
Fonte anagrafica: https://www.fantacalcio.it/serie-a/squadre/juventus/gonzalez-n/4179/2026-27/italia</t>
        </r>
      </text>
    </comment>
    <comment ref="J64" authorId="0">
      <text>
        <r>
          <rPr>
            <sz val="11"/>
            <color indexed="8"/>
            <rFont val="Helvetica Neue"/>
          </rPr>
          <t>Codex:
Fonte anagrafica: https://www.fantacalcio.it/serie-a/squadre/napoli/giovane/7162/2026-27/italia</t>
        </r>
      </text>
    </comment>
    <comment ref="J65" authorId="0">
      <text>
        <r>
          <rPr>
            <sz val="11"/>
            <color indexed="8"/>
            <rFont val="Helvetica Neue"/>
          </rPr>
          <t>Codex:
Fonte anagrafica: https://www.fantacalcio.it/serie-a/squadre/monza/ngonge/6145/2026-27/italia</t>
        </r>
      </text>
    </comment>
    <comment ref="J66" authorId="0">
      <text>
        <r>
          <rPr>
            <sz val="11"/>
            <color indexed="8"/>
            <rFont val="Helvetica Neue"/>
          </rPr>
          <t>Codex:
Fonte anagrafica: https://www.fantacalcio.it/serie-a/squadre/venezia/adorante/4387/2026-27/italia</t>
        </r>
      </text>
    </comment>
    <comment ref="J67" authorId="0">
      <text>
        <r>
          <rPr>
            <sz val="11"/>
            <color indexed="8"/>
            <rFont val="Helvetica Neue"/>
          </rPr>
          <t>Codex:
Fonte anagrafica: https://www.fantacalcio.it/serie-a/squadre/parma/tourè-e/6229/2026-27/italia</t>
        </r>
      </text>
    </comment>
    <comment ref="J68" authorId="0">
      <text>
        <r>
          <rPr>
            <sz val="11"/>
            <color indexed="8"/>
            <rFont val="Helvetica Neue"/>
          </rPr>
          <t>Codex:
Fonte anagrafica: https://www.fantacalcio.it/serie-a/squadre/lazio/cancellieri/5500/2026-27/italia</t>
        </r>
      </text>
    </comment>
    <comment ref="J69" authorId="0">
      <text>
        <r>
          <rPr>
            <sz val="11"/>
            <color indexed="8"/>
            <rFont val="Helvetica Neue"/>
          </rPr>
          <t>Codex:
Fonte anagrafica: https://www.fantacalcio.it/serie-a/squadre/monza/mota/5882/2026-27/italia</t>
        </r>
      </text>
    </comment>
    <comment ref="J70" authorId="0">
      <text>
        <r>
          <rPr>
            <sz val="11"/>
            <color indexed="8"/>
            <rFont val="Helvetica Neue"/>
          </rPr>
          <t>Codex:
Fonte anagrafica: https://www.fantacalcio.it/serie-a/squadre/cagliari/nzola/5336/2026-27/italia</t>
        </r>
      </text>
    </comment>
    <comment ref="J71" authorId="0">
      <text>
        <r>
          <rPr>
            <sz val="11"/>
            <color indexed="8"/>
            <rFont val="Helvetica Neue"/>
          </rPr>
          <t>Codex:
Fonte anagrafica: https://www.fantacalcio.it/serie-a/squadre/lecce/geubbels/5029/2026-27/italia</t>
        </r>
      </text>
    </comment>
    <comment ref="J72" authorId="0">
      <text>
        <r>
          <rPr>
            <sz val="11"/>
            <color indexed="8"/>
            <rFont val="Helvetica Neue"/>
          </rPr>
          <t>Codex:
Fonte anagrafica: https://www.fantacalcio.it/serie-a/squadre/frosinone/bobcek/7612/2026-27/italia</t>
        </r>
      </text>
    </comment>
    <comment ref="J73" authorId="0">
      <text>
        <r>
          <rPr>
            <sz val="11"/>
            <color indexed="8"/>
            <rFont val="Helvetica Neue"/>
          </rPr>
          <t>Codex:
Fonte anagrafica: https://www.fantacalcio.it/serie-a/squadre/atalanta/sulemana-k/5918/2026-27/italia</t>
        </r>
      </text>
    </comment>
    <comment ref="J74" authorId="0">
      <text>
        <r>
          <rPr>
            <sz val="11"/>
            <color indexed="8"/>
            <rFont val="Helvetica Neue"/>
          </rPr>
          <t>Codex:
Fonte anagrafica: https://www.fantacalcio.it/serie-a/squadre/cagliari/kevin-carlos/7547/2026-27/italia</t>
        </r>
      </text>
    </comment>
    <comment ref="J75" authorId="0">
      <text>
        <r>
          <rPr>
            <sz val="11"/>
            <color indexed="8"/>
            <rFont val="Helvetica Neue"/>
          </rPr>
          <t>Codex:
Fonte anagrafica: https://www.fantacalcio.it/serie-a/squadre/sassuolo/dominguez-b/6895/2026-27/italia</t>
        </r>
      </text>
    </comment>
    <comment ref="J76" authorId="0">
      <text>
        <r>
          <rPr>
            <sz val="11"/>
            <color indexed="8"/>
            <rFont val="Helvetica Neue"/>
          </rPr>
          <t>Codex:
Fonte anagrafica: https://www.fantacalcio.it/serie-a/squadre/lecce/n-dri/7001/2026-27/italia</t>
        </r>
      </text>
    </comment>
    <comment ref="J77" authorId="0">
      <text>
        <r>
          <rPr>
            <sz val="11"/>
            <color indexed="8"/>
            <rFont val="Helvetica Neue"/>
          </rPr>
          <t>Codex:
Fonte anagrafica: https://www.fantacalcio.it/serie-a/squadre/torino/aboukhlal/7183/2026-27/italia</t>
        </r>
      </text>
    </comment>
    <comment ref="J78" authorId="0">
      <text>
        <r>
          <rPr>
            <sz val="11"/>
            <color indexed="8"/>
            <rFont val="Helvetica Neue"/>
          </rPr>
          <t>Codex:
Fonte anagrafica: https://www.fantacalcio.it/serie-a/squadre/monza/zeballos/7620/2026-27/italia</t>
        </r>
      </text>
    </comment>
    <comment ref="J79" authorId="0">
      <text>
        <r>
          <rPr>
            <sz val="11"/>
            <color indexed="8"/>
            <rFont val="Helvetica Neue"/>
          </rPr>
          <t>Codex:
Fonte anagrafica: https://www.fantacalcio.it/serie-a/squadre/udinese/gueye/7272/2026-27/italia</t>
        </r>
      </text>
    </comment>
    <comment ref="J80" authorId="0">
      <text>
        <r>
          <rPr>
            <sz val="11"/>
            <color indexed="8"/>
            <rFont val="Helvetica Neue"/>
          </rPr>
          <t>Codex:
Fonte anagrafica: https://www.fantacalcio.it/serie-a/squadre/torino/kulenovic/7349/2026-27/italia</t>
        </r>
      </text>
    </comment>
    <comment ref="J81" authorId="0">
      <text>
        <r>
          <rPr>
            <sz val="11"/>
            <color indexed="8"/>
            <rFont val="Helvetica Neue"/>
          </rPr>
          <t>Codex:
Fonte anagrafica: https://www.fantacalcio.it/serie-a/squadre/parma/almqvist/6207/2026-27/italia</t>
        </r>
      </text>
    </comment>
    <comment ref="J82" authorId="0">
      <text>
        <r>
          <rPr>
            <sz val="11"/>
            <color indexed="8"/>
            <rFont val="Helvetica Neue"/>
          </rPr>
          <t>Codex:
Fonte anagrafica: https://www.fantacalcio.it/serie-a/squadre/como/addai/7127/2026-27/italia</t>
        </r>
      </text>
    </comment>
    <comment ref="J83" authorId="0">
      <text>
        <r>
          <rPr>
            <sz val="11"/>
            <color indexed="8"/>
            <rFont val="Helvetica Neue"/>
          </rPr>
          <t>Codex:
Fonte anagrafica: https://www.fantacalcio.it/serie-a/squadre/genoa/havel/7453/2026-27/italia</t>
        </r>
      </text>
    </comment>
    <comment ref="J84" authorId="0">
      <text>
        <r>
          <rPr>
            <sz val="11"/>
            <color indexed="8"/>
            <rFont val="Helvetica Neue"/>
          </rPr>
          <t>Codex:
Fonte anagrafica: https://www.fantacalcio.it/serie-a/squadre/frosinone/birligea/7610/2026-27/italia</t>
        </r>
      </text>
    </comment>
    <comment ref="J85" authorId="0">
      <text>
        <r>
          <rPr>
            <sz val="11"/>
            <color indexed="8"/>
            <rFont val="Helvetica Neue"/>
          </rPr>
          <t>Codex:
Fonte anagrafica: https://www.fantacalcio.it/serie-a/squadre/genoa/osmajic/7600/2026-27/italia</t>
        </r>
      </text>
    </comment>
    <comment ref="J86" authorId="0">
      <text>
        <r>
          <rPr>
            <sz val="11"/>
            <color indexed="8"/>
            <rFont val="Helvetica Neue"/>
          </rPr>
          <t>Codex:
Fonte anagrafica: https://www.fantacalcio.it/serie-a/squadre/udinese/bayo-v/7161/2026-27/italia</t>
        </r>
      </text>
    </comment>
    <comment ref="J87" authorId="0">
      <text>
        <r>
          <rPr>
            <sz val="11"/>
            <color indexed="8"/>
            <rFont val="Helvetica Neue"/>
          </rPr>
          <t>Codex:
Fonte anagrafica: https://www.fantacalcio.it/serie-a/squadre/juventus/ekhator/6822/2026-27/italia</t>
        </r>
      </text>
    </comment>
    <comment ref="J88" authorId="0">
      <text>
        <r>
          <rPr>
            <sz val="11"/>
            <color indexed="8"/>
            <rFont val="Helvetica Neue"/>
          </rPr>
          <t>Codex:
Fonte anagrafica: https://www.fantacalcio.it/serie-a/squadre/cagliari/felici/6640/2026-27/italia</t>
        </r>
      </text>
    </comment>
    <comment ref="J89" authorId="0">
      <text>
        <r>
          <rPr>
            <sz val="11"/>
            <color indexed="8"/>
            <rFont val="Helvetica Neue"/>
          </rPr>
          <t>Codex:
Fonte anagrafica: https://www.fantacalcio.it/serie-a/squadre/frosinone/fini/6506/2026-27/italia</t>
        </r>
      </text>
    </comment>
    <comment ref="J90" authorId="0">
      <text>
        <r>
          <rPr>
            <sz val="11"/>
            <color indexed="8"/>
            <rFont val="Helvetica Neue"/>
          </rPr>
          <t>Codex:
Fonte anagrafica: https://www.fantacalcio.it/serie-a/squadre/milan/camarda/6519/2026-27/italia</t>
        </r>
      </text>
    </comment>
    <comment ref="J91" authorId="0">
      <text>
        <r>
          <rPr>
            <sz val="11"/>
            <color indexed="8"/>
            <rFont val="Helvetica Neue"/>
          </rPr>
          <t>Codex:
Fonte anagrafica: https://www.fantacalcio.it/serie-a/squadre/bologna/enem/7627/2026-27/italia</t>
        </r>
      </text>
    </comment>
    <comment ref="J92" authorId="0">
      <text>
        <r>
          <rPr>
            <sz val="11"/>
            <color indexed="8"/>
            <rFont val="Helvetica Neue"/>
          </rPr>
          <t>Codex:
Fonte anagrafica: https://serieaspelare.se/</t>
        </r>
      </text>
    </comment>
    <comment ref="J93" authorId="0">
      <text>
        <r>
          <rPr>
            <sz val="11"/>
            <color indexed="8"/>
            <rFont val="Helvetica Neue"/>
          </rPr>
          <t>Codex:
Fonte anagrafica: https://www.fantacalcio.it/serie-a/squadre/venezia/rrahmani-al/7449/2026-27/italia</t>
        </r>
      </text>
    </comment>
    <comment ref="J94" authorId="0">
      <text>
        <r>
          <rPr>
            <sz val="11"/>
            <color indexed="8"/>
            <rFont val="Helvetica Neue"/>
          </rPr>
          <t>Codex:
Fonte anagrafica: https://www.fantacalcio.it/serie-a/squadre/parma/lontani/7561/2026-27/italia</t>
        </r>
      </text>
    </comment>
    <comment ref="J95" authorId="0">
      <text>
        <r>
          <rPr>
            <sz val="11"/>
            <color indexed="8"/>
            <rFont val="Helvetica Neue"/>
          </rPr>
          <t>Codex:
Fonte anagrafica: https://www.fantacalcio.it/serie-a/squadre/juventus/milik/2012/2026-27/italia</t>
        </r>
      </text>
    </comment>
    <comment ref="J96" authorId="0">
      <text>
        <r>
          <rPr>
            <sz val="11"/>
            <color indexed="8"/>
            <rFont val="Helvetica Neue"/>
          </rPr>
          <t>Codex:
Fonte anagrafica: https://www.fantacalcio.it/serie-a/squadre/lecce/fatah/7602/2026-27/italia</t>
        </r>
      </text>
    </comment>
    <comment ref="J97" authorId="0">
      <text>
        <r>
          <rPr>
            <sz val="11"/>
            <color indexed="8"/>
            <rFont val="Helvetica Neue"/>
          </rPr>
          <t>Codex:
Fonte anagrafica: https://www.fantacalcio.it/serie-a/squadre/cagliari/mendy-p/7374/2026-27/italia</t>
        </r>
      </text>
    </comment>
    <comment ref="J98" authorId="0">
      <text>
        <r>
          <rPr>
            <sz val="11"/>
            <color indexed="8"/>
            <rFont val="Helvetica Neue"/>
          </rPr>
          <t>Codex:
Fonte anagrafica: https://www.fantacalcio.it/serie-a/squadre/venezia/lisman/7408/2026-27/italia</t>
        </r>
      </text>
    </comment>
    <comment ref="J99" authorId="0">
      <text>
        <r>
          <rPr>
            <sz val="11"/>
            <color indexed="8"/>
            <rFont val="Helvetica Neue"/>
          </rPr>
          <t>Codex:
Fonte anagrafica: https://www.fantacalcio.it/serie-a/squadre/parma/frigan/7213/2026-27/italia</t>
        </r>
      </text>
    </comment>
    <comment ref="J100" authorId="0">
      <text>
        <r>
          <rPr>
            <sz val="11"/>
            <color indexed="8"/>
            <rFont val="Helvetica Neue"/>
          </rPr>
          <t>Codex:
Fonte anagrafica: https://www.fantacalcio.it/serie-a/squadre/monza/robinson-j/7546/2026-27/italia</t>
        </r>
      </text>
    </comment>
    <comment ref="J101" authorId="0">
      <text>
        <r>
          <rPr>
            <sz val="11"/>
            <color indexed="8"/>
            <rFont val="Helvetica Neue"/>
          </rPr>
          <t>Codex:
Fonte anagrafica: https://www.fantacalcio.it/serie-a/squadre/bologna/karlsson/6459/2025-26/italia</t>
        </r>
      </text>
    </comment>
    <comment ref="J103" authorId="0">
      <text>
        <r>
          <rPr>
            <sz val="11"/>
            <color indexed="8"/>
            <rFont val="Helvetica Neue"/>
          </rPr>
          <t>Codex:
Fonte anagrafica: https://www.fantacalcio.it/serie-a/squadre/parma/diallo-o/7536/2026-27/italia</t>
        </r>
      </text>
    </comment>
    <comment ref="J104" authorId="0">
      <text>
        <r>
          <rPr>
            <sz val="11"/>
            <color indexed="8"/>
            <rFont val="Helvetica Neue"/>
          </rPr>
          <t>Codex:
Fonte anagrafica: https://serieaspelare.se/</t>
        </r>
      </text>
    </comment>
    <comment ref="J105" authorId="0">
      <text>
        <r>
          <rPr>
            <sz val="11"/>
            <color indexed="8"/>
            <rFont val="Helvetica Neue"/>
          </rPr>
          <t>Codex:
Fonte anagrafica: https://www.fantacalcio.it/serie-a/squadre/venezia/lauberbach/7482/2026-27/italia</t>
        </r>
      </text>
    </comment>
    <comment ref="J106" authorId="0">
      <text>
        <r>
          <rPr>
            <sz val="11"/>
            <color indexed="8"/>
            <rFont val="Helvetica Neue"/>
          </rPr>
          <t>Codex:
Fonte anagrafica: https://www.fantacalcio.it/serie-a/squadre/monza/forson-o/6592/2026-27/italia</t>
        </r>
      </text>
    </comment>
    <comment ref="J107" authorId="0">
      <text>
        <r>
          <rPr>
            <sz val="11"/>
            <color indexed="8"/>
            <rFont val="Helvetica Neue"/>
          </rPr>
          <t>Codex:
Fonte anagrafica: https://www.fantacalcio.it/serie-a/squadre/parma/de-martis/7568/2026-27/italia</t>
        </r>
      </text>
    </comment>
    <comment ref="J108" authorId="0">
      <text>
        <r>
          <rPr>
            <sz val="11"/>
            <color indexed="8"/>
            <rFont val="Helvetica Neue"/>
          </rPr>
          <t>Codex:
Fonte anagrafica: https://serieaspelare.se/</t>
        </r>
      </text>
    </comment>
    <comment ref="J109" authorId="0">
      <text>
        <r>
          <rPr>
            <sz val="11"/>
            <color indexed="8"/>
            <rFont val="Helvetica Neue"/>
          </rPr>
          <t>Codex:
Fonte anagrafica: https://serieaspelare.se/</t>
        </r>
      </text>
    </comment>
    <comment ref="J110" authorId="0">
      <text>
        <r>
          <rPr>
            <sz val="11"/>
            <color indexed="8"/>
            <rFont val="Helvetica Neue"/>
          </rPr>
          <t>Codex:
Fonte anagrafica: https://serieaspelare.se/</t>
        </r>
      </text>
    </comment>
    <comment ref="J111" authorId="0">
      <text>
        <r>
          <rPr>
            <sz val="11"/>
            <color indexed="8"/>
            <rFont val="Helvetica Neue"/>
          </rPr>
          <t>Codex:
Fonte anagrafica: https://www.fantacalcio.it/serie-a/squadre/cagliari/trepy/7317/2026-27/italia</t>
        </r>
      </text>
    </comment>
    <comment ref="J112" authorId="0">
      <text>
        <r>
          <rPr>
            <sz val="11"/>
            <color indexed="8"/>
            <rFont val="Helvetica Neue"/>
          </rPr>
          <t>Codex:
Fonte anagrafica: https://serieaspelare.se/</t>
        </r>
      </text>
    </comment>
    <comment ref="J113" authorId="0">
      <text>
        <r>
          <rPr>
            <sz val="11"/>
            <color indexed="8"/>
            <rFont val="Helvetica Neue"/>
          </rPr>
          <t>Codex:
Fonte anagrafica: https://serieaspelare.se/</t>
        </r>
      </text>
    </comment>
    <comment ref="J114" authorId="0">
      <text>
        <r>
          <rPr>
            <sz val="11"/>
            <color indexed="8"/>
            <rFont val="Helvetica Neue"/>
          </rPr>
          <t>Codex:
Fonte anagrafica: https://www.transfermarkt.com/matteo-lavelli/profil/spieler/972475</t>
        </r>
      </text>
    </comment>
    <comment ref="J115" authorId="0">
      <text>
        <r>
          <rPr>
            <sz val="11"/>
            <color indexed="8"/>
            <rFont val="Helvetica Neue"/>
          </rPr>
          <t>Codex:
Fonte anagrafica: https://serieaspelare.se/</t>
        </r>
      </text>
    </comment>
    <comment ref="J116" authorId="0">
      <text>
        <r>
          <rPr>
            <sz val="11"/>
            <color indexed="8"/>
            <rFont val="Helvetica Neue"/>
          </rPr>
          <t>Codex:
Fonte anagrafica: https://www.fantacalcio.it/serie-a/squadre/milan/balentien/7262/2025-26/italia</t>
        </r>
      </text>
    </comment>
    <comment ref="J117" authorId="0">
      <text>
        <r>
          <rPr>
            <sz val="11"/>
            <color indexed="8"/>
            <rFont val="Helvetica Neue"/>
          </rPr>
          <t>Codex:
Fonte anagrafica: https://serieaspelare.se/</t>
        </r>
      </text>
    </comment>
    <comment ref="J118" authorId="0">
      <text>
        <r>
          <rPr>
            <sz val="11"/>
            <color indexed="8"/>
            <rFont val="Helvetica Neue"/>
          </rPr>
          <t>Codex:
Fonte anagrafica: https://serieaspelare.se/</t>
        </r>
      </text>
    </comment>
    <comment ref="J119" authorId="0">
      <text>
        <r>
          <rPr>
            <sz val="11"/>
            <color indexed="8"/>
            <rFont val="Helvetica Neue"/>
          </rPr>
          <t>Codex:
Fonte anagrafica: https://serieaspelare.se/</t>
        </r>
      </text>
    </comment>
    <comment ref="J120" authorId="0">
      <text>
        <r>
          <rPr>
            <sz val="11"/>
            <color indexed="8"/>
            <rFont val="Helvetica Neue"/>
          </rPr>
          <t>Codex:
Fonte anagrafica: https://www.fantacalcio.it/serie-a/squadre/lecce/laerke/7571/2026-27/italia</t>
        </r>
      </text>
    </comment>
    <comment ref="J121" authorId="0">
      <text>
        <r>
          <rPr>
            <sz val="11"/>
            <color indexed="8"/>
            <rFont val="Helvetica Neue"/>
          </rPr>
          <t>Codex:
Fonte anagrafica: https://serieaspelare.se/</t>
        </r>
      </text>
    </comment>
    <comment ref="J122" authorId="0">
      <text>
        <r>
          <rPr>
            <sz val="11"/>
            <color indexed="8"/>
            <rFont val="Helvetica Neue"/>
          </rPr>
          <t>Codex:
Fonte anagrafica: https://www.transfermarkt.com/milos-jovic/profil/spieler/943473</t>
        </r>
      </text>
    </comment>
    <comment ref="J123" authorId="0">
      <text>
        <r>
          <rPr>
            <sz val="11"/>
            <color indexed="8"/>
            <rFont val="Helvetica Neue"/>
          </rPr>
          <t>Codex:
Fonte anagrafica: https://www.transfermarkt.com/mohamed-malang-toure/profil/spieler/1372355</t>
        </r>
      </text>
    </comment>
    <comment ref="J124" authorId="0">
      <text>
        <r>
          <rPr>
            <sz val="11"/>
            <color indexed="8"/>
            <rFont val="Helvetica Neue"/>
          </rPr>
          <t>Codex:
Fonte anagrafica: https://serieaspelare.se/</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<sst xmlns="http://schemas.openxmlformats.org/spreadsheetml/2006/main" uniqueCount="1201">
  <si>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</si>
  <si>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</si>
  <si>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</si>
  <si>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</si>
  <si>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LEGGIMI</t>
  </si>
  <si>
    <t>Tabella 1</t>
  </si>
  <si>
    <t>Guida asta Fantacalcio — Serie A 2026/27</t>
  </si>
  <si>
    <t>Listone Gazzetta + gerarchie e stato fisico aggiornati al 5 settembre 2026</t>
  </si>
  <si>
    <t>Come usarlo</t>
  </si>
  <si>
    <t>Parti dai fogli per ruolo, filtra la fascia e poi usa Score asta, titolarità, tag, rigoristi e stato fisico. La checkbox stretta tra Score asta e Scommessa serve per segnare manualmente i tuoi obiettivi e filtrarli. Le stelline identificano le scommesse: ★ prudente, ★★ interessante, ★★★ forte upside.</t>
  </si>
  <si>
    <t>Perimetro</t>
  </si>
  <si>
    <t>590 calciatori presenti nel listone pubblico Gazzetta 2026/27 consultato il 5 settembre, dopo la chiusura del mercato. Squadre e quotazioni provengono direttamente dal listone aggiornato.</t>
  </si>
  <si>
    <t>Fasce</t>
  </si>
  <si>
    <t>Quattro fasce calcolate separatamente per ruolo: TOP = primo 10%; SEMITOP = fino al 25%; TERZA FASCIA = fino al 50%; QUARTA FASCIA = restante 50%. Lo score privilegia la quotazione Gazzetta e corregge per titolarità, rendimento 2025/26, rigori/punizioni, indicazioni Gazzetta e indisponibilità.</t>
  </si>
  <si>
    <t>Titolarità</t>
  </si>
  <si>
    <t>È un’etichetta, non un numero. “Titolare fisso” = XI tipo Gazzetta e impiego nelle prime due giornate; “Titolare probabile” = XI tipo; “Ballottaggio (Nome)” = testa-a-testa esplicito nelle probabili formazioni della 3ª giornata; gli altri sono rotazione/riserva.</t>
  </si>
  <si>
    <t>Scommesse</t>
  </si>
  <si>
    <t>Le stelline partono dalle sezioni “possibili sorprese” delle schede squadra Gazzetta; completano l'elenco alcuni Under 23 già nell'XI tipo e nuove entrate consigliate. ★★★ richiede anche titolarità e profilo giovane/non-top.</t>
  </si>
  <si>
    <t>Stato fisico</t>
  </si>
  <si>
    <t>“Rischio infortunio” viene usato quando il giocatore risulta attualmente indisponibile nella pagina Gazzetta della 3ª giornata. Quando è indicata una giornata di rientro, aggiungo tra parentesi il mese del calendario Serie A 2026/27, per esempio “Rientro alla 14 (dicembre)”. Non è una previsione medica per l’intera stagione.</t>
  </si>
  <si>
    <t>Dati 26/27</t>
  </si>
  <si>
    <t>Presenze, medie, gol, assist e rigori sono una fotografia dopo due giornate e pesano poco nello score. I dati 2025/26 servono per distinguere garanzie e portatori di bonus.</t>
  </si>
  <si>
    <t>Aggiornamento mercato</t>
  </si>
  <si>
    <t>Il file è stato rigenerato sul listone Gazzetta disponibile il 5 settembre, dopo la chiusura del mercato: i ceduti fuori dalla Serie A sono esclusi e i nuovi inserimenti sono inclusi.</t>
  </si>
  <si>
    <t>Legenda fasce</t>
  </si>
  <si>
    <t>Copertura dati</t>
  </si>
  <si>
    <t>TOP</t>
  </si>
  <si>
    <t>Listone Gazzetta</t>
  </si>
  <si>
    <t>SEMITOP</t>
  </si>
  <si>
    <t>Profili/statistiche abbinati</t>
  </si>
  <si>
    <t>TERZA FASCIA</t>
  </si>
  <si>
    <t>Rose esterne abbinate</t>
  </si>
  <si>
    <t>QUARTA FASCIA</t>
  </si>
  <si>
    <t>Schede squadra Gazzetta</t>
  </si>
  <si>
    <t>Squadre con gerarchie piazzati</t>
  </si>
  <si>
    <t>Indisponibili censiti</t>
  </si>
  <si>
    <t>Ballottaggi espliciti</t>
  </si>
  <si>
    <t>Fonti</t>
  </si>
  <si>
    <t>Listone e quotazioni Gazzetta</t>
  </si>
  <si>
    <r>
      <rPr>
        <sz val="12"/>
        <color indexed="11"/>
        <rFont val="Arial"/>
      </rPr>
      <t>https://www.gazzetta.it/calcio/fantanews/lista-giocatori-fantacalcio-serie-a-2026-27/</t>
    </r>
  </si>
  <si>
    <t>Ufficiale; consultato 05/09/2026</t>
  </si>
  <si>
    <t>Schede squadre Gazzetta</t>
  </si>
  <si>
    <r>
      <rPr>
        <sz val="12"/>
        <color indexed="11"/>
        <rFont val="Arial"/>
      </rPr>
      <t>https://www.gazzetta.it/calcio/fantanews/05-08-2026/fantacalcio-2026-27-titolari-rigoristi-formazioni-squadre-serie-a.shtml</t>
    </r>
  </si>
  <si>
    <t>XI tipo, consigli e sorprese; consultate 05/09/2026</t>
  </si>
  <si>
    <t>Probabili formazioni Gazzetta</t>
  </si>
  <si>
    <r>
      <rPr>
        <sz val="12"/>
        <color indexed="11"/>
        <rFont val="Arial"/>
      </rPr>
      <t>https://www.gazzetta.it/Calcio/prob_form/</t>
    </r>
  </si>
  <si>
    <t>Ballottaggi della 3ª giornata; aggiornati 05/09/2026</t>
  </si>
  <si>
    <t>Rigoristi e punizioni Gazzetta</t>
  </si>
  <si>
    <r>
      <rPr>
        <sz val="12"/>
        <color indexed="11"/>
        <rFont val="Arial"/>
      </rPr>
      <t>https://www.gazzetta.it/calcio/fantanews/strumenti-fantacalcio/rigoristi/17-08-2026/rigoristi-serie-a-fantacalcio-tiratori-calci-da-fermo-punizioni.shtml</t>
    </r>
  </si>
  <si>
    <t>Gerarchie; consultate 05/09/2026</t>
  </si>
  <si>
    <t>Indisponibili Gazzetta</t>
  </si>
  <si>
    <r>
      <rPr>
        <sz val="12"/>
        <color indexed="11"/>
        <rFont val="Arial"/>
      </rPr>
      <t>https://www.gazzetta.it/calcio/fantanews/strumenti-fantacalcio/indisponibili/lista/</t>
    </r>
  </si>
  <si>
    <t>Stato 3ª giornata; consultato 05/09/2026</t>
  </si>
  <si>
    <t>Statistiche Fantacalcio.it</t>
  </si>
  <si>
    <r>
      <rPr>
        <sz val="12"/>
        <color indexed="11"/>
        <rFont val="Arial"/>
      </rPr>
      <t>https://www.fantacalcio.it/statistiche-serie-a/2026-27/italia</t>
    </r>
  </si>
  <si>
    <t>Anagrafica e dati 2026/27; consultati 05/09/2026</t>
  </si>
  <si>
    <t>Statistiche 2025/26</t>
  </si>
  <si>
    <r>
      <rPr>
        <sz val="12"/>
        <color indexed="11"/>
        <rFont val="Arial"/>
      </rPr>
      <t>https://www.fantacalcio.it/statistiche-serie-a/2025-26/italia</t>
    </r>
  </si>
  <si>
    <t>Storico rendimento; consultato 05/09/2026</t>
  </si>
  <si>
    <t>Rose e anagrafiche di controllo</t>
  </si>
  <si>
    <r>
      <rPr>
        <sz val="12"/>
        <color indexed="11"/>
        <rFont val="Arial"/>
      </rPr>
      <t>https://serieaspelare.se/</t>
    </r>
  </si>
  <si>
    <t>Controllo incrociato; consultato 05/09/2026</t>
  </si>
  <si>
    <t>Anagrafiche residue</t>
  </si>
  <si>
    <r>
      <rPr>
        <sz val="12"/>
        <color indexed="11"/>
        <rFont val="Arial"/>
      </rPr>
      <t>https://www.transfermarkt.com/</t>
    </r>
  </si>
  <si>
    <t>Usato solo per i nomi non coperti dalle fonti precedenti</t>
  </si>
  <si>
    <t>Calendario Serie A 2026/27</t>
  </si>
  <si>
    <r>
      <rPr>
        <sz val="12"/>
        <color indexed="11"/>
        <rFont val="Calibri"/>
      </rPr>
      <t>https://www.legaseriea.it/serie-a/news/calendario-della-serie-a-enilive-2026-27</t>
    </r>
  </si>
  <si>
    <t>Mese associato alla giornata di rientro</t>
  </si>
  <si>
    <t>Riepilogo</t>
  </si>
  <si>
    <t>Riepilogo asta</t>
  </si>
  <si>
    <t>Conteggi automatici per ruolo e fascia; usa i filtri nei fogli giocatori per la selezione finale</t>
  </si>
  <si>
    <t>Ruolo</t>
  </si>
  <si>
    <t>Totale</t>
  </si>
  <si>
    <t>Titolari</t>
  </si>
  <si>
    <t>Indisponibili</t>
  </si>
  <si>
    <t>Portieri</t>
  </si>
  <si>
    <t>Difensori</t>
  </si>
  <si>
    <t>Centrocampisti</t>
  </si>
  <si>
    <t>Attaccanti</t>
  </si>
  <si>
    <t>TOTALE</t>
  </si>
  <si>
    <t>Lettura rapida</t>
  </si>
  <si>
    <t>• Score asta: indice 0–100, utile per ordinare; non è un prezzo d'acquisto.</t>
  </si>
  <si>
    <t>• Quotazione Gazzetta: valore ufficiale del listone pubblico consultato il 5 settembre.</t>
  </si>
  <si>
    <t>• Squadra attuale: controllo post-mercato aggiornato per orientarsi sulle rose definitive.</t>
  </si>
  <si>
    <t>• Infortuni: nei fogli per ruolo filtra la colonna “Stato fisico / rientro” ed escludi le celle vuote. Controlla sempre la data di rientro prima dell’asta.</t>
  </si>
  <si>
    <t>Tutti i giocatori</t>
  </si>
  <si>
    <t>590 nomi del listone Gazzetta 2026/27 — ordinati per ruolo, fascia e score</t>
  </si>
  <si>
    <t>Fascia</t>
  </si>
  <si>
    <t>Score asta</t>
  </si>
  <si>
    <t>✓</t>
  </si>
  <si>
    <t>Scommessa</t>
  </si>
  <si>
    <t>Nome</t>
  </si>
  <si>
    <t>Squadra attuale</t>
  </si>
  <si>
    <t>Quotazione Gazzetta</t>
  </si>
  <si>
    <t>Tag</t>
  </si>
  <si>
    <t>Età</t>
  </si>
  <si>
    <t>Nazionalità</t>
  </si>
  <si>
    <t>Piede</t>
  </si>
  <si>
    <t>Rigorista</t>
  </si>
  <si>
    <t>Punizioni</t>
  </si>
  <si>
    <t>Stato fisico / rientro</t>
  </si>
  <si>
    <t>PG 26/27</t>
  </si>
  <si>
    <t>MV 26/27</t>
  </si>
  <si>
    <t>FM 26/27</t>
  </si>
  <si>
    <t>Gol 26/27</t>
  </si>
  <si>
    <t>Assist 26/27</t>
  </si>
  <si>
    <t>Rigori 26/27</t>
  </si>
  <si>
    <t>PG 25/26</t>
  </si>
  <si>
    <t>MV 25/26</t>
  </si>
  <si>
    <t>FM 25/26</t>
  </si>
  <si>
    <t>Gol 25/26</t>
  </si>
  <si>
    <t>Assist 25/26</t>
  </si>
  <si>
    <t>Rigori 25/26</t>
  </si>
  <si>
    <t>Scheda Gazzetta</t>
  </si>
  <si>
    <t>Scheda statistiche</t>
  </si>
  <si>
    <t>Fonte gerarchie</t>
  </si>
  <si>
    <t>Svilar M.</t>
  </si>
  <si>
    <t>Roma</t>
  </si>
  <si>
    <t>Titolare fisso</t>
  </si>
  <si>
    <t>Titolare fisso · Consigliato Gazzetta · Garanzia voto</t>
  </si>
  <si>
    <t>Serbia, Belgio</t>
  </si>
  <si>
    <t>Dx</t>
  </si>
  <si>
    <t>0/0</t>
  </si>
  <si>
    <r>
      <rPr>
        <sz val="9"/>
        <color indexed="17"/>
        <rFont val="Arial"/>
      </rPr>
      <t>0/0</t>
    </r>
  </si>
  <si>
    <r>
      <rPr>
        <sz val="9"/>
        <color indexed="17"/>
        <rFont val="Arial"/>
      </rPr>
      <t>Apri</t>
    </r>
  </si>
  <si>
    <t>Apri</t>
  </si>
  <si>
    <t>Carnesecchi M.</t>
  </si>
  <si>
    <t>Atalanta</t>
  </si>
  <si>
    <t>Italia</t>
  </si>
  <si>
    <t>Maignan M.</t>
  </si>
  <si>
    <t>Milan</t>
  </si>
  <si>
    <t>Titolare fisso · Garanzia voto</t>
  </si>
  <si>
    <t>Francia, Guyana Francese</t>
  </si>
  <si>
    <t>Martinez J.</t>
  </si>
  <si>
    <t>Inter</t>
  </si>
  <si>
    <t>Titolare fisso · Consigliato Gazzetta</t>
  </si>
  <si>
    <t>Spagna</t>
  </si>
  <si>
    <t>Vicario G.</t>
  </si>
  <si>
    <t>Juventus</t>
  </si>
  <si>
    <t>Titolare fisso · Consigliato Gazzetta · Novità / ritorno in A</t>
  </si>
  <si>
    <t>Butez J.</t>
  </si>
  <si>
    <t>Como</t>
  </si>
  <si>
    <t>Francia</t>
  </si>
  <si>
    <t>Skorupski L.</t>
  </si>
  <si>
    <t>Bologna</t>
  </si>
  <si>
    <t>Polonia</t>
  </si>
  <si>
    <t>Caprile E.</t>
  </si>
  <si>
    <t>Cagliari</t>
  </si>
  <si>
    <t>Mandas C.</t>
  </si>
  <si>
    <t>Lazio</t>
  </si>
  <si>
    <t>Titolare fisso · Novità / ritorno in A</t>
  </si>
  <si>
    <t>Grecia</t>
  </si>
  <si>
    <t>Meret A.</t>
  </si>
  <si>
    <t>Napoli</t>
  </si>
  <si>
    <t>Sx</t>
  </si>
  <si>
    <t>Bijlow J.</t>
  </si>
  <si>
    <t>Genoa</t>
  </si>
  <si>
    <t>Olanda</t>
  </si>
  <si>
    <t>Okoye M.</t>
  </si>
  <si>
    <t>Udinese</t>
  </si>
  <si>
    <t>Nigeria, Germania</t>
  </si>
  <si>
    <t>★★</t>
  </si>
  <si>
    <t>Perri L.</t>
  </si>
  <si>
    <t>Torino</t>
  </si>
  <si>
    <t>Titolare probabile</t>
  </si>
  <si>
    <t>Titolare probabile · Scommessa Gazzetta · Novità / ritorno in A</t>
  </si>
  <si>
    <t>Brasile, Italia</t>
  </si>
  <si>
    <t>Falcone W.</t>
  </si>
  <si>
    <t>Lecce</t>
  </si>
  <si>
    <t>De Gea D.</t>
  </si>
  <si>
    <t>Fiorentina</t>
  </si>
  <si>
    <t>Muric A.</t>
  </si>
  <si>
    <t>Sassuolo</t>
  </si>
  <si>
    <t>Kosovo, Montenegro</t>
  </si>
  <si>
    <t>Milinkovic Savic V.</t>
  </si>
  <si>
    <t>Rotazione / riserva</t>
  </si>
  <si>
    <t>Rotazione / riserva · Consigliato Gazzetta</t>
  </si>
  <si>
    <t>Serbia, Spagna</t>
  </si>
  <si>
    <t>★★★</t>
  </si>
  <si>
    <t>Palmisani L.</t>
  </si>
  <si>
    <t>Frosinone</t>
  </si>
  <si>
    <t>Titolare fisso · Scommessa Gazzetta · Under 23 · Novità / ritorno in A</t>
  </si>
  <si>
    <t>Stankovic F.</t>
  </si>
  <si>
    <t>Venezia</t>
  </si>
  <si>
    <t>Serbia</t>
  </si>
  <si>
    <t>Paleari A.</t>
  </si>
  <si>
    <t>Thiam D.</t>
  </si>
  <si>
    <t>Monza</t>
  </si>
  <si>
    <t>Ballottaggio (Tornqvist N.)</t>
  </si>
  <si>
    <t>Ballottaggio (Tornqvist N.) · Novità / ritorno in A</t>
  </si>
  <si>
    <t>Senegal</t>
  </si>
  <si>
    <t>★</t>
  </si>
  <si>
    <t>Daffara G.</t>
  </si>
  <si>
    <t>Parma</t>
  </si>
  <si>
    <t>Titolare probabile · Under 23</t>
  </si>
  <si>
    <t>Tornqvist N.</t>
  </si>
  <si>
    <t>Ballottaggio (Thiam D.)</t>
  </si>
  <si>
    <t>Svezia</t>
  </si>
  <si>
    <t>Corvi E.</t>
  </si>
  <si>
    <t>Montipo L.</t>
  </si>
  <si>
    <t>Rotazione / riserva · Garanzia voto</t>
  </si>
  <si>
    <t>Provedel I.</t>
  </si>
  <si>
    <t>Mazzocchi A.</t>
  </si>
  <si>
    <t>Rotazione / riserva · Under 23</t>
  </si>
  <si>
    <t>Italien</t>
  </si>
  <si>
    <t>Christensen O.</t>
  </si>
  <si>
    <t>Danimarca</t>
  </si>
  <si>
    <t>Terracciano P.</t>
  </si>
  <si>
    <t>Mascardi D.</t>
  </si>
  <si>
    <t>Motta E.</t>
  </si>
  <si>
    <t>Pessina M.</t>
  </si>
  <si>
    <t>Turati S.</t>
  </si>
  <si>
    <t>Padelli D.</t>
  </si>
  <si>
    <t>Furlanetto A.</t>
  </si>
  <si>
    <t>Sommariva D.</t>
  </si>
  <si>
    <t>Sportiello M.</t>
  </si>
  <si>
    <t>Di Gennaro R.</t>
  </si>
  <si>
    <t>Desplanches S.</t>
  </si>
  <si>
    <t>Rotazione / riserva · Scommessa Gazzetta</t>
  </si>
  <si>
    <t>Italia, Francia</t>
  </si>
  <si>
    <t>Sherri A.</t>
  </si>
  <si>
    <t>Albania</t>
  </si>
  <si>
    <t>Pozzi A.</t>
  </si>
  <si>
    <t>Strajnar A.</t>
  </si>
  <si>
    <t>Slovenia</t>
  </si>
  <si>
    <t>Mrozek B.</t>
  </si>
  <si>
    <t>Radunovic B.</t>
  </si>
  <si>
    <t>Pinsoglio C.</t>
  </si>
  <si>
    <t>Renzetti D.</t>
  </si>
  <si>
    <t>Vasquez D.</t>
  </si>
  <si>
    <t>Colombia</t>
  </si>
  <si>
    <t>Piana E.</t>
  </si>
  <si>
    <t>Lolic E.</t>
  </si>
  <si>
    <t>Bosnia Erzegovina, Francia</t>
  </si>
  <si>
    <t>Rossi F.</t>
  </si>
  <si>
    <t>Stolz F.</t>
  </si>
  <si>
    <t>Austria</t>
  </si>
  <si>
    <t>Satalino G.</t>
  </si>
  <si>
    <t>De Marzi G.</t>
  </si>
  <si>
    <t>Stati Uniti, Italia</t>
  </si>
  <si>
    <t>Grabara K.</t>
  </si>
  <si>
    <t>Siviero L.</t>
  </si>
  <si>
    <t>Torriani L.</t>
  </si>
  <si>
    <t>Lezzerini L.</t>
  </si>
  <si>
    <t>Bleve M.</t>
  </si>
  <si>
    <t>Grandi M.</t>
  </si>
  <si>
    <t>Pisseri M.</t>
  </si>
  <si>
    <t>Pittarella M.</t>
  </si>
  <si>
    <t>Vigorito M.</t>
  </si>
  <si>
    <t>Contini N.</t>
  </si>
  <si>
    <t>Italia, Ucraina</t>
  </si>
  <si>
    <t>Gollini P.</t>
  </si>
  <si>
    <t>Pardel P.</t>
  </si>
  <si>
    <t>Poland</t>
  </si>
  <si>
    <t>Penev P.</t>
  </si>
  <si>
    <t>Bulgaria</t>
  </si>
  <si>
    <t>Radu R.</t>
  </si>
  <si>
    <t>Romania</t>
  </si>
  <si>
    <t>right</t>
  </si>
  <si>
    <t>Sanchez R.</t>
  </si>
  <si>
    <t>Spagna, Inghilterra</t>
  </si>
  <si>
    <t>Ghidotti S.</t>
  </si>
  <si>
    <t>Pompei T.</t>
  </si>
  <si>
    <t>Happonen U.</t>
  </si>
  <si>
    <t>Finlandia</t>
  </si>
  <si>
    <t>Israel F.</t>
  </si>
  <si>
    <t>Rotazione / riserva · Rischio infortunio · Indisponibile ora</t>
  </si>
  <si>
    <t>Uruguay</t>
  </si>
  <si>
    <t>Da valutare</t>
  </si>
  <si>
    <t>Dimarco F.</t>
  </si>
  <si>
    <t>Ballottaggio (Carlos Augusto)</t>
  </si>
  <si>
    <t>Ballottaggio (Carlos Augusto) · Calci piazzati · Consigliato Gazzetta · Garanzia voto · Portatore di bonus</t>
  </si>
  <si>
    <t>2°</t>
  </si>
  <si>
    <t>Mancini G.</t>
  </si>
  <si>
    <t>Titolare fisso · Consigliato Gazzetta · Scommessa Gazzetta · Garanzia voto · Portatore di bonus</t>
  </si>
  <si>
    <t>Bremer</t>
  </si>
  <si>
    <t>Titolare fisso · Consigliato Gazzetta · Portatore di bonus</t>
  </si>
  <si>
    <t>Brasile</t>
  </si>
  <si>
    <t>Wesley</t>
  </si>
  <si>
    <t>Titolare fisso · Consigliato Gazzetta · Under 23 · Garanzia voto · Portatore di bonus</t>
  </si>
  <si>
    <t>Bastoni A.</t>
  </si>
  <si>
    <t>Zappacosta D.</t>
  </si>
  <si>
    <t>Ndicka E.</t>
  </si>
  <si>
    <t>Ballottaggio (Ghilardi D.)</t>
  </si>
  <si>
    <t>Ballottaggio (Ghilardi D.) · Consigliato Gazzetta · Scommessa Gazzetta · Garanzia voto</t>
  </si>
  <si>
    <t>Francia, Camerun</t>
  </si>
  <si>
    <t>Kalulu P.</t>
  </si>
  <si>
    <t>Titolare fisso · Consigliato Gazzetta · Garanzia voto · Portatore di bonus</t>
  </si>
  <si>
    <t>Francia, Repubblica Democratica del Congo</t>
  </si>
  <si>
    <t>Solet O.</t>
  </si>
  <si>
    <t>Francia, Repubblica Centrafricana</t>
  </si>
  <si>
    <r>
      <rPr>
        <sz val="9"/>
        <color indexed="17"/>
        <rFont val="Arial"/>
      </rPr>
      <t>1/1</t>
    </r>
  </si>
  <si>
    <t>Pavlovic S.</t>
  </si>
  <si>
    <t>Titolare fisso · Scommessa Gazzetta · Garanzia voto · Portatore di bonus</t>
  </si>
  <si>
    <t>Di Lorenzo G.</t>
  </si>
  <si>
    <t>Akanji M.</t>
  </si>
  <si>
    <t>Ballottaggio (Stones J.)</t>
  </si>
  <si>
    <t>Ballottaggio (Stones J.) · Consigliato Gazzetta · Garanzia voto</t>
  </si>
  <si>
    <t>Svizzera, Nigeria</t>
  </si>
  <si>
    <t>Hermoso M.</t>
  </si>
  <si>
    <t>Titolare fisso · Consigliato Gazzetta · Scommessa Gazzetta · Portatore di bonus</t>
  </si>
  <si>
    <t>Stones J.</t>
  </si>
  <si>
    <t>Ballottaggio (Akanji M.)</t>
  </si>
  <si>
    <t>Ballottaggio (Akanji M.) · Consigliato Gazzetta · Novità / ritorno in A</t>
  </si>
  <si>
    <t>Inghilterra</t>
  </si>
  <si>
    <t>Spinazzola L.</t>
  </si>
  <si>
    <t>Titolare fisso · Garanzia voto · Portatore di bonus</t>
  </si>
  <si>
    <t>Scalvini G.</t>
  </si>
  <si>
    <t>Titolare fisso · Under 23</t>
  </si>
  <si>
    <t>Cambiaso A.</t>
  </si>
  <si>
    <t>Titolare probabile · Calci piazzati · Consigliato Gazzetta · Portatore di bonus · Rischio infortunio · Indisponibile ora</t>
  </si>
  <si>
    <t>3°</t>
  </si>
  <si>
    <t>Ostigard L.</t>
  </si>
  <si>
    <t>Norvegia</t>
  </si>
  <si>
    <t>Molina N.</t>
  </si>
  <si>
    <t>Titolare probabile · Consigliato Gazzetta · Novità / ritorno in A</t>
  </si>
  <si>
    <t>Argentina</t>
  </si>
  <si>
    <t>Gila M.</t>
  </si>
  <si>
    <t>Ramon J.</t>
  </si>
  <si>
    <t>Titolare fisso · Under 23 · Garanzia voto</t>
  </si>
  <si>
    <t>Comuzzo P.</t>
  </si>
  <si>
    <t>Titolare fisso · Consigliato Gazzetta · Under 23</t>
  </si>
  <si>
    <t>Gabriel T.</t>
  </si>
  <si>
    <t>Ballottaggio (Siebert J.)</t>
  </si>
  <si>
    <t>Ballottaggio (Siebert J.) · Consigliato Gazzetta · Under 23 · Garanzia voto</t>
  </si>
  <si>
    <t>Portogallo</t>
  </si>
  <si>
    <t>Rrahmani A.</t>
  </si>
  <si>
    <t>Kosovo, Albania</t>
  </si>
  <si>
    <t>Ambidestro</t>
  </si>
  <si>
    <t>Miranda J.</t>
  </si>
  <si>
    <t>Titolare probabile · Calci piazzati · Scommessa Gazzetta · Garanzia voto</t>
  </si>
  <si>
    <t>Valeri E.</t>
  </si>
  <si>
    <t>Titolare fisso · Calci piazzati · Consigliato Gazzetta · Garanzia voto</t>
  </si>
  <si>
    <t>Kamara H.</t>
  </si>
  <si>
    <t>Francia, Gambia</t>
  </si>
  <si>
    <t>Vasquez J.</t>
  </si>
  <si>
    <t>Messico</t>
  </si>
  <si>
    <t>Chalobah T.</t>
  </si>
  <si>
    <t>Inghilterra, Sierra Leone</t>
  </si>
  <si>
    <t>Bisseck Y.</t>
  </si>
  <si>
    <t>Ballottaggio (Pavard B.)</t>
  </si>
  <si>
    <t>Ballottaggio (Pavard B.) · Portatore di bonus</t>
  </si>
  <si>
    <t>Germania, Camerun</t>
  </si>
  <si>
    <t>Spence D.</t>
  </si>
  <si>
    <t>Inghilterra, Giamaica</t>
  </si>
  <si>
    <t>Holm E.</t>
  </si>
  <si>
    <t>Titolare fisso · Portatore di bonus</t>
  </si>
  <si>
    <t>Dodo</t>
  </si>
  <si>
    <t>Rotazione / riserva · Consigliato Gazzetta · Garanzia voto</t>
  </si>
  <si>
    <t>Gallo A.</t>
  </si>
  <si>
    <t>Titolare probabile · Garanzia voto</t>
  </si>
  <si>
    <t>Valle A.</t>
  </si>
  <si>
    <t>Ballottaggio (Kaiki B.)</t>
  </si>
  <si>
    <t>Ballottaggio (Kaiki B.) · Under 23</t>
  </si>
  <si>
    <t>Kempf M.</t>
  </si>
  <si>
    <t>Rotazione / riserva · Garanzia voto · Portatore di bonus</t>
  </si>
  <si>
    <t>Germania</t>
  </si>
  <si>
    <t>Delprato E.</t>
  </si>
  <si>
    <t>Lucumi J.</t>
  </si>
  <si>
    <t>Ballottaggio (Kelly L.)</t>
  </si>
  <si>
    <t>Couto Y.</t>
  </si>
  <si>
    <t>Ballottaggio (Smolcic I.)</t>
  </si>
  <si>
    <t>Ballottaggio (Smolcic I.) · Scommessa Gazzetta · Novità / ritorno in A</t>
  </si>
  <si>
    <t>Mina Y.</t>
  </si>
  <si>
    <t>Titolare probabile · Consigliato Gazzetta</t>
  </si>
  <si>
    <t>Belghali R.</t>
  </si>
  <si>
    <t>Algeria, Belgio</t>
  </si>
  <si>
    <t>Kelly L.</t>
  </si>
  <si>
    <t>Ballottaggio (Lucumi J.)</t>
  </si>
  <si>
    <t>Ballottaggio (Lucumi J.) · Garanzia voto</t>
  </si>
  <si>
    <t>Bernasconi L.</t>
  </si>
  <si>
    <t>Titolare probabile · Scommessa Gazzetta · Under 23</t>
  </si>
  <si>
    <t>Jimenez A.</t>
  </si>
  <si>
    <t>Ballottaggio (Joao Mario)</t>
  </si>
  <si>
    <t>Ballottaggio (Joao Mario) · Scommessa Gazzetta · Under 23</t>
  </si>
  <si>
    <t>Gabbia M.</t>
  </si>
  <si>
    <t>Titolare probabile · Rischio infortunio · Indisponibile ora</t>
  </si>
  <si>
    <t>Rientro alla 5 (settembre)</t>
  </si>
  <si>
    <t>Marusic A.</t>
  </si>
  <si>
    <t>Montenegro, Serbia</t>
  </si>
  <si>
    <t>Rientro alla 6 (ottobre)</t>
  </si>
  <si>
    <t>Carlos Augusto</t>
  </si>
  <si>
    <t>Ballottaggio (Dimarco F.)</t>
  </si>
  <si>
    <t>Ballottaggio (Dimarco F.) · Scommessa Gazzetta</t>
  </si>
  <si>
    <t>Carlos D.</t>
  </si>
  <si>
    <t>Bellanova R.</t>
  </si>
  <si>
    <t>Vojvoda M.</t>
  </si>
  <si>
    <t>Kosovo, Belgio</t>
  </si>
  <si>
    <t>Kristensen T.</t>
  </si>
  <si>
    <t>Pavard B.</t>
  </si>
  <si>
    <t>Ballottaggio (Bisseck Y.)</t>
  </si>
  <si>
    <t>Ballottaggio (Bisseck Y.) · Scommessa Gazzetta</t>
  </si>
  <si>
    <t>Bartesaghi D.</t>
  </si>
  <si>
    <t>Rotazione / riserva · Under 23 · Garanzia voto</t>
  </si>
  <si>
    <t>Sutalo J.</t>
  </si>
  <si>
    <t>Croazia</t>
  </si>
  <si>
    <t>Theate A.</t>
  </si>
  <si>
    <t>Ballottaggio (Helland E.)</t>
  </si>
  <si>
    <t>Ballottaggio (Helland E.) · Novità / ritorno in A</t>
  </si>
  <si>
    <t>Belgio</t>
  </si>
  <si>
    <t>Badiashile B.</t>
  </si>
  <si>
    <t>Titolare probabile · Novità / ritorno in A</t>
  </si>
  <si>
    <t>Pedraza A.</t>
  </si>
  <si>
    <t>Coco S.</t>
  </si>
  <si>
    <t>Guinea Equatoriale, Spagna</t>
  </si>
  <si>
    <t>Obert A.</t>
  </si>
  <si>
    <t>Slovacchia</t>
  </si>
  <si>
    <t>Balerdi L.</t>
  </si>
  <si>
    <t>Rotazione / riserva · Scommessa Gazzetta · Novità / ritorno in A</t>
  </si>
  <si>
    <t>Hien I.</t>
  </si>
  <si>
    <t>Svezia, Burkina Faso</t>
  </si>
  <si>
    <t>Celik Z.</t>
  </si>
  <si>
    <t>Turchia</t>
  </si>
  <si>
    <t>Provstgaard O.</t>
  </si>
  <si>
    <t>Doekhi D.</t>
  </si>
  <si>
    <t>Rotazione / riserva · Consigliato Gazzetta · Novità / ritorno in A</t>
  </si>
  <si>
    <t>Olanda, Suriname</t>
  </si>
  <si>
    <t>Ismajli A.</t>
  </si>
  <si>
    <t>Albania, Kosovo</t>
  </si>
  <si>
    <t>Veiga D.</t>
  </si>
  <si>
    <t>Portogallo, Brasile</t>
  </si>
  <si>
    <t>Valdepenas V.</t>
  </si>
  <si>
    <t>Titolare probabile · Scommessa Gazzetta · Under 23 · Novità / ritorno in A</t>
  </si>
  <si>
    <t>Dragusin R.</t>
  </si>
  <si>
    <t>Terzic A.</t>
  </si>
  <si>
    <t>Ballottaggio (Bracaglia G.)</t>
  </si>
  <si>
    <t>Ballottaggio (Bracaglia G.) · Novità / ritorno in A</t>
  </si>
  <si>
    <t>Tomori F.</t>
  </si>
  <si>
    <t>Inghilterra, Canada</t>
  </si>
  <si>
    <t>Nuno Tavares</t>
  </si>
  <si>
    <t>Portogallo, Capo Verde</t>
  </si>
  <si>
    <t>Troilo M.</t>
  </si>
  <si>
    <t>Titolare fisso · Scommessa Gazzetta</t>
  </si>
  <si>
    <t>Zortea N.</t>
  </si>
  <si>
    <t>Kabasele C.</t>
  </si>
  <si>
    <t>Belgio, Repubblica Democratica del Congo</t>
  </si>
  <si>
    <t>Marcandalli A.</t>
  </si>
  <si>
    <t>Italia, Nigeria</t>
  </si>
  <si>
    <t>Smolcic I.</t>
  </si>
  <si>
    <t>Ballottaggio (Couto Y.)</t>
  </si>
  <si>
    <t>Ze Pedro</t>
  </si>
  <si>
    <t>Rodriguez J.</t>
  </si>
  <si>
    <t>Ranieri L.</t>
  </si>
  <si>
    <t>Ballottaggio (Pongracic M.)</t>
  </si>
  <si>
    <t>Sugawara Y.</t>
  </si>
  <si>
    <t>Rotazione / riserva · Novità / ritorno in A</t>
  </si>
  <si>
    <t>Giappone</t>
  </si>
  <si>
    <t>Gatti F.</t>
  </si>
  <si>
    <t>Obrador R.</t>
  </si>
  <si>
    <t>Buongiorno A.</t>
  </si>
  <si>
    <t>Rotazione / riserva · Rischio infortunio · Indisponibile ora · Rientro lungo</t>
  </si>
  <si>
    <t>Rientro alla 11 (novembre)</t>
  </si>
  <si>
    <t>Ghilardi D.</t>
  </si>
  <si>
    <t>Ballottaggio (Ndicka E.)</t>
  </si>
  <si>
    <t>Monterisi I.</t>
  </si>
  <si>
    <t>Rensch D.</t>
  </si>
  <si>
    <t>Rotazione / riserva · Portatore di bonus</t>
  </si>
  <si>
    <t>Jesus J.</t>
  </si>
  <si>
    <t>De Winter K.</t>
  </si>
  <si>
    <t>Kaiki B.</t>
  </si>
  <si>
    <t>Ballottaggio (Valle A.)</t>
  </si>
  <si>
    <t>Ballottaggio (Valle A.) · Scommessa Gazzetta · Novità / ritorno in A</t>
  </si>
  <si>
    <t>Pongracic M.</t>
  </si>
  <si>
    <t>Ballottaggio (Ranieri L.)</t>
  </si>
  <si>
    <t>Croazia, Germania</t>
  </si>
  <si>
    <t>Kossounou O.</t>
  </si>
  <si>
    <t>Costa d'Avorio</t>
  </si>
  <si>
    <t>Mangas R.</t>
  </si>
  <si>
    <t>Titolare fisso · Scommessa Gazzetta · Novità / ritorno in A</t>
  </si>
  <si>
    <t>Correia T.</t>
  </si>
  <si>
    <t>Ballottaggio (Haps R.)</t>
  </si>
  <si>
    <t>Ballottaggio (Haps R.) · Scommessa Gazzetta · Novità / ritorno in A</t>
  </si>
  <si>
    <t>Birindelli S.</t>
  </si>
  <si>
    <t>Olivera M.</t>
  </si>
  <si>
    <t>Uruguay, Spagna</t>
  </si>
  <si>
    <t>Drameh C.</t>
  </si>
  <si>
    <t>Inghilterra, Gambia</t>
  </si>
  <si>
    <t>Beukema S.</t>
  </si>
  <si>
    <t>Ballottaggio (Marin R.)</t>
  </si>
  <si>
    <t>Heggem T.</t>
  </si>
  <si>
    <t>Parisi F.</t>
  </si>
  <si>
    <t>Rientro alla 13 (novembre)</t>
  </si>
  <si>
    <t>Van Der Brempt I.</t>
  </si>
  <si>
    <t>Doig J.</t>
  </si>
  <si>
    <t>Scozia</t>
  </si>
  <si>
    <t>Viery F.</t>
  </si>
  <si>
    <t>Titolare probabile · Under 23 · Novità / ritorno in A</t>
  </si>
  <si>
    <t>Fortini N.</t>
  </si>
  <si>
    <t>Carboni A.</t>
  </si>
  <si>
    <t>Koulierakis K.</t>
  </si>
  <si>
    <t>Rotazione / riserva · Scommessa Gazzetta · Under 23 · Novità / ritorno in A</t>
  </si>
  <si>
    <t>Caleta-car D.</t>
  </si>
  <si>
    <t>Kambwala W.</t>
  </si>
  <si>
    <t>Rotazione / riserva · Under 23 · Novità / ritorno in A</t>
  </si>
  <si>
    <t>Schingtienne J.</t>
  </si>
  <si>
    <t>Oyono A.</t>
  </si>
  <si>
    <t>Gabon, Francia</t>
  </si>
  <si>
    <t>Haps R.</t>
  </si>
  <si>
    <t>Ballottaggio (Correia T.)</t>
  </si>
  <si>
    <t>Ballottaggio (Correia T.) · Novità / ritorno in A</t>
  </si>
  <si>
    <t>Suriname, Olanda</t>
  </si>
  <si>
    <t>Leysen F.</t>
  </si>
  <si>
    <t>Aurelio G.</t>
  </si>
  <si>
    <t>Patterson N.</t>
  </si>
  <si>
    <t>Ballottaggio (Cacciamani A.)</t>
  </si>
  <si>
    <t>Ballottaggio (Cacciamani A.) · Novità / ritorno in A</t>
  </si>
  <si>
    <t>Bella-kotchap A.</t>
  </si>
  <si>
    <t>Kolasinac S.</t>
  </si>
  <si>
    <t>Bosnia Erzegovina, Germania</t>
  </si>
  <si>
    <t>Sabelli S.</t>
  </si>
  <si>
    <t>Bracaglia G.</t>
  </si>
  <si>
    <t>Ballottaggio (Terzic A.)</t>
  </si>
  <si>
    <t>Ballottaggio (Terzic A.) · Novità / ritorno in A</t>
  </si>
  <si>
    <t>Calvani G.</t>
  </si>
  <si>
    <t>Walukiewicz S.</t>
  </si>
  <si>
    <t>Vitik M.</t>
  </si>
  <si>
    <t>Repubblica Ceca</t>
  </si>
  <si>
    <t>Bertola N.</t>
  </si>
  <si>
    <t>Comert E.</t>
  </si>
  <si>
    <t>Svizzera, Turchia</t>
  </si>
  <si>
    <t>Goglichidze S.</t>
  </si>
  <si>
    <t>Ballottaggio (Kouadio E.)</t>
  </si>
  <si>
    <t>Ballottaggio (Kouadio E.) · Under 23</t>
  </si>
  <si>
    <t>Georgia</t>
  </si>
  <si>
    <t>Cabal J.</t>
  </si>
  <si>
    <t>Rientro alla 7 (ottobre)</t>
  </si>
  <si>
    <t>Mario J.</t>
  </si>
  <si>
    <t>Idzes J.</t>
  </si>
  <si>
    <t>Titolare probabile · Scommessa Gazzetta · Garanzia voto</t>
  </si>
  <si>
    <t>Indonesia, Olanda</t>
  </si>
  <si>
    <t>Marin R.</t>
  </si>
  <si>
    <t>Ballottaggio (Beukema S.)</t>
  </si>
  <si>
    <t>Ballottaggio (Beukema S.) · Novità / ritorno in A</t>
  </si>
  <si>
    <t>Favasuli C.</t>
  </si>
  <si>
    <t>Gaspar K.</t>
  </si>
  <si>
    <t>Angola</t>
  </si>
  <si>
    <t>Siebert J.</t>
  </si>
  <si>
    <t>Ballottaggio (Gabriel T.)</t>
  </si>
  <si>
    <t>Lazzari M.</t>
  </si>
  <si>
    <t>Cittadini G.</t>
  </si>
  <si>
    <t>Ziolkowski J.</t>
  </si>
  <si>
    <t>Patric</t>
  </si>
  <si>
    <t>Alhassane R.</t>
  </si>
  <si>
    <t>Niger, Spagna</t>
  </si>
  <si>
    <t>Pellegrini L.</t>
  </si>
  <si>
    <t>Floriani M. R.</t>
  </si>
  <si>
    <t>Tchato E.</t>
  </si>
  <si>
    <t>Camerun, Francia</t>
  </si>
  <si>
    <t>Terracciano F.</t>
  </si>
  <si>
    <t>Britschgi S.</t>
  </si>
  <si>
    <t>Svizzera</t>
  </si>
  <si>
    <t>Estupinan P.</t>
  </si>
  <si>
    <t>Ecuador, Spagna</t>
  </si>
  <si>
    <t>Halhal R.</t>
  </si>
  <si>
    <t>Marocco, Francia</t>
  </si>
  <si>
    <t>Valenti L.</t>
  </si>
  <si>
    <t>Rodriguez R.</t>
  </si>
  <si>
    <t>Svizzera, Cile</t>
  </si>
  <si>
    <t>Idrissi R.</t>
  </si>
  <si>
    <t>Rotazione / riserva · Under 23 · Rischio infortunio · Indisponibile ora</t>
  </si>
  <si>
    <t>Italia, Marocco</t>
  </si>
  <si>
    <t>Ndiaye A.</t>
  </si>
  <si>
    <t>Ballottaggio (Drobnic D.)</t>
  </si>
  <si>
    <t>Ballottaggio (Drobnic D.) · Scommessa Gazzetta</t>
  </si>
  <si>
    <t>Marianucci L.</t>
  </si>
  <si>
    <t>Helland E.</t>
  </si>
  <si>
    <t>Ballottaggio (Theate A.)</t>
  </si>
  <si>
    <t>Ballottaggio (Theate A.) · Under 23</t>
  </si>
  <si>
    <t>Franjic B.</t>
  </si>
  <si>
    <t>Rotazione / riserva · Rischio infortunio · Indisponibile ora · Novità / ritorno in A</t>
  </si>
  <si>
    <t>Dossena A.</t>
  </si>
  <si>
    <t>Biraghi C.</t>
  </si>
  <si>
    <t>Ebosse E.</t>
  </si>
  <si>
    <t>Odenthal C.</t>
  </si>
  <si>
    <t>Puczka D.</t>
  </si>
  <si>
    <t>Austria, Polonia</t>
  </si>
  <si>
    <t>Goldaniga E.</t>
  </si>
  <si>
    <t>Akpoguma K.</t>
  </si>
  <si>
    <t>Sagrado R.</t>
  </si>
  <si>
    <t>Lulli E.</t>
  </si>
  <si>
    <t>Palma M.</t>
  </si>
  <si>
    <t>Titolare probabile · Under 23 · Rischio infortunio · Indisponibile ora</t>
  </si>
  <si>
    <t>Germania, Italia</t>
  </si>
  <si>
    <t>Zanoli A.</t>
  </si>
  <si>
    <t>Otoa S.</t>
  </si>
  <si>
    <t>Mazzocchi P.</t>
  </si>
  <si>
    <t>Cande F.</t>
  </si>
  <si>
    <t>Guinea-Bissau, Portogallo</t>
  </si>
  <si>
    <t>Mitaj M.</t>
  </si>
  <si>
    <t>Albania, Grecia</t>
  </si>
  <si>
    <t>Casale N.</t>
  </si>
  <si>
    <t>Jean G.</t>
  </si>
  <si>
    <t>Carboni F.</t>
  </si>
  <si>
    <t>Argentina, Italia</t>
  </si>
  <si>
    <t>Kouadio E.</t>
  </si>
  <si>
    <t>Ballottaggio (Goglichidze S.)</t>
  </si>
  <si>
    <t>Ballottaggio (Goglichidze S.) · Under 23</t>
  </si>
  <si>
    <t>Italia, Costa d'Avorio</t>
  </si>
  <si>
    <t>Sverko M.</t>
  </si>
  <si>
    <t>Rotazione / riserva · Rischio infortunio · Indisponibile ora · Rientro lungo · Novità / ritorno in A</t>
  </si>
  <si>
    <t>Rientro alla 8 (ottobre)</t>
  </si>
  <si>
    <t>Moreno M.</t>
  </si>
  <si>
    <t>Rotazione / riserva · Under 23 · Rischio infortunio · Indisponibile ora · Novità / ritorno in A</t>
  </si>
  <si>
    <t>Kofler R.</t>
  </si>
  <si>
    <t>Lucchesi L.</t>
  </si>
  <si>
    <t>Ndaba C.</t>
  </si>
  <si>
    <t>Irlanda, Ghana</t>
  </si>
  <si>
    <t>De Silvestri L.</t>
  </si>
  <si>
    <t>Diawara S.</t>
  </si>
  <si>
    <t>Francia, Senegal</t>
  </si>
  <si>
    <t>Fayed O.</t>
  </si>
  <si>
    <t>Egitto</t>
  </si>
  <si>
    <t>Arizala J.</t>
  </si>
  <si>
    <t>Drobnic D.</t>
  </si>
  <si>
    <t>Ballottaggio (Ndiaye A.)</t>
  </si>
  <si>
    <t>Ballottaggio (Ndiaye A.) · Under 23 · Novità / ritorno in A</t>
  </si>
  <si>
    <t>Gomes A.</t>
  </si>
  <si>
    <t>Spagna, Capo Verde</t>
  </si>
  <si>
    <t>El Azzouzi A.</t>
  </si>
  <si>
    <t>Marocco, Olanda</t>
  </si>
  <si>
    <t>Mohammed R.</t>
  </si>
  <si>
    <t>Ghana</t>
  </si>
  <si>
    <t>Amey W.</t>
  </si>
  <si>
    <t>Italia, Togo</t>
  </si>
  <si>
    <t>Antov V.</t>
  </si>
  <si>
    <t>Abankwah J.</t>
  </si>
  <si>
    <t>Rugani D.</t>
  </si>
  <si>
    <t>Pieragnolo E.</t>
  </si>
  <si>
    <t>Dembele A.</t>
  </si>
  <si>
    <t>Francia, Mali</t>
  </si>
  <si>
    <t>Bakoune A.</t>
  </si>
  <si>
    <t>Salah-eddine A.</t>
  </si>
  <si>
    <t>Marocko</t>
  </si>
  <si>
    <t>Vaz M.</t>
  </si>
  <si>
    <t>Frabcia, Guinea Bissau</t>
  </si>
  <si>
    <t>Maye Y.</t>
  </si>
  <si>
    <t>Francia, Costa d'Avorio</t>
  </si>
  <si>
    <t>Galassi B.</t>
  </si>
  <si>
    <t>De Paoli C.</t>
  </si>
  <si>
    <t>Italy</t>
  </si>
  <si>
    <t>Ligue J.</t>
  </si>
  <si>
    <t>Switzerland</t>
  </si>
  <si>
    <t>left</t>
  </si>
  <si>
    <t>Bovio L.</t>
  </si>
  <si>
    <t>Ubani M.</t>
  </si>
  <si>
    <t>Tyskland</t>
  </si>
  <si>
    <t>Obric R.</t>
  </si>
  <si>
    <t>Slovenien</t>
  </si>
  <si>
    <t>Vladimirov V.</t>
  </si>
  <si>
    <t>Bulgarien</t>
  </si>
  <si>
    <t>Paz Y.</t>
  </si>
  <si>
    <t>Calhanoglu H.</t>
  </si>
  <si>
    <t>Ballottaggio (Sucic P.)</t>
  </si>
  <si>
    <t>Ballottaggio (Sucic P.) · Calci piazzati · Consigliato Gazzetta · Scommessa Gazzetta · Portatore di bonus</t>
  </si>
  <si>
    <t>Turchia, Germania</t>
  </si>
  <si>
    <t>1°</t>
  </si>
  <si>
    <r>
      <rPr>
        <sz val="9"/>
        <color indexed="17"/>
        <rFont val="Arial"/>
      </rPr>
      <t>4/5</t>
    </r>
  </si>
  <si>
    <t>Paz N.</t>
  </si>
  <si>
    <t>Titolare fisso · Calci piazzati · Consigliato Gazzetta · Under 23 · Garanzia voto · Portatore di bonus</t>
  </si>
  <si>
    <t>Argentina, Spagna</t>
  </si>
  <si>
    <r>
      <rPr>
        <sz val="9"/>
        <color indexed="17"/>
        <rFont val="Arial"/>
      </rPr>
      <t>0/2</t>
    </r>
  </si>
  <si>
    <t>Vlasic N.</t>
  </si>
  <si>
    <t>Titolare fisso · Calci piazzati · Consigliato Gazzetta · Garanzia voto · Portatore di bonus</t>
  </si>
  <si>
    <r>
      <rPr>
        <sz val="9"/>
        <color indexed="17"/>
        <rFont val="Arial"/>
      </rPr>
      <t>5/5</t>
    </r>
  </si>
  <si>
    <t>Rabiot A.</t>
  </si>
  <si>
    <t>Baturina M.</t>
  </si>
  <si>
    <t>Titolare fisso · Calci piazzati · Consigliato Gazzetta · Portatore di bonus</t>
  </si>
  <si>
    <t>Pulisic C.</t>
  </si>
  <si>
    <t>Titolare probabile · Calci piazzati · Consigliato Gazzetta · Portatore di bonus</t>
  </si>
  <si>
    <t>Stati Uniti, Croazia</t>
  </si>
  <si>
    <r>
      <rPr>
        <sz val="9"/>
        <color indexed="17"/>
        <rFont val="Arial"/>
      </rPr>
      <t>0/1</t>
    </r>
  </si>
  <si>
    <t>Orsolini R.</t>
  </si>
  <si>
    <t>Titolare probabile · Calci piazzati · Consigliato Gazzetta · Garanzia voto · Portatore di bonus · Rischio infortunio · Indisponibile ora</t>
  </si>
  <si>
    <r>
      <rPr>
        <sz val="9"/>
        <color indexed="17"/>
        <rFont val="Arial"/>
      </rPr>
      <t>4/6</t>
    </r>
  </si>
  <si>
    <t>Barella N.</t>
  </si>
  <si>
    <t>Mctominay S.</t>
  </si>
  <si>
    <t>Titolare probabile · Consigliato Gazzetta · Garanzia voto · Portatore di bonus · Rischio infortunio · Indisponibile ora</t>
  </si>
  <si>
    <t>Scozia, Inghilterra</t>
  </si>
  <si>
    <t>De Bruyne K.</t>
  </si>
  <si>
    <t>Ballottaggio (Vergara A.)</t>
  </si>
  <si>
    <t>Ballottaggio (Vergara A.) · Calci piazzati</t>
  </si>
  <si>
    <r>
      <rPr>
        <sz val="9"/>
        <color indexed="17"/>
        <rFont val="Arial"/>
      </rPr>
      <t>3/3</t>
    </r>
  </si>
  <si>
    <t>Bernardeschi F.</t>
  </si>
  <si>
    <t>Titolare fisso · Calci piazzati · Consigliato Gazzetta</t>
  </si>
  <si>
    <t>Da Cunha L.</t>
  </si>
  <si>
    <t>Titolare fisso · Calci piazzati · Garanzia voto · Portatore di bonus</t>
  </si>
  <si>
    <t>Francia, Portogallo</t>
  </si>
  <si>
    <r>
      <rPr>
        <sz val="9"/>
        <color indexed="17"/>
        <rFont val="Arial"/>
      </rPr>
      <t>4/4</t>
    </r>
  </si>
  <si>
    <t>Atta A.</t>
  </si>
  <si>
    <t>Ballottaggio (Inao Oulai C.)</t>
  </si>
  <si>
    <t>Ballottaggio (Inao Oulai C.) · Consigliato Gazzetta · Scommessa Gazzetta · Garanzia voto · Portatore di bonus</t>
  </si>
  <si>
    <t>Francia, Benin</t>
  </si>
  <si>
    <t>Kone M.</t>
  </si>
  <si>
    <t>Zaniolo N.</t>
  </si>
  <si>
    <t>Modric L.</t>
  </si>
  <si>
    <t>Titolare fisso · Calci piazzati · Garanzia voto</t>
  </si>
  <si>
    <t>Santos A.</t>
  </si>
  <si>
    <t>Zaccagni M.</t>
  </si>
  <si>
    <t>Conceicao F.</t>
  </si>
  <si>
    <t>Ederson</t>
  </si>
  <si>
    <t>Locatelli M.</t>
  </si>
  <si>
    <t>Taylor K.</t>
  </si>
  <si>
    <t>Ekkelenkamp J.</t>
  </si>
  <si>
    <t>Titolare fisso · Calci piazzati · Scommessa Gazzetta · Garanzia voto · Portatore di bonus</t>
  </si>
  <si>
    <t>Zielinski P.</t>
  </si>
  <si>
    <t>Rotazione / riserva · Calci piazzati · Consigliato Gazzetta · Garanzia voto · Portatore di bonus</t>
  </si>
  <si>
    <t>Perrone M.</t>
  </si>
  <si>
    <t>Ballottaggio (Milla L.)</t>
  </si>
  <si>
    <t>Ballottaggio (Milla L.) · Garanzia voto</t>
  </si>
  <si>
    <t>Mastantuono F.</t>
  </si>
  <si>
    <t>Titolare fisso · Calci piazzati · Consigliato Gazzetta · Under 23 · Novità / ritorno in A</t>
  </si>
  <si>
    <t>Mckennie W.</t>
  </si>
  <si>
    <t>Titolare probabile · Garanzia voto · Portatore di bonus · Rischio infortunio · Indisponibile ora</t>
  </si>
  <si>
    <t>Stati Uniti</t>
  </si>
  <si>
    <t>Cristante B.</t>
  </si>
  <si>
    <t>Italia, Canada</t>
  </si>
  <si>
    <t>Thorstvedt K.</t>
  </si>
  <si>
    <t>Ballottaggio (Adzic V.)</t>
  </si>
  <si>
    <t>Ballottaggio (Adzic V.) · Consigliato Gazzetta · Garanzia voto</t>
  </si>
  <si>
    <t>Saelemaekers A.</t>
  </si>
  <si>
    <t>Rotazione / riserva · Calci piazzati · Scommessa Gazzetta · Garanzia voto</t>
  </si>
  <si>
    <t>Jones C.</t>
  </si>
  <si>
    <t>Frattesi D.</t>
  </si>
  <si>
    <t>Anguissa A.</t>
  </si>
  <si>
    <t>Camerun</t>
  </si>
  <si>
    <t>Gudmundsson A.</t>
  </si>
  <si>
    <t>Rotazione / riserva · Consigliato Gazzetta · Portatore di bonus</t>
  </si>
  <si>
    <t>Islanda</t>
  </si>
  <si>
    <t>Mandragora R.</t>
  </si>
  <si>
    <t>Moreira D.</t>
  </si>
  <si>
    <t>Ballottaggio (Chukwueze S.)</t>
  </si>
  <si>
    <t>Ballottaggio (Chukwueze S.) · Scommessa Gazzetta · Under 23 · Novità / ritorno in A</t>
  </si>
  <si>
    <t>Portogallo, Belgio</t>
  </si>
  <si>
    <t>Bernabe A.</t>
  </si>
  <si>
    <t>Titolare probabile · Calci piazzati · Consigliato Gazzetta · Garanzia voto · Rischio infortunio · Indisponibile ora</t>
  </si>
  <si>
    <t>Chukwueze S.</t>
  </si>
  <si>
    <t>Ballottaggio (Moreira D.)</t>
  </si>
  <si>
    <t>Ballottaggio (Moreira D.) · Scommessa Gazzetta</t>
  </si>
  <si>
    <t>Nigeria</t>
  </si>
  <si>
    <t>Politano M.</t>
  </si>
  <si>
    <t>Rotazione / riserva · Calci piazzati · Garanzia voto</t>
  </si>
  <si>
    <t>Mora R.</t>
  </si>
  <si>
    <t>Lobotka S.</t>
  </si>
  <si>
    <t>Karlstrom J.</t>
  </si>
  <si>
    <t>Calo G.</t>
  </si>
  <si>
    <t>Titolare fisso · Calci piazzati · Consigliato Gazzetta · Novità / ritorno in A</t>
  </si>
  <si>
    <t>Caqueret M.</t>
  </si>
  <si>
    <t>Pierotti S.</t>
  </si>
  <si>
    <t>Titolare fisso · Calci piazzati</t>
  </si>
  <si>
    <t>Rotazione / riserva · Calci piazzati · Rischio infortunio · Indisponibile ora</t>
  </si>
  <si>
    <r>
      <rPr>
        <sz val="9"/>
        <color indexed="17"/>
        <rFont val="Arial"/>
      </rPr>
      <t>2/2</t>
    </r>
  </si>
  <si>
    <t>Kessie F.</t>
  </si>
  <si>
    <t>Goncalves P.</t>
  </si>
  <si>
    <t>Pisilli N.</t>
  </si>
  <si>
    <t>Rotazione / riserva · Scommessa Gazzetta · Under 23</t>
  </si>
  <si>
    <t>Gaetano G.</t>
  </si>
  <si>
    <t>Titolare fisso · Calci piazzati · Scommessa Gazzetta · Garanzia voto</t>
  </si>
  <si>
    <t>Samardzic L.</t>
  </si>
  <si>
    <t>Rotazione / riserva · Calci piazzati</t>
  </si>
  <si>
    <t>Germania, Serbia</t>
  </si>
  <si>
    <t>Matic N.</t>
  </si>
  <si>
    <t>Serbia, Slovacchia</t>
  </si>
  <si>
    <t>Fagioli N.</t>
  </si>
  <si>
    <t>Mkhitaryan H.</t>
  </si>
  <si>
    <t>Armenia</t>
  </si>
  <si>
    <t>Sucic P.</t>
  </si>
  <si>
    <t>Ballottaggio (Calhanoglu H.)</t>
  </si>
  <si>
    <t>Ballottaggio (Calhanoglu H.) · Consigliato Gazzetta · Under 23</t>
  </si>
  <si>
    <t>Croazia, Bosnia Erzegovina</t>
  </si>
  <si>
    <t>Keita M.</t>
  </si>
  <si>
    <t>Belgio, Guinea</t>
  </si>
  <si>
    <t>Pasalic M.</t>
  </si>
  <si>
    <t>Kone I.</t>
  </si>
  <si>
    <t>Rotazione / riserva · Consigliato Gazzetta · Garanzia voto · Rischio infortunio · Indisponibile ora</t>
  </si>
  <si>
    <t>Canada, Costa d'Avorio</t>
  </si>
  <si>
    <t>Frendrup M.</t>
  </si>
  <si>
    <t>Baldanzi T.</t>
  </si>
  <si>
    <t>Titolare fisso · Calci piazzati · Scommessa Gazzetta</t>
  </si>
  <si>
    <t>Loftus-cheek R.</t>
  </si>
  <si>
    <t>Volpato C.</t>
  </si>
  <si>
    <t>Ballottaggio (Berardi D.)</t>
  </si>
  <si>
    <t>Ballottaggio (Berardi D.) · Under 23</t>
  </si>
  <si>
    <t>Italia, Australia</t>
  </si>
  <si>
    <t>Ferguson L.</t>
  </si>
  <si>
    <t>Maldini D.</t>
  </si>
  <si>
    <t>Italia, Venezuela</t>
  </si>
  <si>
    <t>Adopo M.</t>
  </si>
  <si>
    <t>Coulibaly L.</t>
  </si>
  <si>
    <t>Mali</t>
  </si>
  <si>
    <t>Koopmeiners T.</t>
  </si>
  <si>
    <t>Zalewski N.</t>
  </si>
  <si>
    <t>Vergara A.</t>
  </si>
  <si>
    <t>Ballottaggio (De Bruyne K.)</t>
  </si>
  <si>
    <t>Ballottaggio (De Bruyne K.) · Scommessa Gazzetta</t>
  </si>
  <si>
    <t>Busio G.</t>
  </si>
  <si>
    <t>Titolare fisso · Rigorista principale · Calci piazzati · Consigliato Gazzetta · Novità / ritorno in A</t>
  </si>
  <si>
    <t>Odgaard J.</t>
  </si>
  <si>
    <t>Messias J.</t>
  </si>
  <si>
    <t>Thuram K.</t>
  </si>
  <si>
    <t>Rotazione / riserva · Garanzia voto · Rischio infortunio · Indisponibile ora · Rientro lungo</t>
  </si>
  <si>
    <t>Francia, Guadalupa</t>
  </si>
  <si>
    <t>Rientro alla 19 (gennaio)</t>
  </si>
  <si>
    <t>Luis Henrique</t>
  </si>
  <si>
    <t>Pobega T.</t>
  </si>
  <si>
    <t>Ballottaggio (Moro N.)</t>
  </si>
  <si>
    <t>Basic T.</t>
  </si>
  <si>
    <t>De Roon M.</t>
  </si>
  <si>
    <t>Fazzini J.</t>
  </si>
  <si>
    <t>Elmas E.</t>
  </si>
  <si>
    <t>Ballottaggio (Rowe J. / Raspadori G.)</t>
  </si>
  <si>
    <t>Macedonia del Nord</t>
  </si>
  <si>
    <t>Fabbian G.</t>
  </si>
  <si>
    <t>Gineitis G.</t>
  </si>
  <si>
    <t>Rotazione / riserva · Calci piazzati · Under 23</t>
  </si>
  <si>
    <t>Lituania</t>
  </si>
  <si>
    <t>Casadei C.</t>
  </si>
  <si>
    <t>Rotazione / riserva · Garanzia voto · Rischio infortunio · Indisponibile ora</t>
  </si>
  <si>
    <t>Piotrowski J.</t>
  </si>
  <si>
    <t>Perez K.</t>
  </si>
  <si>
    <t>Ricci S.</t>
  </si>
  <si>
    <t>Berisha M.</t>
  </si>
  <si>
    <t>Rotazione / riserva · Calci piazzati · Consigliato Gazzetta · Under 23</t>
  </si>
  <si>
    <t>Svizzera, Kosovo</t>
  </si>
  <si>
    <t>Sarr P.</t>
  </si>
  <si>
    <t>Inao Oulai C.</t>
  </si>
  <si>
    <t>Ballottaggio (Atta A.)</t>
  </si>
  <si>
    <t>Ballottaggio (Atta A.) · Scommessa Gazzetta · Under 23 · Novità / ritorno in A</t>
  </si>
  <si>
    <t>Ellertsson M.</t>
  </si>
  <si>
    <t>Hutchinson O.</t>
  </si>
  <si>
    <t>Giamaica, Inghilterra</t>
  </si>
  <si>
    <t>Luiz D.</t>
  </si>
  <si>
    <t>Diouf A.</t>
  </si>
  <si>
    <t>Schmid R.</t>
  </si>
  <si>
    <t>Titolare probabile · Calci piazzati · Scommessa Gazzetta · Rischio infortunio · Indisponibile ora · Novità / ritorno in A</t>
  </si>
  <si>
    <t>Rientro alla 4 (settembre)</t>
  </si>
  <si>
    <t>Colpani A.</t>
  </si>
  <si>
    <t>Rotazione / riserva · Calci piazzati · Consigliato Gazzetta · Novità / ritorno in A</t>
  </si>
  <si>
    <t>Folorunsho M.</t>
  </si>
  <si>
    <t>Titolare probabile · Scommessa Gazzetta</t>
  </si>
  <si>
    <t>Fadera A.</t>
  </si>
  <si>
    <t>Gambia</t>
  </si>
  <si>
    <t>Monteiro J.</t>
  </si>
  <si>
    <t>Svizzera, Portogallo</t>
  </si>
  <si>
    <t>Milla L.</t>
  </si>
  <si>
    <t>Ballottaggio (Perrone M.)</t>
  </si>
  <si>
    <t>Ballottaggio (Perrone M.) · Novità / ritorno in A</t>
  </si>
  <si>
    <t>Brescianini M.</t>
  </si>
  <si>
    <t>Mbangula S.</t>
  </si>
  <si>
    <t>Jashari A.</t>
  </si>
  <si>
    <t>Svizzera, Macedonia del Nord</t>
  </si>
  <si>
    <t>Ndour C.</t>
  </si>
  <si>
    <t>Italia, Senegal</t>
  </si>
  <si>
    <t>Braganca D.</t>
  </si>
  <si>
    <t>Miller L.</t>
  </si>
  <si>
    <t>Gandelman O.</t>
  </si>
  <si>
    <t>Rotazione / riserva · Calci piazzati · Scommessa Gazzetta</t>
  </si>
  <si>
    <t>Israele, Portogallo</t>
  </si>
  <si>
    <t>Cataldi D.</t>
  </si>
  <si>
    <t>Rovella N.</t>
  </si>
  <si>
    <t>Titolare probabile · Calci piazzati · Rischio infortunio · Indisponibile ora</t>
  </si>
  <si>
    <t>Winks H.</t>
  </si>
  <si>
    <t>Hainaut A.</t>
  </si>
  <si>
    <t>Zerbin A.</t>
  </si>
  <si>
    <t>Liberali M.</t>
  </si>
  <si>
    <t>Moro N.</t>
  </si>
  <si>
    <t>Ballottaggio (Pobega T.)</t>
  </si>
  <si>
    <t>Romano A.</t>
  </si>
  <si>
    <t>Titolare fisso · Consigliato Gazzetta · Under 23 · Novità / ritorno in A</t>
  </si>
  <si>
    <t>Svizzera, Italia</t>
  </si>
  <si>
    <t>Gomez U.</t>
  </si>
  <si>
    <t>Adzic V.</t>
  </si>
  <si>
    <t>Ballottaggio (Thorstvedt K.)</t>
  </si>
  <si>
    <t>Ballottaggio (Thorstvedt K.) · Calci piazzati · Scommessa Gazzetta · Under 23</t>
  </si>
  <si>
    <t>Montenegro</t>
  </si>
  <si>
    <t>Ilic I.</t>
  </si>
  <si>
    <t>Masini P.</t>
  </si>
  <si>
    <t>Sow D.</t>
  </si>
  <si>
    <t>Ballottaggio (Amorim A.)</t>
  </si>
  <si>
    <t>Ballottaggio (Amorim A.) · Novità / ritorno in A</t>
  </si>
  <si>
    <t>Svizzera, Senegal</t>
  </si>
  <si>
    <t>Zhegrova E.</t>
  </si>
  <si>
    <t>Kosovo</t>
  </si>
  <si>
    <t>Grillitsch F.</t>
  </si>
  <si>
    <t>Stankovic A.</t>
  </si>
  <si>
    <t>Serbia, Italia</t>
  </si>
  <si>
    <t>Ilkhan E.</t>
  </si>
  <si>
    <t>Sohm S.</t>
  </si>
  <si>
    <t>Fitz-jim K.</t>
  </si>
  <si>
    <t>Rotazione / riserva · Calci piazzati · Consigliato Gazzetta · Rischio infortunio · Indisponibile ora · Rientro lungo · Novità / ritorno in A</t>
  </si>
  <si>
    <t>Rientro alla 10 (ottobre/novembre)</t>
  </si>
  <si>
    <t>Ordonez C.</t>
  </si>
  <si>
    <t>Ballottaggio (Konate A.)</t>
  </si>
  <si>
    <t>Ballottaggio (Konate A.) · Under 23</t>
  </si>
  <si>
    <t>Oristanio G.</t>
  </si>
  <si>
    <t>Musah Y.</t>
  </si>
  <si>
    <t>Stati Uniti, Inghilterra</t>
  </si>
  <si>
    <t>Bakola D.</t>
  </si>
  <si>
    <t>Francia, Congo</t>
  </si>
  <si>
    <t>Lipani L.</t>
  </si>
  <si>
    <t>Dele-bashiru F.</t>
  </si>
  <si>
    <t>Nigeria, Inghilterra</t>
  </si>
  <si>
    <t>Belahyane R.</t>
  </si>
  <si>
    <t>Francia, Marocco</t>
  </si>
  <si>
    <t>Akinsanmiro E.</t>
  </si>
  <si>
    <t>Cichella M.</t>
  </si>
  <si>
    <t>Ballottaggio (Hasa L.)</t>
  </si>
  <si>
    <t>Ballottaggio (Hasa L.) · Under 23 · Novità / ritorno in A</t>
  </si>
  <si>
    <t>Deiola A.</t>
  </si>
  <si>
    <t>Ngom O.</t>
  </si>
  <si>
    <t>Mauritania, Francia</t>
  </si>
  <si>
    <t>Nicolussi Caviglia H.</t>
  </si>
  <si>
    <t>Toure I.</t>
  </si>
  <si>
    <t>Germania, Guinea</t>
  </si>
  <si>
    <t>Meichtry F.</t>
  </si>
  <si>
    <t>Svizzera, Camerun</t>
  </si>
  <si>
    <t>Traore H.</t>
  </si>
  <si>
    <t>Zarraga O.</t>
  </si>
  <si>
    <t>Sottil R.</t>
  </si>
  <si>
    <t>Ciervo R.</t>
  </si>
  <si>
    <t>Fernandez T.</t>
  </si>
  <si>
    <t>Sulemana I.</t>
  </si>
  <si>
    <t>Venturino L.</t>
  </si>
  <si>
    <t>Maleh Y.</t>
  </si>
  <si>
    <t>El Shaarawy S.</t>
  </si>
  <si>
    <t>Italia, Egitto</t>
  </si>
  <si>
    <t>Amorim A.</t>
  </si>
  <si>
    <t>Ballottaggio (Sow D.)</t>
  </si>
  <si>
    <t>Ballottaggio (Sow D.) · Under 23</t>
  </si>
  <si>
    <t>Bondo W.</t>
  </si>
  <si>
    <t>Hasa L.</t>
  </si>
  <si>
    <t>Ballottaggio (Cichella M.)</t>
  </si>
  <si>
    <t>Ballottaggio (Cichella M.) · Under 23 · Novità / ritorno in A</t>
  </si>
  <si>
    <t>Italia, Albania</t>
  </si>
  <si>
    <t>Amondarain M.</t>
  </si>
  <si>
    <t>Cremaschi B.</t>
  </si>
  <si>
    <t>Stati Uniti, Argentina</t>
  </si>
  <si>
    <t>Gagliardini R.</t>
  </si>
  <si>
    <t>Anjorin T.</t>
  </si>
  <si>
    <t>Inghilterra, Nigeria</t>
  </si>
  <si>
    <t>Chakvetadze G.</t>
  </si>
  <si>
    <t>Rotazione / riserva · Scommessa Gazzetta · Rischio infortunio · Indisponibile ora · Novità / ritorno in A</t>
  </si>
  <si>
    <t>Colombo L.</t>
  </si>
  <si>
    <t>Lovric S.</t>
  </si>
  <si>
    <t>Helgason T.</t>
  </si>
  <si>
    <t>Gilmour B.</t>
  </si>
  <si>
    <t>Cisse A.</t>
  </si>
  <si>
    <t>Italia, Guinea</t>
  </si>
  <si>
    <t>Duncan A.</t>
  </si>
  <si>
    <t>Gelli F.</t>
  </si>
  <si>
    <t>Kone B.</t>
  </si>
  <si>
    <t>Gorter O.</t>
  </si>
  <si>
    <t>Jovanovic L.</t>
  </si>
  <si>
    <t>Cacciamani A.</t>
  </si>
  <si>
    <t>Ballottaggio (Patterson N.)</t>
  </si>
  <si>
    <t>Ballottaggio (Patterson N.) · Scommessa Gazzetta · Under 23 · Novità / ritorno in A</t>
  </si>
  <si>
    <t>Ciurria P.</t>
  </si>
  <si>
    <t>Kaba M.</t>
  </si>
  <si>
    <t>Francia, Guinea</t>
  </si>
  <si>
    <t>Foe-ondoa M.</t>
  </si>
  <si>
    <t>Dagasso M.</t>
  </si>
  <si>
    <t>Przyborek A.</t>
  </si>
  <si>
    <t>Sierro V.</t>
  </si>
  <si>
    <t>Lafont G.</t>
  </si>
  <si>
    <t>France</t>
  </si>
  <si>
    <t>Liteta J.</t>
  </si>
  <si>
    <t>Zambia</t>
  </si>
  <si>
    <t>Fofana S.</t>
  </si>
  <si>
    <t>Togo, Germania</t>
  </si>
  <si>
    <t>Cinquegrano S.</t>
  </si>
  <si>
    <t>Italia, Argentina</t>
  </si>
  <si>
    <t>Berardi L.</t>
  </si>
  <si>
    <t>Rotazione / riserva · Under 23 · Portatore di bonus</t>
  </si>
  <si>
    <r>
      <rPr>
        <sz val="9"/>
        <color indexed="17"/>
        <rFont val="Arial"/>
      </rPr>
      <t>2/3</t>
    </r>
  </si>
  <si>
    <t>El Azzouzi O.</t>
  </si>
  <si>
    <t>Boloca D.</t>
  </si>
  <si>
    <t>Romania, Italia</t>
  </si>
  <si>
    <t>Pejicic D.</t>
  </si>
  <si>
    <t>Mout M.</t>
  </si>
  <si>
    <t>Konate A.</t>
  </si>
  <si>
    <t>Ballottaggio (Ordonez C.)</t>
  </si>
  <si>
    <t>Ballottaggio (Ordonez C.) · Under 23 · Novità / ritorno in A</t>
  </si>
  <si>
    <t>Akarakiri D.</t>
  </si>
  <si>
    <t>England</t>
  </si>
  <si>
    <t>Wiafe S.</t>
  </si>
  <si>
    <t>Massolin Y.</t>
  </si>
  <si>
    <t>Francia, Martinica</t>
  </si>
  <si>
    <t>Farcomeni V.</t>
  </si>
  <si>
    <t>Lahdo A.</t>
  </si>
  <si>
    <t>Svezia, Siria</t>
  </si>
  <si>
    <t>Ghion A.</t>
  </si>
  <si>
    <t>Manzoni A.</t>
  </si>
  <si>
    <t>Luongo A.</t>
  </si>
  <si>
    <t>Comotto C.</t>
  </si>
  <si>
    <t>Fanne L.</t>
  </si>
  <si>
    <t>Spanien</t>
  </si>
  <si>
    <t>Grandu N.</t>
  </si>
  <si>
    <t>Ballabio N.</t>
  </si>
  <si>
    <t>Kovac N.</t>
  </si>
  <si>
    <t>Bosnien-Hercegovina</t>
  </si>
  <si>
    <t>Cassano R.</t>
  </si>
  <si>
    <t>El Haddad S.</t>
  </si>
  <si>
    <t>Panada S.</t>
  </si>
  <si>
    <t>Malen D.</t>
  </si>
  <si>
    <r>
      <rPr>
        <sz val="9"/>
        <color indexed="17"/>
        <rFont val="Arial"/>
      </rPr>
      <t>3/4</t>
    </r>
  </si>
  <si>
    <t>Martinez L.</t>
  </si>
  <si>
    <t>Hojlund R.</t>
  </si>
  <si>
    <t>Thuram M.</t>
  </si>
  <si>
    <t>Titolare probabile · Consigliato Gazzetta · Portatore di bonus</t>
  </si>
  <si>
    <t>Francia, Guadalupe</t>
  </si>
  <si>
    <t>Ramos G.</t>
  </si>
  <si>
    <t>Titolare fisso · Consigliato Gazzetta · Scommessa Gazzetta · Novità / ritorno in A</t>
  </si>
  <si>
    <t>Davis K.</t>
  </si>
  <si>
    <t>Titolare probabile · Consigliato Gazzetta · Scommessa Gazzetta · Garanzia voto · Portatore di bonus</t>
  </si>
  <si>
    <t>Kean M.</t>
  </si>
  <si>
    <t>Kolo Muani R.</t>
  </si>
  <si>
    <t>Scamacca G.</t>
  </si>
  <si>
    <t>Dybala P.</t>
  </si>
  <si>
    <t>Ballottaggio (Soule M.)</t>
  </si>
  <si>
    <t>Ballottaggio (Soule M.) · Calci piazzati · Consigliato Gazzetta</t>
  </si>
  <si>
    <t>Simeone G.</t>
  </si>
  <si>
    <t>Lauriente A.</t>
  </si>
  <si>
    <t>Berardi D.</t>
  </si>
  <si>
    <t>Ballottaggio (Volpato C.)</t>
  </si>
  <si>
    <t>Ballottaggio (Volpato C.) · Calci piazzati · Consigliato Gazzetta · Portatore di bonus</t>
  </si>
  <si>
    <t>Yildiz K.</t>
  </si>
  <si>
    <t>Titolare probabile · Calci piazzati · Consigliato Gazzetta · Under 23 · Garanzia voto · Portatore di bonus · Rischio infortunio · Indisponibile ora · Rientro lungo</t>
  </si>
  <si>
    <t>Rientro alla 14 (dicembre)</t>
  </si>
  <si>
    <r>
      <rPr>
        <sz val="9"/>
        <color indexed="17"/>
        <rFont val="Arial"/>
      </rPr>
      <t>1/2</t>
    </r>
  </si>
  <si>
    <t>Douvikas T.</t>
  </si>
  <si>
    <t>Rotazione / riserva · Consigliato Gazzetta · Garanzia voto · Portatore di bonus</t>
  </si>
  <si>
    <t>Pinamonti A.</t>
  </si>
  <si>
    <t>Titolare probabile · Consigliato Gazzetta · Garanzia voto · Portatore di bonus</t>
  </si>
  <si>
    <t>Adams C.</t>
  </si>
  <si>
    <t>Krstovic N.</t>
  </si>
  <si>
    <t>Serbia, Montenegro</t>
  </si>
  <si>
    <t>Woltemade N.</t>
  </si>
  <si>
    <t>Castro S.</t>
  </si>
  <si>
    <t>Rotazione / riserva · Consigliato Gazzetta · Under 23 · Garanzia voto</t>
  </si>
  <si>
    <t>De Ketelaere C.</t>
  </si>
  <si>
    <t>Soule M.</t>
  </si>
  <si>
    <t>Ballottaggio (Dybala P.)</t>
  </si>
  <si>
    <t>Ballottaggio (Dybala P.) · Calci piazzati · Garanzia voto</t>
  </si>
  <si>
    <t>Esposito S.</t>
  </si>
  <si>
    <t>Ballottaggio (Bowie K.)</t>
  </si>
  <si>
    <t>Ballottaggio (Bowie K.) · Scommessa Gazzetta · Garanzia voto</t>
  </si>
  <si>
    <t>Beto</t>
  </si>
  <si>
    <t>Titolare probabile · Consigliato Gazzetta · Scommessa Gazzetta · Novità / ritorno in A</t>
  </si>
  <si>
    <t>Portogallo, Guinea Bissau</t>
  </si>
  <si>
    <t>Rowe J.</t>
  </si>
  <si>
    <t>Ballottaggio (Elmas E.)</t>
  </si>
  <si>
    <t>Vitinha</t>
  </si>
  <si>
    <t>Ballottaggio (Osmajic M.)</t>
  </si>
  <si>
    <t>Ballottaggio (Osmajic M.) · Calci piazzati · Scommessa Gazzetta · Garanzia voto</t>
  </si>
  <si>
    <t>Diao A.</t>
  </si>
  <si>
    <t>Titolare fisso · Scommessa Gazzetta · Under 23</t>
  </si>
  <si>
    <t>Spagna, Senegal</t>
  </si>
  <si>
    <t>Esposito F.</t>
  </si>
  <si>
    <t>Rotazione / riserva · Scommessa Gazzetta · Under 23 · Garanzia voto</t>
  </si>
  <si>
    <t>Pellegrino M.</t>
  </si>
  <si>
    <t>Isaksen G.</t>
  </si>
  <si>
    <t>Ballottaggio (Cancellieri M.)</t>
  </si>
  <si>
    <t>Ballottaggio (Cancellieri M.) · Consigliato Gazzetta</t>
  </si>
  <si>
    <t>Raimondo A.</t>
  </si>
  <si>
    <t>Cambiaghi N.</t>
  </si>
  <si>
    <t>Piccoli R.</t>
  </si>
  <si>
    <t>Raspadori G.</t>
  </si>
  <si>
    <t>Yeboah J.</t>
  </si>
  <si>
    <t>Ecuador, Germania</t>
  </si>
  <si>
    <t>Neres D.</t>
  </si>
  <si>
    <t>Boga J.</t>
  </si>
  <si>
    <t>Ballottaggio (Alajbegovic K.)</t>
  </si>
  <si>
    <t>Ballottaggio (Alajbegovic K.) · Scommessa Gazzetta</t>
  </si>
  <si>
    <t>Costa d'Avorio, Francia</t>
  </si>
  <si>
    <t>Zapata D.</t>
  </si>
  <si>
    <t>Bonny A.</t>
  </si>
  <si>
    <t>Lang N.</t>
  </si>
  <si>
    <t>Stulic N.</t>
  </si>
  <si>
    <t>Serbia, Croazia</t>
  </si>
  <si>
    <t>Alajbegovic K.</t>
  </si>
  <si>
    <t>Ballottaggio (Boga J.)</t>
  </si>
  <si>
    <t>Ballottaggio (Boga J.) · Scommessa Gazzetta · Under 23 · Novità / ritorno in A</t>
  </si>
  <si>
    <t>Bowie K.</t>
  </si>
  <si>
    <t>Ballottaggio (Esposito S.)</t>
  </si>
  <si>
    <t>Ballottaggio (Esposito S.) · Scommessa Gazzetta</t>
  </si>
  <si>
    <t>Cutrone P.</t>
  </si>
  <si>
    <t>Varela G.</t>
  </si>
  <si>
    <t>Titolare probabile · Consigliato Gazzetta · Under 23 · Rischio infortunio · Indisponibile ora · Novità / ritorno in A</t>
  </si>
  <si>
    <t>Njie A.</t>
  </si>
  <si>
    <t>Ballottaggio (Gnonto W.)</t>
  </si>
  <si>
    <t>Ballottaggio (Gnonto W.) · Under 23</t>
  </si>
  <si>
    <t>Svezia, Gambia</t>
  </si>
  <si>
    <t>Lucca L.</t>
  </si>
  <si>
    <t>Borrelli G.</t>
  </si>
  <si>
    <t>Ghedjemis F.</t>
  </si>
  <si>
    <t>Ballottaggio (Fini S.)</t>
  </si>
  <si>
    <t>Ballottaggio (Fini S.) · Calci piazzati · Consigliato Gazzetta · Novità / ritorno in A</t>
  </si>
  <si>
    <t>Francia, Algeria</t>
  </si>
  <si>
    <t>Gnonto W.</t>
  </si>
  <si>
    <t>Ballottaggio (Njie A.)</t>
  </si>
  <si>
    <t>Ballottaggio (Njie A.) · Under 23 · Novità / ritorno in A</t>
  </si>
  <si>
    <t>Romero D.</t>
  </si>
  <si>
    <t>Adams A.</t>
  </si>
  <si>
    <t>Noslin T.</t>
  </si>
  <si>
    <t>Dovbyk A.</t>
  </si>
  <si>
    <t>Ucraina</t>
  </si>
  <si>
    <t>Elphege N.</t>
  </si>
  <si>
    <t>Kvernadze G.</t>
  </si>
  <si>
    <t>Gonzalez N.</t>
  </si>
  <si>
    <t>Giovane D.</t>
  </si>
  <si>
    <t>Rotazione / riserva · Under 23 · Garanzia voto · Rischio infortunio · Indisponibile ora</t>
  </si>
  <si>
    <t>Ngonge C.</t>
  </si>
  <si>
    <t>Adorante A.</t>
  </si>
  <si>
    <t>Rotazione / riserva · Consigliato Gazzetta · Scommessa Gazzetta · Rischio infortunio · Indisponibile ora · Novità / ritorno in A</t>
  </si>
  <si>
    <t>Toure E.</t>
  </si>
  <si>
    <t>Ballottaggio (Lontani S.)</t>
  </si>
  <si>
    <t>Ballottaggio (Lontani S.) · Scommessa Gazzetta · Novità / ritorno in A</t>
  </si>
  <si>
    <t>Mali, Costa D'Avorio</t>
  </si>
  <si>
    <t>Cancellieri M.</t>
  </si>
  <si>
    <t>Ballottaggio (Isaksen G.)</t>
  </si>
  <si>
    <t>Mota D.</t>
  </si>
  <si>
    <t>Portogallo, Lussemburgo</t>
  </si>
  <si>
    <t>Nzola M.</t>
  </si>
  <si>
    <t>Francia, Angola</t>
  </si>
  <si>
    <t>Geubbels W.</t>
  </si>
  <si>
    <t>Titolare probabile · Scommessa Gazzetta · Rischio infortunio · Indisponibile ora · Novità / ritorno in A</t>
  </si>
  <si>
    <t>Francia, Olanda</t>
  </si>
  <si>
    <t>Bobcek T.</t>
  </si>
  <si>
    <t>Sulemana K.</t>
  </si>
  <si>
    <t>Carlos K.</t>
  </si>
  <si>
    <t>Spagna, Nigeria</t>
  </si>
  <si>
    <t>Dominguez B.</t>
  </si>
  <si>
    <t>Ndri K.</t>
  </si>
  <si>
    <t>Costa D'Avorio</t>
  </si>
  <si>
    <t>Aboukhlal Z.</t>
  </si>
  <si>
    <t>Zeballos E.</t>
  </si>
  <si>
    <t>Gueye I.</t>
  </si>
  <si>
    <t>Kulenovic S.</t>
  </si>
  <si>
    <t>Almqvist P.</t>
  </si>
  <si>
    <t>Addai J.</t>
  </si>
  <si>
    <t>Olanda, Ghana</t>
  </si>
  <si>
    <t>Havel E.</t>
  </si>
  <si>
    <t>Birligea D.</t>
  </si>
  <si>
    <t>Osmajic M.</t>
  </si>
  <si>
    <t>Ballottaggio (Vitinha)</t>
  </si>
  <si>
    <t>Ballottaggio (Vitinha) · Novità / ritorno in A</t>
  </si>
  <si>
    <t>Bayo V.</t>
  </si>
  <si>
    <t>Ekhator J.</t>
  </si>
  <si>
    <t>Rotazione / riserva · Under 23 · Rischio infortunio · Indisponibile ora · Rientro lungo</t>
  </si>
  <si>
    <t>Felici M.</t>
  </si>
  <si>
    <t>Fini S.</t>
  </si>
  <si>
    <t>Ballottaggio (Ghedjemis F.)</t>
  </si>
  <si>
    <t>Ballottaggio (Ghedjemis F.) · Scommessa Gazzetta · Under 23</t>
  </si>
  <si>
    <t>Camarda F.</t>
  </si>
  <si>
    <t>Enem J.</t>
  </si>
  <si>
    <t>Olanda, Nigeria</t>
  </si>
  <si>
    <t>Balde K.</t>
  </si>
  <si>
    <t>Lontani S.</t>
  </si>
  <si>
    <t>Ballottaggio (Toure E.)</t>
  </si>
  <si>
    <t>Ballottaggio (Toure E.) · Under 23</t>
  </si>
  <si>
    <t>Milik A.</t>
  </si>
  <si>
    <t>Fatah A.</t>
  </si>
  <si>
    <t>Svezia, Somalia</t>
  </si>
  <si>
    <t>Mendy P.</t>
  </si>
  <si>
    <t>Lisman K.</t>
  </si>
  <si>
    <t>Frigan M.</t>
  </si>
  <si>
    <t>Robinson J.</t>
  </si>
  <si>
    <t>Karlsson J.</t>
  </si>
  <si>
    <t>Robinho J.</t>
  </si>
  <si>
    <t>Diallo O.</t>
  </si>
  <si>
    <t>Martins K.</t>
  </si>
  <si>
    <t>Lauberbach L.</t>
  </si>
  <si>
    <t>Forson O.</t>
  </si>
  <si>
    <t>Inghilterra, Ghana</t>
  </si>
  <si>
    <t>De Martis T.</t>
  </si>
  <si>
    <t>Arena A.</t>
  </si>
  <si>
    <t>Skjellerup L.</t>
  </si>
  <si>
    <t>Danmark</t>
  </si>
  <si>
    <t>Pierini N.</t>
  </si>
  <si>
    <t>Trepy Y.</t>
  </si>
  <si>
    <t>Francia, Italia</t>
  </si>
  <si>
    <t>Pellegri P.</t>
  </si>
  <si>
    <t>Cichero A.</t>
  </si>
  <si>
    <t>Venezuela</t>
  </si>
  <si>
    <t>Lavelli M.</t>
  </si>
  <si>
    <t>Rotazione / riserva · In lista rigori · Under 23</t>
  </si>
  <si>
    <t>Zulevic A.</t>
  </si>
  <si>
    <t>Slovakien</t>
  </si>
  <si>
    <t>Balentien C.</t>
  </si>
  <si>
    <t>Croci F.</t>
  </si>
  <si>
    <t>Kulla G.</t>
  </si>
  <si>
    <t>Albanien</t>
  </si>
  <si>
    <t>Vinciati G.</t>
  </si>
  <si>
    <t>Laerke H.</t>
  </si>
  <si>
    <t>Mosconi M.</t>
  </si>
  <si>
    <t>Jovic M.</t>
  </si>
  <si>
    <t>Toure M.</t>
  </si>
  <si>
    <t>Nuredini J.</t>
  </si>
  <si>
    <t>72 portierei — quattro fasce e gerarchie d'asta</t>
  </si>
  <si>
    <t>199 difensorei — quattro fasce e gerarchie d'asta</t>
  </si>
  <si>
    <t>199 centrocampistai — quattro fasce e gerarchie d'asta</t>
  </si>
  <si>
    <t>120 attaccantei — quattro fasce e gerarchie d'asta</t>
  </si>
</sst>
</file>

<file path=xl/styles.xml><?xml version="1.0" encoding="utf-8"?>
<styleSheet xmlns="http://schemas.openxmlformats.org/spreadsheetml/2006/main">
  <numFmts count="2">
    <numFmt numFmtId="0" formatCode="General"/>
    <numFmt numFmtId="59" formatCode="0.0"/>
  </numFmts>
  <fonts count="2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20"/>
      <color indexed="12"/>
      <name val="Arial"/>
    </font>
    <font>
      <i val="1"/>
      <sz val="10"/>
      <color indexed="15"/>
      <name val="Arial"/>
    </font>
    <font>
      <sz val="11"/>
      <color indexed="8"/>
      <name val="Arial"/>
    </font>
    <font>
      <b val="1"/>
      <sz val="11"/>
      <color indexed="15"/>
      <name val="Arial"/>
    </font>
    <font>
      <sz val="10"/>
      <color indexed="17"/>
      <name val="Arial"/>
    </font>
    <font>
      <b val="1"/>
      <sz val="12"/>
      <color indexed="15"/>
      <name val="Arial"/>
    </font>
    <font>
      <b val="1"/>
      <sz val="11"/>
      <color indexed="8"/>
      <name val="Arial"/>
    </font>
    <font>
      <sz val="12"/>
      <color indexed="11"/>
      <name val="Arial"/>
    </font>
    <font>
      <i val="1"/>
      <sz val="9"/>
      <color indexed="22"/>
      <name val="Arial"/>
    </font>
    <font>
      <sz val="12"/>
      <color indexed="11"/>
      <name val="Calibri"/>
    </font>
    <font>
      <b val="1"/>
      <sz val="11"/>
      <color indexed="12"/>
      <name val="Arial"/>
    </font>
    <font>
      <sz val="10"/>
      <color indexed="8"/>
      <name val="Arial"/>
    </font>
    <font>
      <b val="1"/>
      <sz val="10"/>
      <color indexed="8"/>
      <name val="Arial"/>
    </font>
    <font>
      <b val="1"/>
      <sz val="13"/>
      <color indexed="15"/>
      <name val="Arial"/>
    </font>
    <font>
      <b val="1"/>
      <sz val="9"/>
      <color indexed="12"/>
      <name val="Arial"/>
    </font>
    <font>
      <sz val="11"/>
      <color indexed="8"/>
      <name val="Helvetica Neue"/>
    </font>
    <font>
      <sz val="9"/>
      <color indexed="17"/>
      <name val="Arial"/>
    </font>
    <font>
      <b val="1"/>
      <sz val="11"/>
      <color indexed="28"/>
      <name val="Arial"/>
    </font>
    <font>
      <b val="1"/>
      <sz val="9"/>
      <color indexed="29"/>
      <name val="Arial"/>
    </font>
  </fonts>
  <fills count="1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15"/>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7"/>
        <bgColor auto="1"/>
      </patternFill>
    </fill>
  </fills>
  <borders count="22">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bottom style="thin">
        <color indexed="26"/>
      </bottom>
      <diagonal/>
    </border>
    <border>
      <left/>
      <right/>
      <top/>
      <bottom style="thin">
        <color indexed="26"/>
      </bottom>
      <diagonal/>
    </border>
    <border>
      <left style="thin">
        <color indexed="26"/>
      </left>
      <right/>
      <top style="thin">
        <color indexed="26"/>
      </top>
      <bottom/>
      <diagonal/>
    </border>
    <border>
      <left/>
      <right/>
      <top style="thin">
        <color indexed="26"/>
      </top>
      <bottom/>
      <diagonal/>
    </border>
    <border>
      <left/>
      <right style="thin">
        <color indexed="26"/>
      </right>
      <top style="thin">
        <color indexed="26"/>
      </top>
      <bottom/>
      <diagonal/>
    </border>
    <border>
      <left style="thin">
        <color indexed="26"/>
      </left>
      <right style="thin">
        <color indexed="14"/>
      </right>
      <top/>
      <bottom/>
      <diagonal/>
    </border>
    <border>
      <left style="thin">
        <color indexed="26"/>
      </left>
      <right/>
      <top/>
      <bottom/>
      <diagonal/>
    </border>
    <border>
      <left/>
      <right style="thin">
        <color indexed="26"/>
      </right>
      <top/>
      <bottom/>
      <diagonal/>
    </border>
    <border>
      <left style="thin">
        <color indexed="26"/>
      </left>
      <right/>
      <top/>
      <bottom style="thin">
        <color indexed="26"/>
      </bottom>
      <diagonal/>
    </border>
    <border>
      <left/>
      <right style="thin">
        <color indexed="26"/>
      </right>
      <top/>
      <bottom style="thin">
        <color indexed="26"/>
      </bottom>
      <diagonal/>
    </border>
    <border>
      <left style="thin">
        <color indexed="14"/>
      </left>
      <right/>
      <top style="thin">
        <color indexed="26"/>
      </top>
      <bottom style="thin">
        <color indexed="14"/>
      </bottom>
      <diagonal/>
    </border>
    <border>
      <left/>
      <right/>
      <top style="thin">
        <color indexed="26"/>
      </top>
      <bottom style="thin">
        <color indexed="14"/>
      </bottom>
      <diagonal/>
    </border>
  </borders>
  <cellStyleXfs count="1">
    <xf numFmtId="0" fontId="0" applyNumberFormat="0" applyFont="1" applyFill="0" applyBorder="0" applyAlignment="1" applyProtection="0">
      <alignment vertical="bottom"/>
    </xf>
  </cellStyleXfs>
  <cellXfs count="11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xf>
    <xf numFmtId="0" fontId="0" fillId="5" borderId="2" applyNumberFormat="0" applyFont="1" applyFill="1" applyBorder="1" applyAlignment="1" applyProtection="0">
      <alignment vertical="bottom"/>
    </xf>
    <xf numFmtId="0" fontId="0" fillId="5" borderId="3" applyNumberFormat="0" applyFont="1" applyFill="1" applyBorder="1" applyAlignment="1" applyProtection="0">
      <alignment vertical="bottom"/>
    </xf>
    <xf numFmtId="49" fontId="7" fillId="6" borderId="4" applyNumberFormat="1" applyFont="1" applyFill="1" applyBorder="1" applyAlignment="1" applyProtection="0">
      <alignment vertical="center"/>
    </xf>
    <xf numFmtId="0" fontId="0" fillId="5" borderId="5" applyNumberFormat="0" applyFont="1" applyFill="1" applyBorder="1" applyAlignment="1" applyProtection="0">
      <alignment vertical="bottom"/>
    </xf>
    <xf numFmtId="0" fontId="0" fillId="5" borderId="6" applyNumberFormat="0" applyFont="1" applyFill="1" applyBorder="1" applyAlignment="1" applyProtection="0">
      <alignment vertical="bottom"/>
    </xf>
    <xf numFmtId="0" fontId="8" fillId="5" borderId="4" applyNumberFormat="0" applyFont="1" applyFill="1" applyBorder="1" applyAlignment="1" applyProtection="0">
      <alignment vertical="bottom"/>
    </xf>
    <xf numFmtId="0" fontId="8" fillId="5" borderId="5" applyNumberFormat="0" applyFont="1" applyFill="1" applyBorder="1" applyAlignment="1" applyProtection="0">
      <alignment vertical="bottom"/>
    </xf>
    <xf numFmtId="0" fontId="8" fillId="5" borderId="6" applyNumberFormat="0" applyFont="1" applyFill="1" applyBorder="1" applyAlignment="1" applyProtection="0">
      <alignment vertical="bottom"/>
    </xf>
    <xf numFmtId="49" fontId="9" fillId="5" borderId="5" applyNumberFormat="1" applyFont="1" applyFill="1" applyBorder="1" applyAlignment="1" applyProtection="0">
      <alignment vertical="bottom"/>
    </xf>
    <xf numFmtId="49" fontId="10" fillId="5" borderId="5" applyNumberFormat="1" applyFont="1" applyFill="1" applyBorder="1" applyAlignment="1" applyProtection="0">
      <alignment vertical="top" wrapText="1"/>
    </xf>
    <xf numFmtId="49" fontId="11" fillId="5" borderId="5" applyNumberFormat="1" applyFont="1" applyFill="1" applyBorder="1" applyAlignment="1" applyProtection="0">
      <alignment vertical="bottom"/>
    </xf>
    <xf numFmtId="49" fontId="12" fillId="7" borderId="5" applyNumberFormat="1" applyFont="1" applyFill="1" applyBorder="1" applyAlignment="1" applyProtection="0">
      <alignment vertical="bottom"/>
    </xf>
    <xf numFmtId="49" fontId="12" fillId="5" borderId="5" applyNumberFormat="1" applyFont="1" applyFill="1" applyBorder="1" applyAlignment="1" applyProtection="0">
      <alignment vertical="bottom"/>
    </xf>
    <xf numFmtId="0" fontId="8" fillId="5" borderId="5" applyNumberFormat="1" applyFont="1" applyFill="1" applyBorder="1" applyAlignment="1" applyProtection="0">
      <alignment vertical="bottom"/>
    </xf>
    <xf numFmtId="49" fontId="12" fillId="8" borderId="5" applyNumberFormat="1" applyFont="1" applyFill="1" applyBorder="1" applyAlignment="1" applyProtection="0">
      <alignment vertical="bottom"/>
    </xf>
    <xf numFmtId="49" fontId="12" fillId="9" borderId="5" applyNumberFormat="1" applyFont="1" applyFill="1" applyBorder="1" applyAlignment="1" applyProtection="0">
      <alignment vertical="bottom"/>
    </xf>
    <xf numFmtId="49" fontId="12" fillId="10" borderId="5" applyNumberFormat="1" applyFont="1" applyFill="1" applyBorder="1" applyAlignment="1" applyProtection="0">
      <alignment vertical="bottom"/>
    </xf>
    <xf numFmtId="49" fontId="13" fillId="5" borderId="5" applyNumberFormat="1" applyFont="1" applyFill="1" applyBorder="1" applyAlignment="1" applyProtection="0">
      <alignment vertical="bottom"/>
    </xf>
    <xf numFmtId="49" fontId="14" fillId="5" borderId="6" applyNumberFormat="1" applyFont="1" applyFill="1" applyBorder="1" applyAlignment="1" applyProtection="0">
      <alignment vertical="bottom"/>
    </xf>
    <xf numFmtId="0" fontId="0" fillId="5" borderId="7" applyNumberFormat="0" applyFont="1" applyFill="1" applyBorder="1" applyAlignment="1" applyProtection="0">
      <alignment vertical="bottom"/>
    </xf>
    <xf numFmtId="49" fontId="12" fillId="5" borderId="8" applyNumberFormat="1" applyFont="1" applyFill="1" applyBorder="1" applyAlignment="1" applyProtection="0">
      <alignment vertical="bottom"/>
    </xf>
    <xf numFmtId="49" fontId="1" fillId="5" borderId="8" applyNumberFormat="1" applyFont="1" applyFill="1" applyBorder="1" applyAlignment="1" applyProtection="0">
      <alignment vertical="bottom"/>
    </xf>
    <xf numFmtId="0" fontId="0" fillId="5" borderId="8" applyNumberFormat="0" applyFont="1" applyFill="1" applyBorder="1" applyAlignment="1" applyProtection="0">
      <alignment vertical="bottom"/>
    </xf>
    <xf numFmtId="49" fontId="14" fillId="5" borderId="9" applyNumberFormat="1" applyFont="1" applyFill="1" applyBorder="1" applyAlignment="1" applyProtection="0">
      <alignment vertical="bottom"/>
    </xf>
    <xf numFmtId="0" fontId="0" applyNumberFormat="1" applyFont="1" applyFill="0" applyBorder="0" applyAlignment="1" applyProtection="0">
      <alignment vertical="bottom"/>
    </xf>
    <xf numFmtId="49" fontId="16" fillId="11" borderId="4" applyNumberFormat="1" applyFont="1" applyFill="1" applyBorder="1" applyAlignment="1" applyProtection="0">
      <alignment horizontal="center" vertical="bottom" wrapText="1"/>
    </xf>
    <xf numFmtId="49" fontId="16" fillId="11" borderId="5" applyNumberFormat="1" applyFont="1" applyFill="1" applyBorder="1" applyAlignment="1" applyProtection="0">
      <alignment horizontal="center" vertical="bottom" wrapText="1"/>
    </xf>
    <xf numFmtId="49" fontId="16" fillId="11" borderId="6" applyNumberFormat="1" applyFont="1" applyFill="1" applyBorder="1" applyAlignment="1" applyProtection="0">
      <alignment horizontal="center" vertical="bottom" wrapText="1"/>
    </xf>
    <xf numFmtId="49" fontId="17" fillId="5" borderId="4" applyNumberFormat="1" applyFont="1" applyFill="1" applyBorder="1" applyAlignment="1" applyProtection="0">
      <alignment horizontal="center" vertical="bottom"/>
    </xf>
    <xf numFmtId="0" fontId="17" fillId="5" borderId="5" applyNumberFormat="1" applyFont="1" applyFill="1" applyBorder="1" applyAlignment="1" applyProtection="0">
      <alignment horizontal="center" vertical="bottom"/>
    </xf>
    <xf numFmtId="0" fontId="17" fillId="7" borderId="5" applyNumberFormat="1" applyFont="1" applyFill="1" applyBorder="1" applyAlignment="1" applyProtection="0">
      <alignment horizontal="center" vertical="bottom"/>
    </xf>
    <xf numFmtId="0" fontId="17" fillId="8" borderId="5" applyNumberFormat="1" applyFont="1" applyFill="1" applyBorder="1" applyAlignment="1" applyProtection="0">
      <alignment horizontal="center" vertical="bottom"/>
    </xf>
    <xf numFmtId="0" fontId="17" fillId="9" borderId="5" applyNumberFormat="1" applyFont="1" applyFill="1" applyBorder="1" applyAlignment="1" applyProtection="0">
      <alignment horizontal="center" vertical="bottom"/>
    </xf>
    <xf numFmtId="0" fontId="17" fillId="10" borderId="5" applyNumberFormat="1" applyFont="1" applyFill="1" applyBorder="1" applyAlignment="1" applyProtection="0">
      <alignment horizontal="center" vertical="bottom"/>
    </xf>
    <xf numFmtId="0" fontId="17" fillId="12" borderId="5" applyNumberFormat="1" applyFont="1" applyFill="1" applyBorder="1" applyAlignment="1" applyProtection="0">
      <alignment horizontal="center" vertical="bottom"/>
    </xf>
    <xf numFmtId="0" fontId="17" fillId="13" borderId="5" applyNumberFormat="1" applyFont="1" applyFill="1" applyBorder="1" applyAlignment="1" applyProtection="0">
      <alignment horizontal="center" vertical="bottom"/>
    </xf>
    <xf numFmtId="0" fontId="17" fillId="14" borderId="6" applyNumberFormat="1" applyFont="1" applyFill="1" applyBorder="1" applyAlignment="1" applyProtection="0">
      <alignment horizontal="center" vertical="bottom"/>
    </xf>
    <xf numFmtId="49" fontId="18" fillId="5" borderId="4" applyNumberFormat="1" applyFont="1" applyFill="1" applyBorder="1" applyAlignment="1" applyProtection="0">
      <alignment horizontal="center" vertical="bottom"/>
    </xf>
    <xf numFmtId="0" fontId="18" fillId="5" borderId="5" applyNumberFormat="1" applyFont="1" applyFill="1" applyBorder="1" applyAlignment="1" applyProtection="0">
      <alignment horizontal="center" vertical="bottom"/>
    </xf>
    <xf numFmtId="0" fontId="18" fillId="7" borderId="5" applyNumberFormat="1" applyFont="1" applyFill="1" applyBorder="1" applyAlignment="1" applyProtection="0">
      <alignment horizontal="center" vertical="bottom"/>
    </xf>
    <xf numFmtId="0" fontId="18" fillId="8" borderId="5" applyNumberFormat="1" applyFont="1" applyFill="1" applyBorder="1" applyAlignment="1" applyProtection="0">
      <alignment horizontal="center" vertical="bottom"/>
    </xf>
    <xf numFmtId="0" fontId="18" fillId="9" borderId="5" applyNumberFormat="1" applyFont="1" applyFill="1" applyBorder="1" applyAlignment="1" applyProtection="0">
      <alignment horizontal="center" vertical="bottom"/>
    </xf>
    <xf numFmtId="0" fontId="18" fillId="10" borderId="5" applyNumberFormat="1" applyFont="1" applyFill="1" applyBorder="1" applyAlignment="1" applyProtection="0">
      <alignment horizontal="center" vertical="bottom"/>
    </xf>
    <xf numFmtId="0" fontId="18" fillId="12" borderId="5" applyNumberFormat="1" applyFont="1" applyFill="1" applyBorder="1" applyAlignment="1" applyProtection="0">
      <alignment horizontal="center" vertical="bottom"/>
    </xf>
    <xf numFmtId="0" fontId="18" fillId="13" borderId="5" applyNumberFormat="1" applyFont="1" applyFill="1" applyBorder="1" applyAlignment="1" applyProtection="0">
      <alignment horizontal="center" vertical="bottom"/>
    </xf>
    <xf numFmtId="0" fontId="18" fillId="14" borderId="6" applyNumberFormat="1" applyFont="1" applyFill="1" applyBorder="1" applyAlignment="1" applyProtection="0">
      <alignment horizontal="center" vertical="bottom"/>
    </xf>
    <xf numFmtId="49" fontId="19" fillId="5" borderId="4" applyNumberFormat="1" applyFont="1" applyFill="1" applyBorder="1" applyAlignment="1" applyProtection="0">
      <alignment vertical="bottom"/>
    </xf>
    <xf numFmtId="49" fontId="17" fillId="5" borderId="4" applyNumberFormat="1" applyFont="1" applyFill="1" applyBorder="1" applyAlignment="1" applyProtection="0">
      <alignment vertical="bottom"/>
    </xf>
    <xf numFmtId="49" fontId="17" fillId="5" borderId="7" applyNumberFormat="1" applyFont="1" applyFill="1" applyBorder="1" applyAlignment="1" applyProtection="0">
      <alignment vertical="bottom"/>
    </xf>
    <xf numFmtId="0" fontId="0" fillId="5" borderId="9" applyNumberFormat="0" applyFont="1" applyFill="1" applyBorder="1" applyAlignment="1" applyProtection="0">
      <alignment vertical="bottom"/>
    </xf>
    <xf numFmtId="0" fontId="0" applyNumberFormat="1" applyFont="1" applyFill="0" applyBorder="0" applyAlignment="1" applyProtection="0">
      <alignment vertical="bottom"/>
    </xf>
    <xf numFmtId="0" fontId="0" borderId="3"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8" fillId="5" borderId="10" applyNumberFormat="0" applyFont="1" applyFill="1" applyBorder="1" applyAlignment="1" applyProtection="0">
      <alignment vertical="bottom"/>
    </xf>
    <xf numFmtId="0" fontId="8" fillId="5" borderId="11" applyNumberFormat="0" applyFont="1" applyFill="1" applyBorder="1" applyAlignment="1" applyProtection="0">
      <alignment vertical="bottom"/>
    </xf>
    <xf numFmtId="0" fontId="0" fillId="5" borderId="11" applyNumberFormat="0" applyFont="1" applyFill="1" applyBorder="1" applyAlignment="1" applyProtection="0">
      <alignment vertical="bottom"/>
    </xf>
    <xf numFmtId="49" fontId="20" fillId="11" borderId="12" applyNumberFormat="1" applyFont="1" applyFill="1" applyBorder="1" applyAlignment="1" applyProtection="0">
      <alignment horizontal="center" vertical="center" wrapText="1"/>
    </xf>
    <xf numFmtId="49" fontId="20" fillId="11" borderId="13" applyNumberFormat="1" applyFont="1" applyFill="1" applyBorder="1" applyAlignment="1" applyProtection="0">
      <alignment horizontal="center" vertical="center" wrapText="1"/>
    </xf>
    <xf numFmtId="49" fontId="20" fillId="11" borderId="14" applyNumberFormat="1" applyFont="1" applyFill="1" applyBorder="1" applyAlignment="1" applyProtection="0">
      <alignment horizontal="center" vertical="center" wrapText="1"/>
    </xf>
    <xf numFmtId="0" fontId="0" borderId="15" applyNumberFormat="0" applyFont="1" applyFill="0" applyBorder="1" applyAlignment="1" applyProtection="0">
      <alignment vertical="bottom"/>
    </xf>
    <xf numFmtId="49" fontId="22" fillId="7" borderId="16" applyNumberFormat="1" applyFont="1" applyFill="1" applyBorder="1" applyAlignment="1" applyProtection="0">
      <alignment vertical="top"/>
    </xf>
    <xf numFmtId="59" fontId="22" fillId="15" borderId="5" applyNumberFormat="1" applyFont="1" applyFill="1" applyBorder="1" applyAlignment="1" applyProtection="0">
      <alignment vertical="top"/>
    </xf>
    <xf numFmtId="0" fontId="22" fillId="15" borderId="5" applyNumberFormat="1" applyFont="1" applyFill="1" applyBorder="1" applyAlignment="1" applyProtection="0">
      <alignment horizontal="center" vertical="center"/>
    </xf>
    <xf numFmtId="0" fontId="22" fillId="15" borderId="5" applyNumberFormat="0" applyFont="1" applyFill="1" applyBorder="1" applyAlignment="1" applyProtection="0">
      <alignment vertical="top"/>
    </xf>
    <xf numFmtId="49" fontId="22" fillId="15" borderId="5" applyNumberFormat="1" applyFont="1" applyFill="1" applyBorder="1" applyAlignment="1" applyProtection="0">
      <alignment vertical="top"/>
    </xf>
    <xf numFmtId="0" fontId="22" fillId="15" borderId="5" applyNumberFormat="1" applyFont="1" applyFill="1" applyBorder="1" applyAlignment="1" applyProtection="0">
      <alignment vertical="top"/>
    </xf>
    <xf numFmtId="2" fontId="22" fillId="15" borderId="5" applyNumberFormat="1" applyFont="1" applyFill="1" applyBorder="1" applyAlignment="1" applyProtection="0">
      <alignment vertical="top"/>
    </xf>
    <xf numFmtId="49" fontId="22" fillId="15" borderId="17" applyNumberFormat="1" applyFont="1" applyFill="1" applyBorder="1" applyAlignment="1" applyProtection="0">
      <alignment vertical="top"/>
    </xf>
    <xf numFmtId="59" fontId="22" fillId="5" borderId="5" applyNumberFormat="1" applyFont="1" applyFill="1" applyBorder="1" applyAlignment="1" applyProtection="0">
      <alignment vertical="top"/>
    </xf>
    <xf numFmtId="0" fontId="22" fillId="5" borderId="5" applyNumberFormat="1" applyFont="1" applyFill="1" applyBorder="1" applyAlignment="1" applyProtection="0">
      <alignment horizontal="center" vertical="center"/>
    </xf>
    <xf numFmtId="0" fontId="22" fillId="5" borderId="5" applyNumberFormat="0" applyFont="1" applyFill="1" applyBorder="1" applyAlignment="1" applyProtection="0">
      <alignment vertical="top"/>
    </xf>
    <xf numFmtId="49" fontId="22" fillId="5" borderId="5" applyNumberFormat="1" applyFont="1" applyFill="1" applyBorder="1" applyAlignment="1" applyProtection="0">
      <alignment vertical="top"/>
    </xf>
    <xf numFmtId="0" fontId="22" fillId="5" borderId="5" applyNumberFormat="1" applyFont="1" applyFill="1" applyBorder="1" applyAlignment="1" applyProtection="0">
      <alignment vertical="top"/>
    </xf>
    <xf numFmtId="2" fontId="22" fillId="5" borderId="5" applyNumberFormat="1" applyFont="1" applyFill="1" applyBorder="1" applyAlignment="1" applyProtection="0">
      <alignment vertical="top"/>
    </xf>
    <xf numFmtId="49" fontId="22" fillId="5" borderId="17" applyNumberFormat="1" applyFont="1" applyFill="1" applyBorder="1" applyAlignment="1" applyProtection="0">
      <alignment vertical="top"/>
    </xf>
    <xf numFmtId="49" fontId="22" fillId="8" borderId="16" applyNumberFormat="1" applyFont="1" applyFill="1" applyBorder="1" applyAlignment="1" applyProtection="0">
      <alignment vertical="top"/>
    </xf>
    <xf numFmtId="49" fontId="23" fillId="15" borderId="5" applyNumberFormat="1" applyFont="1" applyFill="1" applyBorder="1" applyAlignment="1" applyProtection="0">
      <alignment vertical="top"/>
    </xf>
    <xf numFmtId="49" fontId="23" fillId="5" borderId="5" applyNumberFormat="1" applyFont="1" applyFill="1" applyBorder="1" applyAlignment="1" applyProtection="0">
      <alignment vertical="top"/>
    </xf>
    <xf numFmtId="49" fontId="22" fillId="9" borderId="16" applyNumberFormat="1" applyFont="1" applyFill="1" applyBorder="1" applyAlignment="1" applyProtection="0">
      <alignment vertical="top"/>
    </xf>
    <xf numFmtId="49" fontId="22" fillId="10" borderId="16" applyNumberFormat="1" applyFont="1" applyFill="1" applyBorder="1" applyAlignment="1" applyProtection="0">
      <alignment vertical="top"/>
    </xf>
    <xf numFmtId="49" fontId="24" fillId="14" borderId="5" applyNumberFormat="1" applyFont="1" applyFill="1" applyBorder="1" applyAlignment="1" applyProtection="0">
      <alignment vertical="top"/>
    </xf>
    <xf numFmtId="49" fontId="22" fillId="10" borderId="18" applyNumberFormat="1" applyFont="1" applyFill="1" applyBorder="1" applyAlignment="1" applyProtection="0">
      <alignment vertical="top"/>
    </xf>
    <xf numFmtId="59" fontId="22" fillId="5" borderId="11" applyNumberFormat="1" applyFont="1" applyFill="1" applyBorder="1" applyAlignment="1" applyProtection="0">
      <alignment vertical="top"/>
    </xf>
    <xf numFmtId="0" fontId="22" fillId="5" borderId="11" applyNumberFormat="1" applyFont="1" applyFill="1" applyBorder="1" applyAlignment="1" applyProtection="0">
      <alignment horizontal="center" vertical="center"/>
    </xf>
    <xf numFmtId="0" fontId="22" fillId="5" borderId="11" applyNumberFormat="0" applyFont="1" applyFill="1" applyBorder="1" applyAlignment="1" applyProtection="0">
      <alignment vertical="top"/>
    </xf>
    <xf numFmtId="49" fontId="22" fillId="5" borderId="11" applyNumberFormat="1" applyFont="1" applyFill="1" applyBorder="1" applyAlignment="1" applyProtection="0">
      <alignment vertical="top"/>
    </xf>
    <xf numFmtId="0" fontId="22" fillId="5" borderId="11" applyNumberFormat="1" applyFont="1" applyFill="1" applyBorder="1" applyAlignment="1" applyProtection="0">
      <alignment vertical="top"/>
    </xf>
    <xf numFmtId="49" fontId="24" fillId="14" borderId="11" applyNumberFormat="1" applyFont="1" applyFill="1" applyBorder="1" applyAlignment="1" applyProtection="0">
      <alignment vertical="top"/>
    </xf>
    <xf numFmtId="49" fontId="22" fillId="5" borderId="19" applyNumberFormat="1" applyFont="1" applyFill="1" applyBorder="1" applyAlignment="1" applyProtection="0">
      <alignment vertical="top"/>
    </xf>
    <xf numFmtId="0" fontId="0" fillId="5" borderId="20" applyNumberFormat="0" applyFont="1" applyFill="1" applyBorder="1" applyAlignment="1" applyProtection="0">
      <alignment vertical="bottom"/>
    </xf>
    <xf numFmtId="0" fontId="0" fillId="5" borderId="21" applyNumberFormat="0" applyFont="1" applyFill="1"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2" fontId="22" fillId="5" borderId="11" applyNumberFormat="1" applyFont="1" applyFill="1" applyBorder="1" applyAlignment="1" applyProtection="0">
      <alignment vertical="top"/>
    </xf>
    <xf numFmtId="0" fontId="0" applyNumberFormat="1" applyFont="1" applyFill="0" applyBorder="0" applyAlignment="1" applyProtection="0">
      <alignment vertical="bottom"/>
    </xf>
    <xf numFmtId="59" fontId="22" fillId="15" borderId="11" applyNumberFormat="1" applyFont="1" applyFill="1" applyBorder="1" applyAlignment="1" applyProtection="0">
      <alignment vertical="top"/>
    </xf>
    <xf numFmtId="0" fontId="22" fillId="15" borderId="11" applyNumberFormat="1" applyFont="1" applyFill="1" applyBorder="1" applyAlignment="1" applyProtection="0">
      <alignment horizontal="center" vertical="center"/>
    </xf>
    <xf numFmtId="0" fontId="22" fillId="15" borderId="11" applyNumberFormat="0" applyFont="1" applyFill="1" applyBorder="1" applyAlignment="1" applyProtection="0">
      <alignment vertical="top"/>
    </xf>
    <xf numFmtId="49" fontId="22" fillId="15" borderId="11" applyNumberFormat="1" applyFont="1" applyFill="1" applyBorder="1" applyAlignment="1" applyProtection="0">
      <alignment vertical="top"/>
    </xf>
    <xf numFmtId="0" fontId="22" fillId="15" borderId="11" applyNumberFormat="1" applyFont="1" applyFill="1" applyBorder="1" applyAlignment="1" applyProtection="0">
      <alignment vertical="top"/>
    </xf>
    <xf numFmtId="2" fontId="22" fillId="15" borderId="11" applyNumberFormat="1" applyFont="1" applyFill="1" applyBorder="1" applyAlignment="1" applyProtection="0">
      <alignment vertical="top"/>
    </xf>
    <xf numFmtId="49" fontId="22" fillId="15" borderId="19" applyNumberFormat="1" applyFont="1" applyFill="1" applyBorder="1" applyAlignment="1" applyProtection="0">
      <alignment vertical="top"/>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6324f"/>
      <rgbColor rgb="ffaaaaaa"/>
      <rgbColor rgb="ff1f4e78"/>
      <rgbColor rgb="ffddebf7"/>
      <rgbColor rgb="ff111111"/>
      <rgbColor rgb="ffffd966"/>
      <rgbColor rgb="ffa9d18e"/>
      <rgbColor rgb="ffbdd7ee"/>
      <rgbColor rgb="ffe7e6e6"/>
      <rgbColor rgb="ff7f8c8d"/>
      <rgbColor rgb="ffe4dfec"/>
      <rgbColor rgb="ffe2f0d9"/>
      <rgbColor rgb="fff4cccc"/>
      <rgbColor rgb="ff95b3d7"/>
      <rgbColor rgb="ffdbe5f1"/>
      <rgbColor rgb="ffffc000"/>
      <rgbColor rgb="ffc0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gazzetta.it/calcio/fantanews/lista-giocatori-fantacalcio-serie-a-2026-27/" TargetMode="External"/><Relationship Id="rId2" Type="http://schemas.openxmlformats.org/officeDocument/2006/relationships/hyperlink" Target="https://www.gazzetta.it/calcio/fantanews/05-08-2026/fantacalcio-2026-27-titolari-rigoristi-formazioni-squadre-serie-a.shtml" TargetMode="External"/><Relationship Id="rId3" Type="http://schemas.openxmlformats.org/officeDocument/2006/relationships/hyperlink" Target="https://www.gazzetta.it/Calcio/prob_form/" TargetMode="External"/><Relationship Id="rId4" Type="http://schemas.openxmlformats.org/officeDocument/2006/relationships/hyperlink" Target="https://www.gazzetta.it/calcio/fantanews/strumenti-fantacalcio/rigoristi/17-08-2026/rigoristi-serie-a-fantacalcio-tiratori-calci-da-fermo-punizioni.shtml" TargetMode="External"/><Relationship Id="rId5" Type="http://schemas.openxmlformats.org/officeDocument/2006/relationships/hyperlink" Target="https://www.gazzetta.it/calcio/fantanews/strumenti-fantacalcio/indisponibili/lista/" TargetMode="External"/><Relationship Id="rId6" Type="http://schemas.openxmlformats.org/officeDocument/2006/relationships/hyperlink" Target="https://www.fantacalcio.it/statistiche-serie-a/2026-27/italia" TargetMode="External"/><Relationship Id="rId7" Type="http://schemas.openxmlformats.org/officeDocument/2006/relationships/hyperlink" Target="https://www.fantacalcio.it/statistiche-serie-a/2025-26/italia" TargetMode="External"/><Relationship Id="rId8" Type="http://schemas.openxmlformats.org/officeDocument/2006/relationships/hyperlink" Target="https://serieaspelare.se/" TargetMode="External"/><Relationship Id="rId9" Type="http://schemas.openxmlformats.org/officeDocument/2006/relationships/hyperlink" Target="https://www.transfermarkt.com/" TargetMode="External"/><Relationship Id="rId10" Type="http://schemas.openxmlformats.org/officeDocument/2006/relationships/hyperlink" Target="https://www.legaseriea.it/serie-a/news/calendario-della-serie-a-enilive-2026-27" TargetMode="External"/></Relationships>

</file>

<file path=xl/worksheets/_rels/sheet4.xml.rels><?xml version="1.0" encoding="UTF-8"?>
<Relationships xmlns="http://schemas.openxmlformats.org/package/2006/relationships"><Relationship Id="rId1" Type="http://schemas.openxmlformats.org/officeDocument/2006/relationships/hyperlink" Target="https://www.gazzetta.it/calcio/giocatori/mile-svilar/228531/" TargetMode="External"/><Relationship Id="rId2" Type="http://schemas.openxmlformats.org/officeDocument/2006/relationships/hyperlink" Target="https://www.fantacalcio.it/serie-a/squadre/roma/svilar/5841/2026-27/italia" TargetMode="External"/><Relationship Id="rId3" Type="http://schemas.openxmlformats.org/officeDocument/2006/relationships/hyperlink" Target="https://www.gazzetta.it/calcio/fantanews/03-08-2026/roma-al-fantacalcio-2026-27-titolari-rigorista-sorprese-consigli-su-chi-prendere.shtml" TargetMode="External"/><Relationship Id="rId4" Type="http://schemas.openxmlformats.org/officeDocument/2006/relationships/hyperlink" Target="https://www.gazzetta.it/calcio/giocatori/marco-carnesecchi/462537/" TargetMode="External"/><Relationship Id="rId5" Type="http://schemas.openxmlformats.org/officeDocument/2006/relationships/hyperlink" Target="https://www.fantacalcio.it/serie-a/squadre/atalanta/carnesecchi/4431/2026-27/italia" TargetMode="External"/><Relationship Id="rId6" Type="http://schemas.openxmlformats.org/officeDocument/2006/relationships/hyperlink" Target="https://www.gazzetta.it/calcio/fantanews/02-08-2026/atalanta-fantacalcio-2026-27-titolari-rigorista-sorprese-consigli-su-chi-prendere.shtml" TargetMode="External"/><Relationship Id="rId7" Type="http://schemas.openxmlformats.org/officeDocument/2006/relationships/hyperlink" Target="https://www.gazzetta.it/calcio/giocatori/mike-maignan/129487/" TargetMode="External"/><Relationship Id="rId8" Type="http://schemas.openxmlformats.org/officeDocument/2006/relationships/hyperlink" Target="https://www.fantacalcio.it/serie-a/squadre/milan/maignan/4312/2026-27/italia" TargetMode="External"/><Relationship Id="rId9" Type="http://schemas.openxmlformats.org/officeDocument/2006/relationships/hyperlink" Target="https://www.gazzetta.it/calcio/fantanews/02-08-2026/milan-al-fantacalcio-2026-27-titolari-rigorista-sorprese-e-consigli-su-chi-prendere.shtml" TargetMode="External"/><Relationship Id="rId10" Type="http://schemas.openxmlformats.org/officeDocument/2006/relationships/hyperlink" Target="https://www.gazzetta.it/calcio/giocatori/josep-martinez/231188/" TargetMode="External"/><Relationship Id="rId11" Type="http://schemas.openxmlformats.org/officeDocument/2006/relationships/hyperlink" Target="https://www.fantacalcio.it/serie-a/squadre/inter/martinez-jo/5116/2026-27/italia" TargetMode="External"/><Relationship Id="rId12" Type="http://schemas.openxmlformats.org/officeDocument/2006/relationships/hyperlink" Target="https://www.gazzetta.it/calcio/fantanews/05-08-2026/inter-al-fantacalcio-2026-27-titolari-rigorista-sorprese-consigli-su-chi-prendere.shtml" TargetMode="External"/><Relationship Id="rId13" Type="http://schemas.openxmlformats.org/officeDocument/2006/relationships/hyperlink" Target="https://www.fantacalcio.it/serie-a/squadre/juventus/vicario/4964/2026-27/italia" TargetMode="External"/><Relationship Id="rId14" Type="http://schemas.openxmlformats.org/officeDocument/2006/relationships/hyperlink" Target="https://www.gazzetta.it/calcio/fantanews/03-08-2026/juve-al-fantacalcio-2026-27-titolari-rigorista-sorprese-consigli-su-chi-prendere.shtml" TargetMode="External"/><Relationship Id="rId15" Type="http://schemas.openxmlformats.org/officeDocument/2006/relationships/hyperlink" Target="https://www.gazzetta.it/calcio/giocatori/jean-butez/201559/" TargetMode="External"/><Relationship Id="rId16" Type="http://schemas.openxmlformats.org/officeDocument/2006/relationships/hyperlink" Target="https://www.fantacalcio.it/serie-a/squadre/como/butez/6966/2026-27/italia" TargetMode="External"/><Relationship Id="rId17" Type="http://schemas.openxmlformats.org/officeDocument/2006/relationships/hyperlink" Target="https://www.gazzetta.it/calcio/fantanews/04-08-2026/como-fantacalcio-2026-27-titolari-rigorista-sorprese-consigli-su-chi-prendere.shtml" TargetMode="External"/><Relationship Id="rId18" Type="http://schemas.openxmlformats.org/officeDocument/2006/relationships/hyperlink" Target="https://www.gazzetta.it/calcio/giocatori/lukasz-skorupski/85288/" TargetMode="External"/><Relationship Id="rId19" Type="http://schemas.openxmlformats.org/officeDocument/2006/relationships/hyperlink" Target="https://www.fantacalcio.it/serie-a/squadre/bologna/skorupski/133/2026-27/italia" TargetMode="External"/><Relationship Id="rId20" Type="http://schemas.openxmlformats.org/officeDocument/2006/relationships/hyperlink" Target="https://www.gazzetta.it/calcio/fantanews/03-08-2026/bologna-fantacalcio-2026-27-titolari-rigorista-sorprese-consigli-su-chi-prendere.shtml" TargetMode="External"/><Relationship Id="rId21" Type="http://schemas.openxmlformats.org/officeDocument/2006/relationships/hyperlink" Target="https://www.gazzetta.it/calcio/giocatori/elia-caprile/463912/" TargetMode="External"/><Relationship Id="rId22" Type="http://schemas.openxmlformats.org/officeDocument/2006/relationships/hyperlink" Target="https://www.fantacalcio.it/serie-a/squadre/cagliari/caprile/4360/2026-27/italia" TargetMode="External"/><Relationship Id="rId23" Type="http://schemas.openxmlformats.org/officeDocument/2006/relationships/hyperlink" Target="https://www.gazzetta.it/calcio/fantanews/04-08-2026/cagliari-fantacalcio-2026-27-titolari-rigorista-sorprese-consigli-su-chi-prendere.shtml" TargetMode="External"/><Relationship Id="rId24" Type="http://schemas.openxmlformats.org/officeDocument/2006/relationships/hyperlink" Target="https://www.gazzetta.it/calcio/giocatori/christos-mandas/436416/" TargetMode="External"/><Relationship Id="rId25" Type="http://schemas.openxmlformats.org/officeDocument/2006/relationships/hyperlink" Target="https://www.fantacalcio.it/serie-a/squadre/lazio/mandas/6482/2026-27/italia" TargetMode="External"/><Relationship Id="rId26" Type="http://schemas.openxmlformats.org/officeDocument/2006/relationships/hyperlink" Target="https://www.gazzetta.it/calcio/fantanews/02-08-2026/lazio-al-fantacalcio-2026-27-titolari-rigorista-sorprese-e-consigli-su-chi-prendere.shtml" TargetMode="External"/><Relationship Id="rId27" Type="http://schemas.openxmlformats.org/officeDocument/2006/relationships/hyperlink" Target="https://www.gazzetta.it/calcio/giocatori/alex-meret/171366/" TargetMode="External"/><Relationship Id="rId28" Type="http://schemas.openxmlformats.org/officeDocument/2006/relationships/hyperlink" Target="https://www.fantacalcio.it/serie-a/squadre/napoli/meret/572/2026-27/italia" TargetMode="External"/><Relationship Id="rId29" Type="http://schemas.openxmlformats.org/officeDocument/2006/relationships/hyperlink" Target="https://www.gazzetta.it/calcio/fantanews/02-08-2026/napoli-fantacalcio-2026-27-titolari-rigorista-sorprese-consigli-su-chi-prendere.shtml" TargetMode="External"/><Relationship Id="rId30" Type="http://schemas.openxmlformats.org/officeDocument/2006/relationships/hyperlink" Target="https://www.gazzetta.it/calcio/giocatori/justin-bijlow/184933/" TargetMode="External"/><Relationship Id="rId31" Type="http://schemas.openxmlformats.org/officeDocument/2006/relationships/hyperlink" Target="https://www.fantacalcio.it/serie-a/squadre/genoa/bijlow/7332/2026-27/italia" TargetMode="External"/><Relationship Id="rId32" Type="http://schemas.openxmlformats.org/officeDocument/2006/relationships/hyperlink" Target="https://www.gazzetta.it/calcio/fantanews/04-08-2026/genoa-al-fantacalcio-2026-27-titolari-rigorista-sorprese-consigli-su-chi-prendere.shtml" TargetMode="External"/><Relationship Id="rId33" Type="http://schemas.openxmlformats.org/officeDocument/2006/relationships/hyperlink" Target="https://www.gazzetta.it/calcio/giocatori/maduka-okoye/492443/" TargetMode="External"/><Relationship Id="rId34" Type="http://schemas.openxmlformats.org/officeDocument/2006/relationships/hyperlink" Target="https://www.fantacalcio.it/serie-a/squadre/udinese/okoye/6462/2026-27/italia" TargetMode="External"/><Relationship Id="rId35" Type="http://schemas.openxmlformats.org/officeDocument/2006/relationships/hyperlink" Target="https://www.gazzetta.it/calcio/fantanews/03-08-2026/udinese-fantacalcio-2026-27-titolari-rigorista-sorprese-consigli-su-chi-prendere.shtml" TargetMode="External"/><Relationship Id="rId36" Type="http://schemas.openxmlformats.org/officeDocument/2006/relationships/hyperlink" Target="https://www.fantacalcio.it/serie-a/squadre/torino/perri/6534/2026-27/italia" TargetMode="External"/><Relationship Id="rId37" Type="http://schemas.openxmlformats.org/officeDocument/2006/relationships/hyperlink" Target="https://www.gazzetta.it/calcio/fantanews/03-08-2026/torino-fantacalcio-2026-27-titolari-rigorista-sorprese-consigli-su-chi-prendere.shtml" TargetMode="External"/><Relationship Id="rId38" Type="http://schemas.openxmlformats.org/officeDocument/2006/relationships/hyperlink" Target="https://www.gazzetta.it/calcio/giocatori/wladimiro-falcone/126486/" TargetMode="External"/><Relationship Id="rId39" Type="http://schemas.openxmlformats.org/officeDocument/2006/relationships/hyperlink" Target="https://www.fantacalcio.it/serie-a/squadre/lecce/falcone/2134/2026-27/italia" TargetMode="External"/><Relationship Id="rId40" Type="http://schemas.openxmlformats.org/officeDocument/2006/relationships/hyperlink" Target="https://www.gazzetta.it/calcio/fantanews/04-08-2026/lecce-fantacalcio-2026-27-titolari-rigorista-sorprese-consigli-su-chi-prendere.shtml" TargetMode="External"/><Relationship Id="rId41" Type="http://schemas.openxmlformats.org/officeDocument/2006/relationships/hyperlink" Target="https://www.gazzetta.it/calcio/giocatori/david-de-gea/51940/" TargetMode="External"/><Relationship Id="rId42" Type="http://schemas.openxmlformats.org/officeDocument/2006/relationships/hyperlink" Target="https://www.fantacalcio.it/serie-a/squadre/fiorentina/de-gea/2521/2026-27/italia" TargetMode="External"/><Relationship Id="rId43" Type="http://schemas.openxmlformats.org/officeDocument/2006/relationships/hyperlink" Target="https://www.gazzetta.it/calcio/fantanews/02-08-2026/fiorentina-fantacalcio-2026-27-titolari-rigorista-sorprese-consigli-su-chi-prendere.shtml" TargetMode="External"/><Relationship Id="rId44" Type="http://schemas.openxmlformats.org/officeDocument/2006/relationships/hyperlink" Target="https://www.gazzetta.it/calcio/giocatori/arijanet-muric/232917/" TargetMode="External"/><Relationship Id="rId45" Type="http://schemas.openxmlformats.org/officeDocument/2006/relationships/hyperlink" Target="https://www.fantacalcio.it/serie-a/squadre/sassuolo/muric/4236/2026-27/italia" TargetMode="External"/><Relationship Id="rId46" Type="http://schemas.openxmlformats.org/officeDocument/2006/relationships/hyperlink" Target="https://www.gazzetta.it/calcio/fantanews/04-08-2026/sassuolo-fantacalcio-2026-27-titolari-rigorista-sorprese-consigli-su-chi-prendere.shtml" TargetMode="External"/><Relationship Id="rId47" Type="http://schemas.openxmlformats.org/officeDocument/2006/relationships/hyperlink" Target="https://www.gazzetta.it/calcio/giocatori/vanja-milinkovic-savic/193773/" TargetMode="External"/><Relationship Id="rId48" Type="http://schemas.openxmlformats.org/officeDocument/2006/relationships/hyperlink" Target="https://www.fantacalcio.it/serie-a/squadre/napoli/milinkovic-savic-v/2170/2026-27/italia" TargetMode="External"/><Relationship Id="rId49" Type="http://schemas.openxmlformats.org/officeDocument/2006/relationships/hyperlink" Target="https://www.gazzetta.it/calcio/fantanews/02-08-2026/napoli-fantacalcio-2026-27-titolari-rigorista-sorprese-consigli-su-chi-prendere.shtml" TargetMode="External"/><Relationship Id="rId50" Type="http://schemas.openxmlformats.org/officeDocument/2006/relationships/hyperlink" Target="https://www.fantacalcio.it/serie-a/squadre/frosinone/palmisani/6415/2026-27/italia" TargetMode="External"/><Relationship Id="rId51" Type="http://schemas.openxmlformats.org/officeDocument/2006/relationships/hyperlink" Target="https://www.gazzetta.it/calcio/fantanews/02-08-2026/frosinone-al-fantacalcio-2026-27-titolari-rigorista-sorprese-e-consigli-su-chi-prendere.shtml" TargetMode="External"/><Relationship Id="rId52" Type="http://schemas.openxmlformats.org/officeDocument/2006/relationships/hyperlink" Target="https://www.fantacalcio.it/serie-a/squadre/venezia/stankovic-f/6248/2026-27/italia" TargetMode="External"/><Relationship Id="rId53" Type="http://schemas.openxmlformats.org/officeDocument/2006/relationships/hyperlink" Target="https://www.gazzetta.it/calcio/fantanews/04-08-2026/venezia-al-fantacalcio-2026-27-titolari-rigorista-sorprese-consigli-su-chi-prendere.shtml" TargetMode="External"/><Relationship Id="rId54" Type="http://schemas.openxmlformats.org/officeDocument/2006/relationships/hyperlink" Target="https://www.gazzetta.it/calcio/giocatori/alberto-paleari/152934/" TargetMode="External"/><Relationship Id="rId55" Type="http://schemas.openxmlformats.org/officeDocument/2006/relationships/hyperlink" Target="https://www.fantacalcio.it/serie-a/squadre/torino/paleari/5320/2026-27/italia" TargetMode="External"/><Relationship Id="rId56" Type="http://schemas.openxmlformats.org/officeDocument/2006/relationships/hyperlink" Target="https://www.gazzetta.it/calcio/fantanews/03-08-2026/torino-fantacalcio-2026-27-titolari-rigorista-sorprese-consigli-su-chi-prendere.shtml" TargetMode="External"/><Relationship Id="rId57" Type="http://schemas.openxmlformats.org/officeDocument/2006/relationships/hyperlink" Target="https://www.fantacalcio.it/serie-a/squadre/monza/thiam/4485/2026-27/italia" TargetMode="External"/><Relationship Id="rId58" Type="http://schemas.openxmlformats.org/officeDocument/2006/relationships/hyperlink" Target="https://www.gazzetta.it/calcio/fantanews/05-08-2026/monza-al-fantacalcio-2026-27-titolari-rigorista-sorprese-consigli-su-chi-prendere.shtml" TargetMode="External"/><Relationship Id="rId59" Type="http://schemas.openxmlformats.org/officeDocument/2006/relationships/hyperlink" Target="https://www.fantacalcio.it/serie-a/squadre/parma/daffara/7411/2026-27/italia" TargetMode="External"/><Relationship Id="rId60" Type="http://schemas.openxmlformats.org/officeDocument/2006/relationships/hyperlink" Target="https://www.gazzetta.it/calcio/fantanews/03-08-2026/parma-al-fantacalcio-2026-27-titolari-rigorista-sorprese-consigli-su-chi-prendere.shtml" TargetMode="External"/><Relationship Id="rId61" Type="http://schemas.openxmlformats.org/officeDocument/2006/relationships/hyperlink" Target="https://www.gazzetta.it/calcio/giocatori/noel-tornqvist/501567/" TargetMode="External"/><Relationship Id="rId62" Type="http://schemas.openxmlformats.org/officeDocument/2006/relationships/hyperlink" Target="https://www.fantacalcio.it/serie-a/squadre/monza/tornqvist/7301/2026-27/italia" TargetMode="External"/><Relationship Id="rId63" Type="http://schemas.openxmlformats.org/officeDocument/2006/relationships/hyperlink" Target="https://www.gazzetta.it/calcio/fantanews/05-08-2026/monza-al-fantacalcio-2026-27-titolari-rigorista-sorprese-consigli-su-chi-prendere.shtml" TargetMode="External"/><Relationship Id="rId64" Type="http://schemas.openxmlformats.org/officeDocument/2006/relationships/hyperlink" Target="https://www.gazzetta.it/calcio/giocatori/edoardo-corvi/488616/" TargetMode="External"/><Relationship Id="rId65" Type="http://schemas.openxmlformats.org/officeDocument/2006/relationships/hyperlink" Target="https://www.fantacalcio.it/serie-a/squadre/parma/corvi/6662/2026-27/italia" TargetMode="External"/><Relationship Id="rId66" Type="http://schemas.openxmlformats.org/officeDocument/2006/relationships/hyperlink" Target="https://www.gazzetta.it/calcio/fantanews/03-08-2026/parma-al-fantacalcio-2026-27-titolari-rigorista-sorprese-consigli-su-chi-prendere.shtml" TargetMode="External"/><Relationship Id="rId67" Type="http://schemas.openxmlformats.org/officeDocument/2006/relationships/hyperlink" Target="https://www.gazzetta.it/calcio/giocatori/lorenzo-montipo/156245/" TargetMode="External"/><Relationship Id="rId68" Type="http://schemas.openxmlformats.org/officeDocument/2006/relationships/hyperlink" Target="https://www.fantacalcio.it/serie-a/squadre/venezia/montip%C3%B2/4957/2026-27/italia" TargetMode="External"/><Relationship Id="rId69" Type="http://schemas.openxmlformats.org/officeDocument/2006/relationships/hyperlink" Target="https://www.gazzetta.it/calcio/fantanews/04-08-2026/venezia-al-fantacalcio-2026-27-titolari-rigorista-sorprese-consigli-su-chi-prendere.shtml" TargetMode="External"/><Relationship Id="rId70" Type="http://schemas.openxmlformats.org/officeDocument/2006/relationships/hyperlink" Target="https://www.gazzetta.it/calcio/giocatori/ivan-provedel/151923/" TargetMode="External"/><Relationship Id="rId71" Type="http://schemas.openxmlformats.org/officeDocument/2006/relationships/hyperlink" Target="https://www.fantacalcio.it/serie-a/squadre/inter/provedel/2814/2026-27/italia" TargetMode="External"/><Relationship Id="rId72" Type="http://schemas.openxmlformats.org/officeDocument/2006/relationships/hyperlink" Target="https://www.gazzetta.it/calcio/fantanews/05-08-2026/inter-al-fantacalcio-2026-27-titolari-rigorista-sorprese-consigli-su-chi-prendere.shtml" TargetMode="External"/><Relationship Id="rId73" Type="http://schemas.openxmlformats.org/officeDocument/2006/relationships/hyperlink" Target="https://www.gazzetta.it/calcio/giocatori/alessandro-mazzocchi/711788/" TargetMode="External"/><Relationship Id="rId74" Type="http://schemas.openxmlformats.org/officeDocument/2006/relationships/hyperlink" Target="https://www.gazzetta.it/calcio/giocatori/oliver-christensen/243349/" TargetMode="External"/><Relationship Id="rId75" Type="http://schemas.openxmlformats.org/officeDocument/2006/relationships/hyperlink" Target="https://www.fantacalcio.it/serie-a/squadre/fiorentina/christensen-o/6403/2026-27/italia" TargetMode="External"/><Relationship Id="rId76" Type="http://schemas.openxmlformats.org/officeDocument/2006/relationships/hyperlink" Target="https://www.gazzetta.it/calcio/fantanews/02-08-2026/fiorentina-fantacalcio-2026-27-titolari-rigorista-sorprese-consigli-su-chi-prendere.shtml" TargetMode="External"/><Relationship Id="rId77" Type="http://schemas.openxmlformats.org/officeDocument/2006/relationships/hyperlink" Target="https://www.gazzetta.it/calcio/giocatori/pietro-terracciano/79583/" TargetMode="External"/><Relationship Id="rId78" Type="http://schemas.openxmlformats.org/officeDocument/2006/relationships/hyperlink" Target="https://www.fantacalcio.it/serie-a/squadre/milan/terracciano/2815/2026-27/italia" TargetMode="External"/><Relationship Id="rId79" Type="http://schemas.openxmlformats.org/officeDocument/2006/relationships/hyperlink" Target="https://www.gazzetta.it/calcio/fantanews/02-08-2026/milan-al-fantacalcio-2026-27-titolari-rigorista-sorprese-e-consigli-su-chi-prendere.shtml" TargetMode="External"/><Relationship Id="rId80" Type="http://schemas.openxmlformats.org/officeDocument/2006/relationships/hyperlink" Target="https://www.fantacalcio.it/serie-a/squadre/torino/mascardi/7457/2026-27/italia" TargetMode="External"/><Relationship Id="rId81" Type="http://schemas.openxmlformats.org/officeDocument/2006/relationships/hyperlink" Target="https://www.gazzetta.it/calcio/fantanews/03-08-2026/torino-fantacalcio-2026-27-titolari-rigorista-sorprese-consigli-su-chi-prendere.shtml" TargetMode="External"/><Relationship Id="rId82" Type="http://schemas.openxmlformats.org/officeDocument/2006/relationships/hyperlink" Target="https://www.gazzetta.it/calcio/giocatori/edoardo-motta/596827/" TargetMode="External"/><Relationship Id="rId83" Type="http://schemas.openxmlformats.org/officeDocument/2006/relationships/hyperlink" Target="https://www.fantacalcio.it/serie-a/squadre/lazio/motta/7337/2026-27/italia" TargetMode="External"/><Relationship Id="rId84" Type="http://schemas.openxmlformats.org/officeDocument/2006/relationships/hyperlink" Target="https://www.gazzetta.it/calcio/fantanews/02-08-2026/lazio-al-fantacalcio-2026-27-titolari-rigorista-sorprese-e-consigli-su-chi-prendere.shtml" TargetMode="External"/><Relationship Id="rId85" Type="http://schemas.openxmlformats.org/officeDocument/2006/relationships/hyperlink" Target="https://www.gazzetta.it/calcio/giocatori/massimo-pessina/636715/" TargetMode="External"/><Relationship Id="rId86" Type="http://schemas.openxmlformats.org/officeDocument/2006/relationships/hyperlink" Target="https://www.fantacalcio.it/serie-a/squadre/bologna/pessina-mas/7172/2026-27/italia" TargetMode="External"/><Relationship Id="rId87" Type="http://schemas.openxmlformats.org/officeDocument/2006/relationships/hyperlink" Target="https://www.gazzetta.it/calcio/fantanews/03-08-2026/bologna-fantacalcio-2026-27-titolari-rigorista-sorprese-consigli-su-chi-prendere.shtml" TargetMode="External"/><Relationship Id="rId88" Type="http://schemas.openxmlformats.org/officeDocument/2006/relationships/hyperlink" Target="https://www.gazzetta.it/calcio/giocatori/stefano-turati/433128/" TargetMode="External"/><Relationship Id="rId89" Type="http://schemas.openxmlformats.org/officeDocument/2006/relationships/hyperlink" Target="https://www.fantacalcio.it/serie-a/squadre/sassuolo/turati/4867/2026-27/italia" TargetMode="External"/><Relationship Id="rId90" Type="http://schemas.openxmlformats.org/officeDocument/2006/relationships/hyperlink" Target="https://www.gazzetta.it/calcio/fantanews/04-08-2026/sassuolo-fantacalcio-2026-27-titolari-rigorista-sorprese-consigli-su-chi-prendere.shtml" TargetMode="External"/><Relationship Id="rId91" Type="http://schemas.openxmlformats.org/officeDocument/2006/relationships/hyperlink" Target="https://www.gazzetta.it/calcio/giocatori/daniele-padelli/18377/" TargetMode="External"/><Relationship Id="rId92" Type="http://schemas.openxmlformats.org/officeDocument/2006/relationships/hyperlink" Target="https://www.fantacalcio.it/serie-a/squadre/udinese/padelli/543/2026-27/italia" TargetMode="External"/><Relationship Id="rId93" Type="http://schemas.openxmlformats.org/officeDocument/2006/relationships/hyperlink" Target="https://www.gazzetta.it/calcio/fantanews/03-08-2026/udinese-fantacalcio-2026-27-titolari-rigorista-sorprese-consigli-su-chi-prendere.shtml" TargetMode="External"/><Relationship Id="rId94" Type="http://schemas.openxmlformats.org/officeDocument/2006/relationships/hyperlink" Target="https://www.gazzetta.it/calcio/giocatori/alessio-furlanetto/484471/" TargetMode="External"/><Relationship Id="rId95" Type="http://schemas.openxmlformats.org/officeDocument/2006/relationships/hyperlink" Target="https://www.gazzetta.it/calcio/giocatori/daniele-sommariva/195561/" TargetMode="External"/><Relationship Id="rId96" Type="http://schemas.openxmlformats.org/officeDocument/2006/relationships/hyperlink" Target="https://www.fantacalcio.it/serie-a/squadre/genoa/sommariva/219/2026-27/italia" TargetMode="External"/><Relationship Id="rId97" Type="http://schemas.openxmlformats.org/officeDocument/2006/relationships/hyperlink" Target="https://www.gazzetta.it/calcio/fantanews/04-08-2026/genoa-al-fantacalcio-2026-27-titolari-rigorista-sorprese-consigli-su-chi-prendere.shtml" TargetMode="External"/><Relationship Id="rId98" Type="http://schemas.openxmlformats.org/officeDocument/2006/relationships/hyperlink" Target="https://www.gazzetta.it/calcio/giocatori/marco-sportiello/55083/" TargetMode="External"/><Relationship Id="rId99" Type="http://schemas.openxmlformats.org/officeDocument/2006/relationships/hyperlink" Target="https://www.fantacalcio.it/serie-a/squadre/atalanta/sportiello/4/2026-27/italia" TargetMode="External"/><Relationship Id="rId100" Type="http://schemas.openxmlformats.org/officeDocument/2006/relationships/hyperlink" Target="https://www.gazzetta.it/calcio/fantanews/02-08-2026/atalanta-fantacalcio-2026-27-titolari-rigorista-sorprese-consigli-su-chi-prendere.shtml" TargetMode="External"/><Relationship Id="rId101" Type="http://schemas.openxmlformats.org/officeDocument/2006/relationships/hyperlink" Target="https://www.gazzetta.it/calcio/giocatori/raffaele-di-gennaro/149261/" TargetMode="External"/><Relationship Id="rId102" Type="http://schemas.openxmlformats.org/officeDocument/2006/relationships/hyperlink" Target="https://www.fantacalcio.it/serie-a/squadre/inter/di-gennaro/1926/2026-27/italia" TargetMode="External"/><Relationship Id="rId103" Type="http://schemas.openxmlformats.org/officeDocument/2006/relationships/hyperlink" Target="https://www.gazzetta.it/calcio/fantanews/05-08-2026/inter-al-fantacalcio-2026-27-titolari-rigorista-sorprese-consigli-su-chi-prendere.shtml" TargetMode="External"/><Relationship Id="rId104" Type="http://schemas.openxmlformats.org/officeDocument/2006/relationships/hyperlink" Target="https://www.fantacalcio.it/serie-a/squadre/frosinone/desplanches/7463/2026-27/italia" TargetMode="External"/><Relationship Id="rId105" Type="http://schemas.openxmlformats.org/officeDocument/2006/relationships/hyperlink" Target="https://www.gazzetta.it/calcio/fantanews/02-08-2026/frosinone-al-fantacalcio-2026-27-titolari-rigorista-sorprese-e-consigli-su-chi-prendere.shtml" TargetMode="External"/><Relationship Id="rId106" Type="http://schemas.openxmlformats.org/officeDocument/2006/relationships/hyperlink" Target="https://www.gazzetta.it/calcio/giocatori/alen-sherri/210284/" TargetMode="External"/><Relationship Id="rId107" Type="http://schemas.openxmlformats.org/officeDocument/2006/relationships/hyperlink" Target="https://www.fantacalcio.it/serie-a/squadre/cagliari/sherri/6650/2026-27/italia" TargetMode="External"/><Relationship Id="rId108" Type="http://schemas.openxmlformats.org/officeDocument/2006/relationships/hyperlink" Target="https://www.gazzetta.it/calcio/fantanews/04-08-2026/cagliari-fantacalcio-2026-27-titolari-rigorista-sorprese-consigli-su-chi-prendere.shtml" TargetMode="External"/><Relationship Id="rId109" Type="http://schemas.openxmlformats.org/officeDocument/2006/relationships/hyperlink" Target="https://www.fantacalcio.it/serie-a/squadre/venezia/pozzi/7531/2026-27/italia" TargetMode="External"/><Relationship Id="rId110" Type="http://schemas.openxmlformats.org/officeDocument/2006/relationships/hyperlink" Target="https://www.gazzetta.it/calcio/fantanews/04-08-2026/venezia-al-fantacalcio-2026-27-titolari-rigorista-sorprese-consigli-su-chi-prendere.shtml" TargetMode="External"/><Relationship Id="rId111" Type="http://schemas.openxmlformats.org/officeDocument/2006/relationships/hyperlink" Target="https://www.fantacalcio.it/serie-a/squadre/monza/strajnar/7475/2026-27/italia" TargetMode="External"/><Relationship Id="rId112" Type="http://schemas.openxmlformats.org/officeDocument/2006/relationships/hyperlink" Target="https://www.gazzetta.it/calcio/fantanews/05-08-2026/monza-al-fantacalcio-2026-27-titolari-rigorista-sorprese-consigli-su-chi-prendere.shtml" TargetMode="External"/><Relationship Id="rId113" Type="http://schemas.openxmlformats.org/officeDocument/2006/relationships/hyperlink" Target="https://www.fantacalcio.it/serie-a/squadre/udinese/mrozek/7611/2026-27/italia" TargetMode="External"/><Relationship Id="rId114" Type="http://schemas.openxmlformats.org/officeDocument/2006/relationships/hyperlink" Target="https://www.gazzetta.it/calcio/fantanews/03-08-2026/udinese-fantacalcio-2026-27-titolari-rigorista-sorprese-consigli-su-chi-prendere.shtml" TargetMode="External"/><Relationship Id="rId115" Type="http://schemas.openxmlformats.org/officeDocument/2006/relationships/hyperlink" Target="https://www.gazzetta.it/calcio/giocatori/boris-radunovic/213535/" TargetMode="External"/><Relationship Id="rId116" Type="http://schemas.openxmlformats.org/officeDocument/2006/relationships/hyperlink" Target="https://www.fantacalcio.it/serie-a/squadre/cagliari/radunovic/3/2026-27/italia" TargetMode="External"/><Relationship Id="rId117" Type="http://schemas.openxmlformats.org/officeDocument/2006/relationships/hyperlink" Target="https://www.gazzetta.it/calcio/fantanews/04-08-2026/cagliari-fantacalcio-2026-27-titolari-rigorista-sorprese-consigli-su-chi-prendere.shtml" TargetMode="External"/><Relationship Id="rId118" Type="http://schemas.openxmlformats.org/officeDocument/2006/relationships/hyperlink" Target="https://www.gazzetta.it/calcio/giocatori/carlo-pinsoglio/59338/" TargetMode="External"/><Relationship Id="rId119" Type="http://schemas.openxmlformats.org/officeDocument/2006/relationships/hyperlink" Target="https://www.fantacalcio.it/serie-a/squadre/juventus/pinsoglio/1930/2026-27/italia" TargetMode="External"/><Relationship Id="rId120" Type="http://schemas.openxmlformats.org/officeDocument/2006/relationships/hyperlink" Target="https://www.gazzetta.it/calcio/fantanews/03-08-2026/juve-al-fantacalcio-2026-27-titolari-rigorista-sorprese-consigli-su-chi-prendere.shtml" TargetMode="External"/><Relationship Id="rId121" Type="http://schemas.openxmlformats.org/officeDocument/2006/relationships/hyperlink" Target="https://www.fantacalcio.it/serie-a/squadre/lazio/renzetti/7534/2026-27/italia" TargetMode="External"/><Relationship Id="rId122" Type="http://schemas.openxmlformats.org/officeDocument/2006/relationships/hyperlink" Target="https://www.gazzetta.it/calcio/fantanews/02-08-2026/lazio-al-fantacalcio-2026-27-titolari-rigorista-sorprese-e-consigli-su-chi-prendere.shtml" TargetMode="External"/><Relationship Id="rId123" Type="http://schemas.openxmlformats.org/officeDocument/2006/relationships/hyperlink" Target="https://www.gazzetta.it/calcio/giocatori/devis-vasquez/223752/" TargetMode="External"/><Relationship Id="rId124" Type="http://schemas.openxmlformats.org/officeDocument/2006/relationships/hyperlink" Target="https://www.fantacalcio.it/serie-a/squadre/udinese/piana/5707/2026-27/italia" TargetMode="External"/><Relationship Id="rId125" Type="http://schemas.openxmlformats.org/officeDocument/2006/relationships/hyperlink" Target="https://www.gazzetta.it/calcio/fantanews/03-08-2026/udinese-fantacalcio-2026-27-titolari-rigorista-sorprese-consigli-su-chi-prendere.shtml" TargetMode="External"/><Relationship Id="rId126" Type="http://schemas.openxmlformats.org/officeDocument/2006/relationships/hyperlink" Target="https://www.fantacalcio.it/serie-a/squadre/frosinone/lolic/7466/2026-27/italia" TargetMode="External"/><Relationship Id="rId127" Type="http://schemas.openxmlformats.org/officeDocument/2006/relationships/hyperlink" Target="https://www.gazzetta.it/calcio/fantanews/02-08-2026/frosinone-al-fantacalcio-2026-27-titolari-rigorista-sorprese-e-consigli-su-chi-prendere.shtml" TargetMode="External"/><Relationship Id="rId128" Type="http://schemas.openxmlformats.org/officeDocument/2006/relationships/hyperlink" Target="https://www.gazzetta.it/calcio/giocatori/francesco-rossi/73709/" TargetMode="External"/><Relationship Id="rId129" Type="http://schemas.openxmlformats.org/officeDocument/2006/relationships/hyperlink" Target="https://www.fantacalcio.it/serie-a/squadre/atalanta/rossi-f/2297/2026-27/italia" TargetMode="External"/><Relationship Id="rId130" Type="http://schemas.openxmlformats.org/officeDocument/2006/relationships/hyperlink" Target="https://www.gazzetta.it/calcio/fantanews/02-08-2026/atalanta-fantacalcio-2026-27-titolari-rigorista-sorprese-consigli-su-chi-prendere.shtml" TargetMode="External"/><Relationship Id="rId131" Type="http://schemas.openxmlformats.org/officeDocument/2006/relationships/hyperlink" Target="https://www.fantacalcio.it/serie-a/squadre/genoa/stolz/6569/2026-27/italia" TargetMode="External"/><Relationship Id="rId132" Type="http://schemas.openxmlformats.org/officeDocument/2006/relationships/hyperlink" Target="https://www.gazzetta.it/calcio/fantanews/04-08-2026/genoa-al-fantacalcio-2026-27-titolari-rigorista-sorprese-consigli-su-chi-prendere.shtml" TargetMode="External"/><Relationship Id="rId133" Type="http://schemas.openxmlformats.org/officeDocument/2006/relationships/hyperlink" Target="https://www.gazzetta.it/calcio/giocatori/giacomo-satalino/223540/" TargetMode="External"/><Relationship Id="rId134" Type="http://schemas.openxmlformats.org/officeDocument/2006/relationships/hyperlink" Target="https://www.fantacalcio.it/serie-a/squadre/sassuolo/satalino/2127/2026-27/italia" TargetMode="External"/><Relationship Id="rId135" Type="http://schemas.openxmlformats.org/officeDocument/2006/relationships/hyperlink" Target="https://www.gazzetta.it/calcio/fantanews/04-08-2026/sassuolo-fantacalcio-2026-27-titolari-rigorista-sorprese-consigli-su-chi-prendere.shtml" TargetMode="External"/><Relationship Id="rId136" Type="http://schemas.openxmlformats.org/officeDocument/2006/relationships/hyperlink" Target="https://www.fantacalcio.it/serie-a/squadre/roma/de-marzi/7048/2026-27/italia" TargetMode="External"/><Relationship Id="rId137" Type="http://schemas.openxmlformats.org/officeDocument/2006/relationships/hyperlink" Target="https://www.gazzetta.it/calcio/fantanews/03-08-2026/roma-al-fantacalcio-2026-27-titolari-rigorista-sorprese-consigli-su-chi-prendere.shtml" TargetMode="External"/><Relationship Id="rId138" Type="http://schemas.openxmlformats.org/officeDocument/2006/relationships/hyperlink" Target="https://www.fantacalcio.it/serie-a/squadre/juventus/grabara/7603/2026-27/italia" TargetMode="External"/><Relationship Id="rId139" Type="http://schemas.openxmlformats.org/officeDocument/2006/relationships/hyperlink" Target="https://www.gazzetta.it/calcio/fantanews/03-08-2026/juve-al-fantacalcio-2026-27-titolari-rigorista-sorprese-consigli-su-chi-prendere.shtml" TargetMode="External"/><Relationship Id="rId140" Type="http://schemas.openxmlformats.org/officeDocument/2006/relationships/hyperlink" Target="https://www.gazzetta.it/calcio/giocatori/lapo-siviero/628553/" TargetMode="External"/><Relationship Id="rId141" Type="http://schemas.openxmlformats.org/officeDocument/2006/relationships/hyperlink" Target="https://www.fantacalcio.it/serie-a/squadre/torino/siviero/7363/2026-27/italia" TargetMode="External"/><Relationship Id="rId142" Type="http://schemas.openxmlformats.org/officeDocument/2006/relationships/hyperlink" Target="https://www.gazzetta.it/calcio/fantanews/03-08-2026/torino-fantacalcio-2026-27-titolari-rigorista-sorprese-consigli-su-chi-prendere.shtml" TargetMode="External"/><Relationship Id="rId143" Type="http://schemas.openxmlformats.org/officeDocument/2006/relationships/hyperlink" Target="https://www.gazzetta.it/calcio/giocatori/lorenzo-torriani/592922/" TargetMode="External"/><Relationship Id="rId144" Type="http://schemas.openxmlformats.org/officeDocument/2006/relationships/hyperlink" Target="https://www.fantacalcio.it/serie-a/squadre/milan/torriani/6813/2026-27/italia" TargetMode="External"/><Relationship Id="rId145" Type="http://schemas.openxmlformats.org/officeDocument/2006/relationships/hyperlink" Target="https://www.gazzetta.it/calcio/fantanews/02-08-2026/milan-al-fantacalcio-2026-27-titolari-rigorista-sorprese-e-consigli-su-chi-prendere.shtml" TargetMode="External"/><Relationship Id="rId146" Type="http://schemas.openxmlformats.org/officeDocument/2006/relationships/hyperlink" Target="https://www.gazzetta.it/calcio/giocatori/luca-lezzerini/105128/" TargetMode="External"/><Relationship Id="rId147" Type="http://schemas.openxmlformats.org/officeDocument/2006/relationships/hyperlink" Target="https://www.fantacalcio.it/serie-a/squadre/fiorentina/lezzerini/158/2026-27/italia" TargetMode="External"/><Relationship Id="rId148" Type="http://schemas.openxmlformats.org/officeDocument/2006/relationships/hyperlink" Target="https://www.gazzetta.it/calcio/fantanews/02-08-2026/fiorentina-fantacalcio-2026-27-titolari-rigorista-sorprese-consigli-su-chi-prendere.shtml" TargetMode="External"/><Relationship Id="rId149" Type="http://schemas.openxmlformats.org/officeDocument/2006/relationships/hyperlink" Target="https://www.fantacalcio.it/serie-a/squadre/lecce/bleve/4468/2026-27/italia" TargetMode="External"/><Relationship Id="rId150" Type="http://schemas.openxmlformats.org/officeDocument/2006/relationships/hyperlink" Target="https://www.gazzetta.it/calcio/fantanews/04-08-2026/lecce-fantacalcio-2026-27-titolari-rigorista-sorprese-consigli-su-chi-prendere.shtml" TargetMode="External"/><Relationship Id="rId151" Type="http://schemas.openxmlformats.org/officeDocument/2006/relationships/hyperlink" Target="https://www.fantacalcio.it/serie-a/squadre/venezia/grandi/6671/2026-27/italia" TargetMode="External"/><Relationship Id="rId152" Type="http://schemas.openxmlformats.org/officeDocument/2006/relationships/hyperlink" Target="https://www.gazzetta.it/calcio/fantanews/04-08-2026/venezia-al-fantacalcio-2026-27-titolari-rigorista-sorprese-consigli-su-chi-prendere.shtml" TargetMode="External"/><Relationship Id="rId153" Type="http://schemas.openxmlformats.org/officeDocument/2006/relationships/hyperlink" Target="https://www.fantacalcio.it/serie-a/squadre/frosinone/pisseri/7560/2026-27/italia" TargetMode="External"/><Relationship Id="rId154" Type="http://schemas.openxmlformats.org/officeDocument/2006/relationships/hyperlink" Target="https://www.gazzetta.it/calcio/fantanews/02-08-2026/frosinone-al-fantacalcio-2026-27-titolari-rigorista-sorprese-e-consigli-su-chi-prendere.shtml" TargetMode="External"/><Relationship Id="rId155" Type="http://schemas.openxmlformats.org/officeDocument/2006/relationships/hyperlink" Target="https://www.gazzetta.it/calcio/giocatori/mauro-vigorito/49719/" TargetMode="External"/><Relationship Id="rId156" Type="http://schemas.openxmlformats.org/officeDocument/2006/relationships/hyperlink" Target="https://www.fantacalcio.it/serie-a/squadre/como/vigorito/2809/2026-27/italia" TargetMode="External"/><Relationship Id="rId157" Type="http://schemas.openxmlformats.org/officeDocument/2006/relationships/hyperlink" Target="https://www.gazzetta.it/calcio/fantanews/04-08-2026/como-fantacalcio-2026-27-titolari-rigorista-sorprese-consigli-su-chi-prendere.shtml" TargetMode="External"/><Relationship Id="rId158" Type="http://schemas.openxmlformats.org/officeDocument/2006/relationships/hyperlink" Target="https://www.gazzetta.it/calcio/giocatori/nikita-contini/177880/" TargetMode="External"/><Relationship Id="rId159" Type="http://schemas.openxmlformats.org/officeDocument/2006/relationships/hyperlink" Target="https://www.fantacalcio.it/serie-a/squadre/napoli/contini/2845/2026-27/italia" TargetMode="External"/><Relationship Id="rId160" Type="http://schemas.openxmlformats.org/officeDocument/2006/relationships/hyperlink" Target="https://www.gazzetta.it/calcio/fantanews/02-08-2026/napoli-fantacalcio-2026-27-titolari-rigorista-sorprese-consigli-su-chi-prendere.shtml" TargetMode="External"/><Relationship Id="rId161" Type="http://schemas.openxmlformats.org/officeDocument/2006/relationships/hyperlink" Target="https://www.gazzetta.it/calcio/giocatori/pierluigi-gollini/156683/" TargetMode="External"/><Relationship Id="rId162" Type="http://schemas.openxmlformats.org/officeDocument/2006/relationships/hyperlink" Target="https://www.fantacalcio.it/serie-a/squadre/roma/gollini/610/2026-27/italia" TargetMode="External"/><Relationship Id="rId163" Type="http://schemas.openxmlformats.org/officeDocument/2006/relationships/hyperlink" Target="https://www.gazzetta.it/calcio/fantanews/03-08-2026/roma-al-fantacalcio-2026-27-titolari-rigorista-sorprese-consigli-su-chi-prendere.shtml" TargetMode="External"/><Relationship Id="rId164" Type="http://schemas.openxmlformats.org/officeDocument/2006/relationships/hyperlink" Target="https://www.fantacalcio.it/serie-a/squadre/lecce/penev/7557/2026-27/italia" TargetMode="External"/><Relationship Id="rId165" Type="http://schemas.openxmlformats.org/officeDocument/2006/relationships/hyperlink" Target="https://www.gazzetta.it/calcio/fantanews/04-08-2026/lecce-fantacalcio-2026-27-titolari-rigorista-sorprese-consigli-su-chi-prendere.shtml" TargetMode="External"/><Relationship Id="rId166" Type="http://schemas.openxmlformats.org/officeDocument/2006/relationships/hyperlink" Target="https://www.gazzetta.it/calcio/giocatori/robert-sanchez/215059/" TargetMode="External"/><Relationship Id="rId167" Type="http://schemas.openxmlformats.org/officeDocument/2006/relationships/hyperlink" Target="https://www.fantacalcio.it/serie-a/squadre/como/sanchez-ro/6344/2026-27/italia" TargetMode="External"/><Relationship Id="rId168" Type="http://schemas.openxmlformats.org/officeDocument/2006/relationships/hyperlink" Target="https://www.gazzetta.it/calcio/fantanews/04-08-2026/como-fantacalcio-2026-27-titolari-rigorista-sorprese-consigli-su-chi-prendere.shtml" TargetMode="External"/><Relationship Id="rId169" Type="http://schemas.openxmlformats.org/officeDocument/2006/relationships/hyperlink" Target="https://www.fantacalcio.it/serie-a/squadre/parma/ghidotti/2874/2026-27/italia" TargetMode="External"/><Relationship Id="rId170" Type="http://schemas.openxmlformats.org/officeDocument/2006/relationships/hyperlink" Target="https://www.gazzetta.it/calcio/fantanews/03-08-2026/parma-al-fantacalcio-2026-27-titolari-rigorista-sorprese-consigli-su-chi-prendere.shtml" TargetMode="External"/><Relationship Id="rId171" Type="http://schemas.openxmlformats.org/officeDocument/2006/relationships/hyperlink" Target="https://www.fantacalcio.it/serie-a/squadre/atalanta/pompei/7626/2026-27/italia" TargetMode="External"/><Relationship Id="rId172" Type="http://schemas.openxmlformats.org/officeDocument/2006/relationships/hyperlink" Target="https://www.gazzetta.it/calcio/fantanews/02-08-2026/atalanta-fantacalcio-2026-27-titolari-rigorista-sorprese-consigli-su-chi-prendere.shtml" TargetMode="External"/><Relationship Id="rId173" Type="http://schemas.openxmlformats.org/officeDocument/2006/relationships/hyperlink" Target="https://www.fantacalcio.it/serie-a/squadre/bologna/happonen/7533/2026-27/italia" TargetMode="External"/><Relationship Id="rId174" Type="http://schemas.openxmlformats.org/officeDocument/2006/relationships/hyperlink" Target="https://www.gazzetta.it/calcio/fantanews/03-08-2026/bologna-fantacalcio-2026-27-titolari-rigorista-sorprese-consigli-su-chi-prendere.shtml" TargetMode="External"/><Relationship Id="rId175" Type="http://schemas.openxmlformats.org/officeDocument/2006/relationships/hyperlink" Target="https://www.gazzetta.it/calcio/giocatori/franco-israel/425703/" TargetMode="External"/><Relationship Id="rId176" Type="http://schemas.openxmlformats.org/officeDocument/2006/relationships/hyperlink" Target="https://www.gazzetta.it/calcio/giocatori/federico-dimarco/161919/" TargetMode="External"/><Relationship Id="rId177" Type="http://schemas.openxmlformats.org/officeDocument/2006/relationships/hyperlink" Target="https://www.fantacalcio.it/serie-a/squadre/inter/dimarco/254/2026-27/italia" TargetMode="External"/><Relationship Id="rId178" Type="http://schemas.openxmlformats.org/officeDocument/2006/relationships/hyperlink" Target="https://www.gazzetta.it/calcio/fantanews/05-08-2026/inter-al-fantacalcio-2026-27-titolari-rigorista-sorprese-consigli-su-chi-prendere.shtml" TargetMode="External"/><Relationship Id="rId179" Type="http://schemas.openxmlformats.org/officeDocument/2006/relationships/hyperlink" Target="https://www.gazzetta.it/calcio/giocatori/gianluca-mancini/198374/" TargetMode="External"/><Relationship Id="rId180" Type="http://schemas.openxmlformats.org/officeDocument/2006/relationships/hyperlink" Target="https://www.fantacalcio.it/serie-a/squadre/roma/mancini/2296/2026-27/italia" TargetMode="External"/><Relationship Id="rId181" Type="http://schemas.openxmlformats.org/officeDocument/2006/relationships/hyperlink" Target="https://www.gazzetta.it/calcio/fantanews/03-08-2026/roma-al-fantacalcio-2026-27-titolari-rigorista-sorprese-consigli-su-chi-prendere.shtml" TargetMode="External"/><Relationship Id="rId182" Type="http://schemas.openxmlformats.org/officeDocument/2006/relationships/hyperlink" Target="https://www.gazzetta.it/calcio/giocatori/bremer/428585/" TargetMode="External"/><Relationship Id="rId183" Type="http://schemas.openxmlformats.org/officeDocument/2006/relationships/hyperlink" Target="https://www.fantacalcio.it/serie-a/squadre/juventus/bremer/2788/2026-27/italia" TargetMode="External"/><Relationship Id="rId184" Type="http://schemas.openxmlformats.org/officeDocument/2006/relationships/hyperlink" Target="https://www.gazzetta.it/calcio/fantanews/03-08-2026/juve-al-fantacalcio-2026-27-titolari-rigorista-sorprese-consigli-su-chi-prendere.shtml" TargetMode="External"/><Relationship Id="rId185" Type="http://schemas.openxmlformats.org/officeDocument/2006/relationships/hyperlink" Target="https://www.gazzetta.it/calcio/giocatori/wesley/563663/" TargetMode="External"/><Relationship Id="rId186" Type="http://schemas.openxmlformats.org/officeDocument/2006/relationships/hyperlink" Target="https://www.fantacalcio.it/serie-a/squadre/roma/wesley/7181/2026-27/italia" TargetMode="External"/><Relationship Id="rId187" Type="http://schemas.openxmlformats.org/officeDocument/2006/relationships/hyperlink" Target="https://www.gazzetta.it/calcio/fantanews/03-08-2026/roma-al-fantacalcio-2026-27-titolari-rigorista-sorprese-consigli-su-chi-prendere.shtml" TargetMode="External"/><Relationship Id="rId188" Type="http://schemas.openxmlformats.org/officeDocument/2006/relationships/hyperlink" Target="https://www.gazzetta.it/calcio/giocatori/alessandro-bastoni/215977/" TargetMode="External"/><Relationship Id="rId189" Type="http://schemas.openxmlformats.org/officeDocument/2006/relationships/hyperlink" Target="https://www.fantacalcio.it/serie-a/squadre/inter/bastoni/2120/2026-27/italia" TargetMode="External"/><Relationship Id="rId190" Type="http://schemas.openxmlformats.org/officeDocument/2006/relationships/hyperlink" Target="https://www.gazzetta.it/calcio/fantanews/05-08-2026/inter-al-fantacalcio-2026-27-titolari-rigorista-sorprese-consigli-su-chi-prendere.shtml" TargetMode="External"/><Relationship Id="rId191" Type="http://schemas.openxmlformats.org/officeDocument/2006/relationships/hyperlink" Target="https://www.gazzetta.it/calcio/giocatori/davide-zappacosta/105700/" TargetMode="External"/><Relationship Id="rId192" Type="http://schemas.openxmlformats.org/officeDocument/2006/relationships/hyperlink" Target="https://www.fantacalcio.it/serie-a/squadre/atalanta/zappacosta/554/2026-27/italia" TargetMode="External"/><Relationship Id="rId193" Type="http://schemas.openxmlformats.org/officeDocument/2006/relationships/hyperlink" Target="https://www.gazzetta.it/calcio/fantanews/02-08-2026/atalanta-fantacalcio-2026-27-titolari-rigorista-sorprese-consigli-su-chi-prendere.shtml" TargetMode="External"/><Relationship Id="rId194" Type="http://schemas.openxmlformats.org/officeDocument/2006/relationships/hyperlink" Target="https://www.gazzetta.it/calcio/giocatori/evan-ndicka/208553/" TargetMode="External"/><Relationship Id="rId195" Type="http://schemas.openxmlformats.org/officeDocument/2006/relationships/hyperlink" Target="https://www.fantacalcio.it/serie-a/squadre/roma/n-dicka/4317/2026-27/italia" TargetMode="External"/><Relationship Id="rId196" Type="http://schemas.openxmlformats.org/officeDocument/2006/relationships/hyperlink" Target="https://www.gazzetta.it/calcio/fantanews/03-08-2026/roma-al-fantacalcio-2026-27-titolari-rigorista-sorprese-consigli-su-chi-prendere.shtml" TargetMode="External"/><Relationship Id="rId197" Type="http://schemas.openxmlformats.org/officeDocument/2006/relationships/hyperlink" Target="https://www.gazzetta.it/calcio/giocatori/pierre-kalulu/466041/" TargetMode="External"/><Relationship Id="rId198" Type="http://schemas.openxmlformats.org/officeDocument/2006/relationships/hyperlink" Target="https://www.fantacalcio.it/serie-a/squadre/juventus/kalulu/4976/2026-27/italia" TargetMode="External"/><Relationship Id="rId199" Type="http://schemas.openxmlformats.org/officeDocument/2006/relationships/hyperlink" Target="https://www.gazzetta.it/calcio/fantanews/03-08-2026/juve-al-fantacalcio-2026-27-titolari-rigorista-sorprese-consigli-su-chi-prendere.shtml" TargetMode="External"/><Relationship Id="rId200" Type="http://schemas.openxmlformats.org/officeDocument/2006/relationships/hyperlink" Target="https://www.gazzetta.it/calcio/giocatori/oumar-solet/432649/" TargetMode="External"/><Relationship Id="rId201" Type="http://schemas.openxmlformats.org/officeDocument/2006/relationships/hyperlink" Target="https://www.fantacalcio.it/serie-a/squadre/udinese/solet/6956/2026-27/italia" TargetMode="External"/><Relationship Id="rId202" Type="http://schemas.openxmlformats.org/officeDocument/2006/relationships/hyperlink" Target="https://www.gazzetta.it/calcio/fantanews/03-08-2026/udinese-fantacalcio-2026-27-titolari-rigorista-sorprese-consigli-su-chi-prendere.shtml" TargetMode="External"/><Relationship Id="rId203" Type="http://schemas.openxmlformats.org/officeDocument/2006/relationships/hyperlink" Target="https://www.gazzetta.it/calcio/giocatori/strahinja-pavlovic/487606/" TargetMode="External"/><Relationship Id="rId204" Type="http://schemas.openxmlformats.org/officeDocument/2006/relationships/hyperlink" Target="https://www.fantacalcio.it/serie-a/squadre/milan/pavlovic/5022/2026-27/italia" TargetMode="External"/><Relationship Id="rId205" Type="http://schemas.openxmlformats.org/officeDocument/2006/relationships/hyperlink" Target="https://www.gazzetta.it/calcio/fantanews/02-08-2026/milan-al-fantacalcio-2026-27-titolari-rigorista-sorprese-e-consigli-su-chi-prendere.shtml" TargetMode="External"/><Relationship Id="rId206" Type="http://schemas.openxmlformats.org/officeDocument/2006/relationships/hyperlink" Target="https://www.gazzetta.it/calcio/giocatori/giovanni-di-lorenzo/93661/" TargetMode="External"/><Relationship Id="rId207" Type="http://schemas.openxmlformats.org/officeDocument/2006/relationships/hyperlink" Target="https://www.fantacalcio.it/serie-a/squadre/napoli/di-lorenzo/2816/2026-27/italia" TargetMode="External"/><Relationship Id="rId208" Type="http://schemas.openxmlformats.org/officeDocument/2006/relationships/hyperlink" Target="https://www.gazzetta.it/calcio/fantanews/02-08-2026/napoli-fantacalcio-2026-27-titolari-rigorista-sorprese-consigli-su-chi-prendere.shtml" TargetMode="External"/><Relationship Id="rId209" Type="http://schemas.openxmlformats.org/officeDocument/2006/relationships/hyperlink" Target="https://www.gazzetta.it/calcio/giocatori/manuel-akanji/211975/" TargetMode="External"/><Relationship Id="rId210" Type="http://schemas.openxmlformats.org/officeDocument/2006/relationships/hyperlink" Target="https://www.fantacalcio.it/serie-a/squadre/inter/akanji/4159/2026-27/italia" TargetMode="External"/><Relationship Id="rId211" Type="http://schemas.openxmlformats.org/officeDocument/2006/relationships/hyperlink" Target="https://www.gazzetta.it/calcio/fantanews/05-08-2026/inter-al-fantacalcio-2026-27-titolari-rigorista-sorprese-consigli-su-chi-prendere.shtml" TargetMode="External"/><Relationship Id="rId212" Type="http://schemas.openxmlformats.org/officeDocument/2006/relationships/hyperlink" Target="https://www.gazzetta.it/calcio/giocatori/mario-hermoso/213431/" TargetMode="External"/><Relationship Id="rId213" Type="http://schemas.openxmlformats.org/officeDocument/2006/relationships/hyperlink" Target="https://www.fantacalcio.it/serie-a/squadre/roma/hermoso/4807/2026-27/italia" TargetMode="External"/><Relationship Id="rId214" Type="http://schemas.openxmlformats.org/officeDocument/2006/relationships/hyperlink" Target="https://www.gazzetta.it/calcio/fantanews/03-08-2026/roma-al-fantacalcio-2026-27-titolari-rigorista-sorprese-consigli-su-chi-prendere.shtml" TargetMode="External"/><Relationship Id="rId215" Type="http://schemas.openxmlformats.org/officeDocument/2006/relationships/hyperlink" Target="https://www.fantacalcio.it/serie-a/squadre/inter/stones/2514/2026-27/italia" TargetMode="External"/><Relationship Id="rId216" Type="http://schemas.openxmlformats.org/officeDocument/2006/relationships/hyperlink" Target="https://www.gazzetta.it/calcio/fantanews/05-08-2026/inter-al-fantacalcio-2026-27-titolari-rigorista-sorprese-consigli-su-chi-prendere.shtml" TargetMode="External"/><Relationship Id="rId217" Type="http://schemas.openxmlformats.org/officeDocument/2006/relationships/hyperlink" Target="https://www.gazzetta.it/calcio/giocatori/leonardo-spinazzola/84161/" TargetMode="External"/><Relationship Id="rId218" Type="http://schemas.openxmlformats.org/officeDocument/2006/relationships/hyperlink" Target="https://www.fantacalcio.it/serie-a/squadre/napoli/spinazzola/1852/2026-27/italia" TargetMode="External"/><Relationship Id="rId219" Type="http://schemas.openxmlformats.org/officeDocument/2006/relationships/hyperlink" Target="https://www.gazzetta.it/calcio/fantanews/02-08-2026/napoli-fantacalcio-2026-27-titolari-rigorista-sorprese-consigli-su-chi-prendere.shtml" TargetMode="External"/><Relationship Id="rId220" Type="http://schemas.openxmlformats.org/officeDocument/2006/relationships/hyperlink" Target="https://www.gazzetta.it/calcio/giocatori/giorgio-scalvini/519394/" TargetMode="External"/><Relationship Id="rId221" Type="http://schemas.openxmlformats.org/officeDocument/2006/relationships/hyperlink" Target="https://www.fantacalcio.it/serie-a/squadre/atalanta/scalvini/5526/2026-27/italia" TargetMode="External"/><Relationship Id="rId222" Type="http://schemas.openxmlformats.org/officeDocument/2006/relationships/hyperlink" Target="https://www.gazzetta.it/calcio/fantanews/02-08-2026/atalanta-fantacalcio-2026-27-titolari-rigorista-sorprese-consigli-su-chi-prendere.shtml" TargetMode="External"/><Relationship Id="rId223" Type="http://schemas.openxmlformats.org/officeDocument/2006/relationships/hyperlink" Target="https://www.gazzetta.it/calcio/giocatori/andrea-cambiaso/515759/" TargetMode="External"/><Relationship Id="rId224" Type="http://schemas.openxmlformats.org/officeDocument/2006/relationships/hyperlink" Target="https://www.fantacalcio.it/serie-a/squadre/juventus/cambiaso/5520/2026-27/italia" TargetMode="External"/><Relationship Id="rId225" Type="http://schemas.openxmlformats.org/officeDocument/2006/relationships/hyperlink" Target="https://www.gazzetta.it/calcio/fantanews/03-08-2026/juve-al-fantacalcio-2026-27-titolari-rigorista-sorprese-consigli-su-chi-prendere.shtml" TargetMode="External"/><Relationship Id="rId226" Type="http://schemas.openxmlformats.org/officeDocument/2006/relationships/hyperlink" Target="https://www.gazzetta.it/calcio/giocatori/leo-ostigard/462026/" TargetMode="External"/><Relationship Id="rId227" Type="http://schemas.openxmlformats.org/officeDocument/2006/relationships/hyperlink" Target="https://www.fantacalcio.it/serie-a/squadre/genoa/ostigard/5750/2026-27/italia" TargetMode="External"/><Relationship Id="rId228" Type="http://schemas.openxmlformats.org/officeDocument/2006/relationships/hyperlink" Target="https://www.gazzetta.it/calcio/fantanews/04-08-2026/genoa-al-fantacalcio-2026-27-titolari-rigorista-sorprese-consigli-su-chi-prendere.shtml" TargetMode="External"/><Relationship Id="rId229" Type="http://schemas.openxmlformats.org/officeDocument/2006/relationships/hyperlink" Target="https://www.fantacalcio.it/serie-a/squadre/roma/molina-n/4998/2026-27/italia" TargetMode="External"/><Relationship Id="rId230" Type="http://schemas.openxmlformats.org/officeDocument/2006/relationships/hyperlink" Target="https://www.gazzetta.it/calcio/fantanews/03-08-2026/roma-al-fantacalcio-2026-27-titolari-rigorista-sorprese-consigli-su-chi-prendere.shtml" TargetMode="External"/><Relationship Id="rId231" Type="http://schemas.openxmlformats.org/officeDocument/2006/relationships/hyperlink" Target="https://www.gazzetta.it/calcio/giocatori/mario-gila/466064/" TargetMode="External"/><Relationship Id="rId232" Type="http://schemas.openxmlformats.org/officeDocument/2006/relationships/hyperlink" Target="https://www.fantacalcio.it/serie-a/squadre/milan/gila/5833/2026-27/italia" TargetMode="External"/><Relationship Id="rId233" Type="http://schemas.openxmlformats.org/officeDocument/2006/relationships/hyperlink" Target="https://www.gazzetta.it/calcio/fantanews/02-08-2026/milan-al-fantacalcio-2026-27-titolari-rigorista-sorprese-e-consigli-su-chi-prendere.shtml" TargetMode="External"/><Relationship Id="rId234" Type="http://schemas.openxmlformats.org/officeDocument/2006/relationships/hyperlink" Target="https://www.gazzetta.it/calcio/giocatori/jacobo-ramon/592991/" TargetMode="External"/><Relationship Id="rId235" Type="http://schemas.openxmlformats.org/officeDocument/2006/relationships/hyperlink" Target="https://www.fantacalcio.it/serie-a/squadre/como/ramon/6869/2026-27/italia" TargetMode="External"/><Relationship Id="rId236" Type="http://schemas.openxmlformats.org/officeDocument/2006/relationships/hyperlink" Target="https://www.gazzetta.it/calcio/fantanews/04-08-2026/como-fantacalcio-2026-27-titolari-rigorista-sorprese-consigli-su-chi-prendere.shtml" TargetMode="External"/><Relationship Id="rId237" Type="http://schemas.openxmlformats.org/officeDocument/2006/relationships/hyperlink" Target="https://www.gazzetta.it/calcio/giocatori/pietro-comuzzo/628413/" TargetMode="External"/><Relationship Id="rId238" Type="http://schemas.openxmlformats.org/officeDocument/2006/relationships/hyperlink" Target="https://www.fantacalcio.it/serie-a/squadre/torino/comuzzo/6495/2026-27/italia" TargetMode="External"/><Relationship Id="rId239" Type="http://schemas.openxmlformats.org/officeDocument/2006/relationships/hyperlink" Target="https://www.gazzetta.it/calcio/fantanews/03-08-2026/torino-fantacalcio-2026-27-titolari-rigorista-sorprese-consigli-su-chi-prendere.shtml" TargetMode="External"/><Relationship Id="rId240" Type="http://schemas.openxmlformats.org/officeDocument/2006/relationships/hyperlink" Target="https://www.gazzetta.it/calcio/giocatori/tiago-gabriel/647210/" TargetMode="External"/><Relationship Id="rId241" Type="http://schemas.openxmlformats.org/officeDocument/2006/relationships/hyperlink" Target="https://www.fantacalcio.it/serie-a/squadre/lecce/tiago-gabriel/6989/2026-27/italia" TargetMode="External"/><Relationship Id="rId242" Type="http://schemas.openxmlformats.org/officeDocument/2006/relationships/hyperlink" Target="https://www.gazzetta.it/calcio/fantanews/04-08-2026/lecce-fantacalcio-2026-27-titolari-rigorista-sorprese-consigli-su-chi-prendere.shtml" TargetMode="External"/><Relationship Id="rId243" Type="http://schemas.openxmlformats.org/officeDocument/2006/relationships/hyperlink" Target="https://www.gazzetta.it/calcio/giocatori/amir-rrahmani/165196/" TargetMode="External"/><Relationship Id="rId244" Type="http://schemas.openxmlformats.org/officeDocument/2006/relationships/hyperlink" Target="https://www.fantacalcio.it/serie-a/squadre/napoli/rrahmani/4409/2026-27/italia" TargetMode="External"/><Relationship Id="rId245" Type="http://schemas.openxmlformats.org/officeDocument/2006/relationships/hyperlink" Target="https://www.gazzetta.it/calcio/fantanews/02-08-2026/napoli-fantacalcio-2026-27-titolari-rigorista-sorprese-consigli-su-chi-prendere.shtml" TargetMode="External"/><Relationship Id="rId246" Type="http://schemas.openxmlformats.org/officeDocument/2006/relationships/hyperlink" Target="https://www.gazzetta.it/calcio/giocatori/juan-miranda/433530/" TargetMode="External"/><Relationship Id="rId247" Type="http://schemas.openxmlformats.org/officeDocument/2006/relationships/hyperlink" Target="https://www.fantacalcio.it/serie-a/squadre/bologna/miranda-j/4734/2026-27/italia" TargetMode="External"/><Relationship Id="rId248" Type="http://schemas.openxmlformats.org/officeDocument/2006/relationships/hyperlink" Target="https://www.gazzetta.it/calcio/fantanews/03-08-2026/bologna-fantacalcio-2026-27-titolari-rigorista-sorprese-consigli-su-chi-prendere.shtml" TargetMode="External"/><Relationship Id="rId249" Type="http://schemas.openxmlformats.org/officeDocument/2006/relationships/hyperlink" Target="https://www.gazzetta.it/calcio/giocatori/emanuele-valeri/430529/" TargetMode="External"/><Relationship Id="rId250" Type="http://schemas.openxmlformats.org/officeDocument/2006/relationships/hyperlink" Target="https://www.fantacalcio.it/serie-a/squadre/parma/valeri/5862/2026-27/italia" TargetMode="External"/><Relationship Id="rId251" Type="http://schemas.openxmlformats.org/officeDocument/2006/relationships/hyperlink" Target="https://www.gazzetta.it/calcio/fantanews/03-08-2026/parma-al-fantacalcio-2026-27-titolari-rigorista-sorprese-consigli-su-chi-prendere.shtml" TargetMode="External"/><Relationship Id="rId252" Type="http://schemas.openxmlformats.org/officeDocument/2006/relationships/hyperlink" Target="https://www.gazzetta.it/calcio/giocatori/hassane-kamara/171099/" TargetMode="External"/><Relationship Id="rId253" Type="http://schemas.openxmlformats.org/officeDocument/2006/relationships/hyperlink" Target="https://www.fantacalcio.it/serie-a/squadre/udinese/kamara-h/5555/2026-27/italia" TargetMode="External"/><Relationship Id="rId254" Type="http://schemas.openxmlformats.org/officeDocument/2006/relationships/hyperlink" Target="https://www.gazzetta.it/calcio/fantanews/03-08-2026/udinese-fantacalcio-2026-27-titolari-rigorista-sorprese-consigli-su-chi-prendere.shtml" TargetMode="External"/><Relationship Id="rId255" Type="http://schemas.openxmlformats.org/officeDocument/2006/relationships/hyperlink" Target="https://www.gazzetta.it/calcio/giocatori/johan-vasquez/431026/" TargetMode="External"/><Relationship Id="rId256" Type="http://schemas.openxmlformats.org/officeDocument/2006/relationships/hyperlink" Target="https://www.fantacalcio.it/serie-a/squadre/genoa/vasquez/5514/2026-27/italia" TargetMode="External"/><Relationship Id="rId257" Type="http://schemas.openxmlformats.org/officeDocument/2006/relationships/hyperlink" Target="https://www.gazzetta.it/calcio/fantanews/04-08-2026/genoa-al-fantacalcio-2026-27-titolari-rigorista-sorprese-consigli-su-chi-prendere.shtml" TargetMode="External"/><Relationship Id="rId258" Type="http://schemas.openxmlformats.org/officeDocument/2006/relationships/hyperlink" Target="https://www.fantacalcio.it/serie-a/squadre/como/chalobah-t/5641/2026-27/italia" TargetMode="External"/><Relationship Id="rId259" Type="http://schemas.openxmlformats.org/officeDocument/2006/relationships/hyperlink" Target="https://www.gazzetta.it/calcio/fantanews/04-08-2026/como-fantacalcio-2026-27-titolari-rigorista-sorprese-consigli-su-chi-prendere.shtml" TargetMode="External"/><Relationship Id="rId260" Type="http://schemas.openxmlformats.org/officeDocument/2006/relationships/hyperlink" Target="https://www.gazzetta.it/calcio/giocatori/yann-bisseck/438261/" TargetMode="External"/><Relationship Id="rId261" Type="http://schemas.openxmlformats.org/officeDocument/2006/relationships/hyperlink" Target="https://www.fantacalcio.it/serie-a/squadre/inter/bisseck/6217/2026-27/italia" TargetMode="External"/><Relationship Id="rId262" Type="http://schemas.openxmlformats.org/officeDocument/2006/relationships/hyperlink" Target="https://www.gazzetta.it/calcio/fantanews/05-08-2026/inter-al-fantacalcio-2026-27-titolari-rigorista-sorprese-consigli-su-chi-prendere.shtml" TargetMode="External"/><Relationship Id="rId263" Type="http://schemas.openxmlformats.org/officeDocument/2006/relationships/hyperlink" Target="https://www.fantacalcio.it/serie-a/squadre/inter/spence/5982/2026-27/italia" TargetMode="External"/><Relationship Id="rId264" Type="http://schemas.openxmlformats.org/officeDocument/2006/relationships/hyperlink" Target="https://www.gazzetta.it/calcio/fantanews/05-08-2026/inter-al-fantacalcio-2026-27-titolari-rigorista-sorprese-consigli-su-chi-prendere.shtml" TargetMode="External"/><Relationship Id="rId265" Type="http://schemas.openxmlformats.org/officeDocument/2006/relationships/hyperlink" Target="https://www.gazzetta.it/calcio/giocatori/emil-holm/479401/" TargetMode="External"/><Relationship Id="rId266" Type="http://schemas.openxmlformats.org/officeDocument/2006/relationships/hyperlink" Target="https://www.fantacalcio.it/serie-a/squadre/bologna/holm/5678/2026-27/italia" TargetMode="External"/><Relationship Id="rId267" Type="http://schemas.openxmlformats.org/officeDocument/2006/relationships/hyperlink" Target="https://www.gazzetta.it/calcio/fantanews/03-08-2026/bologna-fantacalcio-2026-27-titolari-rigorista-sorprese-consigli-su-chi-prendere.shtml" TargetMode="External"/><Relationship Id="rId268" Type="http://schemas.openxmlformats.org/officeDocument/2006/relationships/hyperlink" Target="https://www.gazzetta.it/calcio/giocatori/dodo/218445/" TargetMode="External"/><Relationship Id="rId269" Type="http://schemas.openxmlformats.org/officeDocument/2006/relationships/hyperlink" Target="https://www.fantacalcio.it/serie-a/squadre/fiorentina/dod%C3%B2/5885/2026-27/italia" TargetMode="External"/><Relationship Id="rId270" Type="http://schemas.openxmlformats.org/officeDocument/2006/relationships/hyperlink" Target="https://www.gazzetta.it/calcio/fantanews/02-08-2026/fiorentina-fantacalcio-2026-27-titolari-rigorista-sorprese-consigli-su-chi-prendere.shtml" TargetMode="External"/><Relationship Id="rId271" Type="http://schemas.openxmlformats.org/officeDocument/2006/relationships/hyperlink" Target="https://www.gazzetta.it/calcio/giocatori/antonino-gallo/462484/" TargetMode="External"/><Relationship Id="rId272" Type="http://schemas.openxmlformats.org/officeDocument/2006/relationships/hyperlink" Target="https://www.fantacalcio.it/serie-a/squadre/lecce/gallo/4502/2026-27/italia" TargetMode="External"/><Relationship Id="rId273" Type="http://schemas.openxmlformats.org/officeDocument/2006/relationships/hyperlink" Target="https://www.gazzetta.it/calcio/fantanews/04-08-2026/lecce-fantacalcio-2026-27-titolari-rigorista-sorprese-consigli-su-chi-prendere.shtml" TargetMode="External"/><Relationship Id="rId274" Type="http://schemas.openxmlformats.org/officeDocument/2006/relationships/hyperlink" Target="https://www.gazzetta.it/calcio/giocatori/alex-valle/551074/" TargetMode="External"/><Relationship Id="rId275" Type="http://schemas.openxmlformats.org/officeDocument/2006/relationships/hyperlink" Target="https://www.fantacalcio.it/serie-a/squadre/como/valle/6867/2026-27/italia" TargetMode="External"/><Relationship Id="rId276" Type="http://schemas.openxmlformats.org/officeDocument/2006/relationships/hyperlink" Target="https://www.gazzetta.it/calcio/fantanews/04-08-2026/como-fantacalcio-2026-27-titolari-rigorista-sorprese-consigli-su-chi-prendere.shtml" TargetMode="External"/><Relationship Id="rId277" Type="http://schemas.openxmlformats.org/officeDocument/2006/relationships/hyperlink" Target="https://www.gazzetta.it/calcio/giocatori/marc-oliver-kempf/120670/" TargetMode="External"/><Relationship Id="rId278" Type="http://schemas.openxmlformats.org/officeDocument/2006/relationships/hyperlink" Target="https://www.fantacalcio.it/serie-a/squadre/como/kempf/6893/2026-27/italia" TargetMode="External"/><Relationship Id="rId279" Type="http://schemas.openxmlformats.org/officeDocument/2006/relationships/hyperlink" Target="https://www.gazzetta.it/calcio/fantanews/04-08-2026/como-fantacalcio-2026-27-titolari-rigorista-sorprese-consigli-su-chi-prendere.shtml" TargetMode="External"/><Relationship Id="rId280" Type="http://schemas.openxmlformats.org/officeDocument/2006/relationships/hyperlink" Target="https://www.gazzetta.it/calcio/giocatori/enrico-delprato/449321/" TargetMode="External"/><Relationship Id="rId281" Type="http://schemas.openxmlformats.org/officeDocument/2006/relationships/hyperlink" Target="https://www.fantacalcio.it/serie-a/squadre/parma/delprato/6664/2026-27/italia" TargetMode="External"/><Relationship Id="rId282" Type="http://schemas.openxmlformats.org/officeDocument/2006/relationships/hyperlink" Target="https://www.gazzetta.it/calcio/fantanews/03-08-2026/parma-al-fantacalcio-2026-27-titolari-rigorista-sorprese-consigli-su-chi-prendere.shtml" TargetMode="External"/><Relationship Id="rId283" Type="http://schemas.openxmlformats.org/officeDocument/2006/relationships/hyperlink" Target="https://www.gazzetta.it/calcio/giocatori/jhon-lucumi/217532/" TargetMode="External"/><Relationship Id="rId284" Type="http://schemas.openxmlformats.org/officeDocument/2006/relationships/hyperlink" Target="https://www.fantacalcio.it/serie-a/squadre/juventus/lucum%C3%AC/6042/2026-27/italia" TargetMode="External"/><Relationship Id="rId285" Type="http://schemas.openxmlformats.org/officeDocument/2006/relationships/hyperlink" Target="https://www.gazzetta.it/calcio/fantanews/03-08-2026/juve-al-fantacalcio-2026-27-titolari-rigorista-sorprese-consigli-su-chi-prendere.shtml" TargetMode="External"/><Relationship Id="rId286" Type="http://schemas.openxmlformats.org/officeDocument/2006/relationships/hyperlink" Target="https://www.fantacalcio.it/serie-a/squadre/como/couto/6727/2026-27/italia" TargetMode="External"/><Relationship Id="rId287" Type="http://schemas.openxmlformats.org/officeDocument/2006/relationships/hyperlink" Target="https://www.gazzetta.it/calcio/fantanews/04-08-2026/como-fantacalcio-2026-27-titolari-rigorista-sorprese-consigli-su-chi-prendere.shtml" TargetMode="External"/><Relationship Id="rId288" Type="http://schemas.openxmlformats.org/officeDocument/2006/relationships/hyperlink" Target="https://www.gazzetta.it/calcio/giocatori/yerry-mina/164511/" TargetMode="External"/><Relationship Id="rId289" Type="http://schemas.openxmlformats.org/officeDocument/2006/relationships/hyperlink" Target="https://www.fantacalcio.it/serie-a/squadre/cagliari/mina/4210/2026-27/italia" TargetMode="External"/><Relationship Id="rId290" Type="http://schemas.openxmlformats.org/officeDocument/2006/relationships/hyperlink" Target="https://www.gazzetta.it/calcio/fantanews/04-08-2026/cagliari-fantacalcio-2026-27-titolari-rigorista-sorprese-consigli-su-chi-prendere.shtml" TargetMode="External"/><Relationship Id="rId291" Type="http://schemas.openxmlformats.org/officeDocument/2006/relationships/hyperlink" Target="https://www.gazzetta.it/calcio/giocatori/rafik-belghali/531602/" TargetMode="External"/><Relationship Id="rId292" Type="http://schemas.openxmlformats.org/officeDocument/2006/relationships/hyperlink" Target="https://www.fantacalcio.it/serie-a/squadre/torino/belghali/7220/2026-27/italia" TargetMode="External"/><Relationship Id="rId293" Type="http://schemas.openxmlformats.org/officeDocument/2006/relationships/hyperlink" Target="https://www.gazzetta.it/calcio/fantanews/03-08-2026/torino-fantacalcio-2026-27-titolari-rigorista-sorprese-consigli-su-chi-prendere.shtml" TargetMode="External"/><Relationship Id="rId294" Type="http://schemas.openxmlformats.org/officeDocument/2006/relationships/hyperlink" Target="https://www.gazzetta.it/calcio/giocatori/lloyd-kelly/235530/" TargetMode="External"/><Relationship Id="rId295" Type="http://schemas.openxmlformats.org/officeDocument/2006/relationships/hyperlink" Target="https://www.fantacalcio.it/serie-a/squadre/juventus/kelly-l/6766/2026-27/italia" TargetMode="External"/><Relationship Id="rId296" Type="http://schemas.openxmlformats.org/officeDocument/2006/relationships/hyperlink" Target="https://www.gazzetta.it/calcio/fantanews/03-08-2026/juve-al-fantacalcio-2026-27-titolari-rigorista-sorprese-consigli-su-chi-prendere.shtml" TargetMode="External"/><Relationship Id="rId297" Type="http://schemas.openxmlformats.org/officeDocument/2006/relationships/hyperlink" Target="https://www.gazzetta.it/calcio/giocatori/lorenzo-bernasconi/508878/" TargetMode="External"/><Relationship Id="rId298" Type="http://schemas.openxmlformats.org/officeDocument/2006/relationships/hyperlink" Target="https://www.fantacalcio.it/serie-a/squadre/atalanta/bernasconi/7219/2026-27/italia" TargetMode="External"/><Relationship Id="rId299" Type="http://schemas.openxmlformats.org/officeDocument/2006/relationships/hyperlink" Target="https://www.gazzetta.it/calcio/fantanews/02-08-2026/atalanta-fantacalcio-2026-27-titolari-rigorista-sorprese-consigli-su-chi-prendere.shtml" TargetMode="External"/><Relationship Id="rId300" Type="http://schemas.openxmlformats.org/officeDocument/2006/relationships/hyperlink" Target="https://www.gazzetta.it/calcio/giocatori/alex-jimenez/551483/" TargetMode="External"/><Relationship Id="rId301" Type="http://schemas.openxmlformats.org/officeDocument/2006/relationships/hyperlink" Target="https://www.fantacalcio.it/serie-a/squadre/fiorentina/jimenez-a/6531/2026-27/italia" TargetMode="External"/><Relationship Id="rId302" Type="http://schemas.openxmlformats.org/officeDocument/2006/relationships/hyperlink" Target="https://www.gazzetta.it/calcio/fantanews/02-08-2026/fiorentina-fantacalcio-2026-27-titolari-rigorista-sorprese-consigli-su-chi-prendere.shtml" TargetMode="External"/><Relationship Id="rId303" Type="http://schemas.openxmlformats.org/officeDocument/2006/relationships/hyperlink" Target="https://www.gazzetta.it/calcio/giocatori/matteo-gabbia/215979/" TargetMode="External"/><Relationship Id="rId304" Type="http://schemas.openxmlformats.org/officeDocument/2006/relationships/hyperlink" Target="https://www.fantacalcio.it/serie-a/squadre/milan/gabbia/4401/2026-27/italia" TargetMode="External"/><Relationship Id="rId305" Type="http://schemas.openxmlformats.org/officeDocument/2006/relationships/hyperlink" Target="https://www.gazzetta.it/calcio/fantanews/02-08-2026/milan-al-fantacalcio-2026-27-titolari-rigorista-sorprese-e-consigli-su-chi-prendere.shtml" TargetMode="External"/><Relationship Id="rId306" Type="http://schemas.openxmlformats.org/officeDocument/2006/relationships/hyperlink" Target="https://www.gazzetta.it/calcio/giocatori/adam-marusic/169107/" TargetMode="External"/><Relationship Id="rId307" Type="http://schemas.openxmlformats.org/officeDocument/2006/relationships/hyperlink" Target="https://www.fantacalcio.it/serie-a/squadre/lazio/marusic/2188/2026-27/italia" TargetMode="External"/><Relationship Id="rId308" Type="http://schemas.openxmlformats.org/officeDocument/2006/relationships/hyperlink" Target="https://www.gazzetta.it/calcio/fantanews/02-08-2026/lazio-al-fantacalcio-2026-27-titolari-rigorista-sorprese-e-consigli-su-chi-prendere.shtml" TargetMode="External"/><Relationship Id="rId309" Type="http://schemas.openxmlformats.org/officeDocument/2006/relationships/hyperlink" Target="https://www.gazzetta.it/calcio/giocatori/carlos-augusto/230843/" TargetMode="External"/><Relationship Id="rId310" Type="http://schemas.openxmlformats.org/officeDocument/2006/relationships/hyperlink" Target="https://www.fantacalcio.it/serie-a/squadre/inter/carlos-augusto/5877/2026-27/italia" TargetMode="External"/><Relationship Id="rId311" Type="http://schemas.openxmlformats.org/officeDocument/2006/relationships/hyperlink" Target="https://www.gazzetta.it/calcio/fantanews/05-08-2026/inter-al-fantacalcio-2026-27-titolari-rigorista-sorprese-consigli-su-chi-prendere.shtml" TargetMode="External"/><Relationship Id="rId312" Type="http://schemas.openxmlformats.org/officeDocument/2006/relationships/hyperlink" Target="https://www.gazzetta.it/calcio/giocatori/diego-carlos/165659/" TargetMode="External"/><Relationship Id="rId313" Type="http://schemas.openxmlformats.org/officeDocument/2006/relationships/hyperlink" Target="https://www.fantacalcio.it/serie-a/squadre/parma/diego-carlos/4137/2026-27/italia" TargetMode="External"/><Relationship Id="rId314" Type="http://schemas.openxmlformats.org/officeDocument/2006/relationships/hyperlink" Target="https://www.gazzetta.it/calcio/fantanews/03-08-2026/parma-al-fantacalcio-2026-27-titolari-rigorista-sorprese-consigli-su-chi-prendere.shtml" TargetMode="External"/><Relationship Id="rId315" Type="http://schemas.openxmlformats.org/officeDocument/2006/relationships/hyperlink" Target="https://www.gazzetta.it/calcio/giocatori/raoul-bellanova/209330/" TargetMode="External"/><Relationship Id="rId316" Type="http://schemas.openxmlformats.org/officeDocument/2006/relationships/hyperlink" Target="https://www.fantacalcio.it/serie-a/squadre/atalanta/bellanova/4887/2026-27/italia" TargetMode="External"/><Relationship Id="rId317" Type="http://schemas.openxmlformats.org/officeDocument/2006/relationships/hyperlink" Target="https://www.gazzetta.it/calcio/fantanews/02-08-2026/atalanta-fantacalcio-2026-27-titolari-rigorista-sorprese-consigli-su-chi-prendere.shtml" TargetMode="External"/><Relationship Id="rId318" Type="http://schemas.openxmlformats.org/officeDocument/2006/relationships/hyperlink" Target="https://www.gazzetta.it/calcio/giocatori/mergim-vojvoda/212667/" TargetMode="External"/><Relationship Id="rId319" Type="http://schemas.openxmlformats.org/officeDocument/2006/relationships/hyperlink" Target="https://www.fantacalcio.it/serie-a/squadre/udinese/vojvoda/4994/2026-27/italia" TargetMode="External"/><Relationship Id="rId320" Type="http://schemas.openxmlformats.org/officeDocument/2006/relationships/hyperlink" Target="https://www.gazzetta.it/calcio/fantanews/03-08-2026/udinese-fantacalcio-2026-27-titolari-rigorista-sorprese-consigli-su-chi-prendere.shtml" TargetMode="External"/><Relationship Id="rId321" Type="http://schemas.openxmlformats.org/officeDocument/2006/relationships/hyperlink" Target="https://www.gazzetta.it/calcio/giocatori/thomas-kristensen/513425/" TargetMode="External"/><Relationship Id="rId322" Type="http://schemas.openxmlformats.org/officeDocument/2006/relationships/hyperlink" Target="https://www.fantacalcio.it/serie-a/squadre/atalanta/kristensen-t/6485/2026-27/italia" TargetMode="External"/><Relationship Id="rId323" Type="http://schemas.openxmlformats.org/officeDocument/2006/relationships/hyperlink" Target="https://www.gazzetta.it/calcio/fantanews/02-08-2026/atalanta-fantacalcio-2026-27-titolari-rigorista-sorprese-consigli-su-chi-prendere.shtml" TargetMode="External"/><Relationship Id="rId324" Type="http://schemas.openxmlformats.org/officeDocument/2006/relationships/hyperlink" Target="https://www.gazzetta.it/calcio/giocatori/benjamin-pavard/202675/" TargetMode="External"/><Relationship Id="rId325" Type="http://schemas.openxmlformats.org/officeDocument/2006/relationships/hyperlink" Target="https://www.fantacalcio.it/serie-a/squadre/inter/pavard/4177/2026-27/italia" TargetMode="External"/><Relationship Id="rId326" Type="http://schemas.openxmlformats.org/officeDocument/2006/relationships/hyperlink" Target="https://www.gazzetta.it/calcio/fantanews/05-08-2026/inter-al-fantacalcio-2026-27-titolari-rigorista-sorprese-consigli-su-chi-prendere.shtml" TargetMode="External"/><Relationship Id="rId327" Type="http://schemas.openxmlformats.org/officeDocument/2006/relationships/hyperlink" Target="https://www.gazzetta.it/calcio/giocatori/davide-bartesaghi/586248/" TargetMode="External"/><Relationship Id="rId328" Type="http://schemas.openxmlformats.org/officeDocument/2006/relationships/hyperlink" Target="https://www.fantacalcio.it/serie-a/squadre/milan/bartesaghi/6496/2026-27/italia" TargetMode="External"/><Relationship Id="rId329" Type="http://schemas.openxmlformats.org/officeDocument/2006/relationships/hyperlink" Target="https://www.gazzetta.it/calcio/fantanews/02-08-2026/milan-al-fantacalcio-2026-27-titolari-rigorista-sorprese-e-consigli-su-chi-prendere.shtml" TargetMode="External"/><Relationship Id="rId330" Type="http://schemas.openxmlformats.org/officeDocument/2006/relationships/hyperlink" Target="https://www.fantacalcio.it/serie-a/squadre/lazio/sutalo-j/7580/2026-27/italia" TargetMode="External"/><Relationship Id="rId331" Type="http://schemas.openxmlformats.org/officeDocument/2006/relationships/hyperlink" Target="https://www.gazzetta.it/calcio/fantanews/02-08-2026/lazio-al-fantacalcio-2026-27-titolari-rigorista-sorprese-e-consigli-su-chi-prendere.shtml" TargetMode="External"/><Relationship Id="rId332" Type="http://schemas.openxmlformats.org/officeDocument/2006/relationships/hyperlink" Target="https://www.fantacalcio.it/serie-a/squadre/bologna/theate/5675/2026-27/italia" TargetMode="External"/><Relationship Id="rId333" Type="http://schemas.openxmlformats.org/officeDocument/2006/relationships/hyperlink" Target="https://www.gazzetta.it/calcio/fantanews/03-08-2026/bologna-fantacalcio-2026-27-titolari-rigorista-sorprese-consigli-su-chi-prendere.shtml" TargetMode="External"/><Relationship Id="rId334" Type="http://schemas.openxmlformats.org/officeDocument/2006/relationships/hyperlink" Target="https://www.fantacalcio.it/serie-a/squadre/napoli/badiashile/4664/2026-27/italia" TargetMode="External"/><Relationship Id="rId335" Type="http://schemas.openxmlformats.org/officeDocument/2006/relationships/hyperlink" Target="https://www.gazzetta.it/calcio/fantanews/02-08-2026/napoli-fantacalcio-2026-27-titolari-rigorista-sorprese-consigli-su-chi-prendere.shtml" TargetMode="External"/><Relationship Id="rId336" Type="http://schemas.openxmlformats.org/officeDocument/2006/relationships/hyperlink" Target="https://www.fantacalcio.it/serie-a/squadre/lazio/pedraza/4817/2026-27/italia" TargetMode="External"/><Relationship Id="rId337" Type="http://schemas.openxmlformats.org/officeDocument/2006/relationships/hyperlink" Target="https://www.gazzetta.it/calcio/fantanews/02-08-2026/lazio-al-fantacalcio-2026-27-titolari-rigorista-sorprese-e-consigli-su-chi-prendere.shtml" TargetMode="External"/><Relationship Id="rId338" Type="http://schemas.openxmlformats.org/officeDocument/2006/relationships/hyperlink" Target="https://www.gazzetta.it/calcio/giocatori/saul-coco/451565/" TargetMode="External"/><Relationship Id="rId339" Type="http://schemas.openxmlformats.org/officeDocument/2006/relationships/hyperlink" Target="https://www.fantacalcio.it/serie-a/squadre/torino/coco/6642/2026-27/italia" TargetMode="External"/><Relationship Id="rId340" Type="http://schemas.openxmlformats.org/officeDocument/2006/relationships/hyperlink" Target="https://www.gazzetta.it/calcio/fantanews/03-08-2026/torino-fantacalcio-2026-27-titolari-rigorista-sorprese-consigli-su-chi-prendere.shtml" TargetMode="External"/><Relationship Id="rId341" Type="http://schemas.openxmlformats.org/officeDocument/2006/relationships/hyperlink" Target="https://www.gazzetta.it/calcio/giocatori/adam-obert/484995/" TargetMode="External"/><Relationship Id="rId342" Type="http://schemas.openxmlformats.org/officeDocument/2006/relationships/hyperlink" Target="https://www.fantacalcio.it/serie-a/squadre/cagliari/obert/5701/2026-27/italia" TargetMode="External"/><Relationship Id="rId343" Type="http://schemas.openxmlformats.org/officeDocument/2006/relationships/hyperlink" Target="https://www.gazzetta.it/calcio/fantanews/04-08-2026/cagliari-fantacalcio-2026-27-titolari-rigorista-sorprese-consigli-su-chi-prendere.shtml" TargetMode="External"/><Relationship Id="rId344" Type="http://schemas.openxmlformats.org/officeDocument/2006/relationships/hyperlink" Target="https://www.fantacalcio.it/serie-a/squadre/roma/balerdi/4705/2026-27/italia" TargetMode="External"/><Relationship Id="rId345" Type="http://schemas.openxmlformats.org/officeDocument/2006/relationships/hyperlink" Target="https://www.gazzetta.it/calcio/fantanews/03-08-2026/roma-al-fantacalcio-2026-27-titolari-rigorista-sorprese-consigli-su-chi-prendere.shtml" TargetMode="External"/><Relationship Id="rId346" Type="http://schemas.openxmlformats.org/officeDocument/2006/relationships/hyperlink" Target="https://www.gazzetta.it/calcio/giocatori/isak-hien/523991/" TargetMode="External"/><Relationship Id="rId347" Type="http://schemas.openxmlformats.org/officeDocument/2006/relationships/hyperlink" Target="https://www.fantacalcio.it/serie-a/squadre/atalanta/hien/6046/2026-27/italia" TargetMode="External"/><Relationship Id="rId348" Type="http://schemas.openxmlformats.org/officeDocument/2006/relationships/hyperlink" Target="https://www.gazzetta.it/calcio/fantanews/02-08-2026/atalanta-fantacalcio-2026-27-titolari-rigorista-sorprese-consigli-su-chi-prendere.shtml" TargetMode="External"/><Relationship Id="rId349" Type="http://schemas.openxmlformats.org/officeDocument/2006/relationships/hyperlink" Target="https://www.gazzetta.it/calcio/giocatori/zeki-celik/171435/" TargetMode="External"/><Relationship Id="rId350" Type="http://schemas.openxmlformats.org/officeDocument/2006/relationships/hyperlink" Target="https://www.fantacalcio.it/serie-a/squadre/juventus/celik/4657/2026-27/italia" TargetMode="External"/><Relationship Id="rId351" Type="http://schemas.openxmlformats.org/officeDocument/2006/relationships/hyperlink" Target="https://www.gazzetta.it/calcio/fantanews/03-08-2026/juve-al-fantacalcio-2026-27-titolari-rigorista-sorprese-consigli-su-chi-prendere.shtml" TargetMode="External"/><Relationship Id="rId352" Type="http://schemas.openxmlformats.org/officeDocument/2006/relationships/hyperlink" Target="https://www.gazzetta.it/calcio/giocatori/oliver-provstgaard/497891/" TargetMode="External"/><Relationship Id="rId353" Type="http://schemas.openxmlformats.org/officeDocument/2006/relationships/hyperlink" Target="https://www.fantacalcio.it/serie-a/squadre/lazio/provstgaard/7012/2026-27/italia" TargetMode="External"/><Relationship Id="rId354" Type="http://schemas.openxmlformats.org/officeDocument/2006/relationships/hyperlink" Target="https://www.gazzetta.it/calcio/fantanews/02-08-2026/lazio-al-fantacalcio-2026-27-titolari-rigorista-sorprese-e-consigli-su-chi-prendere.shtml" TargetMode="External"/><Relationship Id="rId355" Type="http://schemas.openxmlformats.org/officeDocument/2006/relationships/hyperlink" Target="https://www.fantacalcio.it/serie-a/squadre/lazio/doekhi/6320/2026-27/italia" TargetMode="External"/><Relationship Id="rId356" Type="http://schemas.openxmlformats.org/officeDocument/2006/relationships/hyperlink" Target="https://www.gazzetta.it/calcio/fantanews/02-08-2026/lazio-al-fantacalcio-2026-27-titolari-rigorista-sorprese-e-consigli-su-chi-prendere.shtml" TargetMode="External"/><Relationship Id="rId357" Type="http://schemas.openxmlformats.org/officeDocument/2006/relationships/hyperlink" Target="https://www.gazzetta.it/calcio/giocatori/ardian-ismajli/229912/" TargetMode="External"/><Relationship Id="rId358" Type="http://schemas.openxmlformats.org/officeDocument/2006/relationships/hyperlink" Target="https://www.fantacalcio.it/serie-a/squadre/torino/ismajli/5010/2026-27/italia" TargetMode="External"/><Relationship Id="rId359" Type="http://schemas.openxmlformats.org/officeDocument/2006/relationships/hyperlink" Target="https://www.gazzetta.it/calcio/fantanews/03-08-2026/torino-fantacalcio-2026-27-titolari-rigorista-sorprese-consigli-su-chi-prendere.shtml" TargetMode="External"/><Relationship Id="rId360" Type="http://schemas.openxmlformats.org/officeDocument/2006/relationships/hyperlink" Target="https://www.gazzetta.it/calcio/giocatori/danilo-veiga/503566/" TargetMode="External"/><Relationship Id="rId361" Type="http://schemas.openxmlformats.org/officeDocument/2006/relationships/hyperlink" Target="https://www.fantacalcio.it/serie-a/squadre/lecce/veiga-d/6990/2026-27/italia" TargetMode="External"/><Relationship Id="rId362" Type="http://schemas.openxmlformats.org/officeDocument/2006/relationships/hyperlink" Target="https://www.gazzetta.it/calcio/fantanews/04-08-2026/lecce-fantacalcio-2026-27-titolari-rigorista-sorprese-consigli-su-chi-prendere.shtml" TargetMode="External"/><Relationship Id="rId363" Type="http://schemas.openxmlformats.org/officeDocument/2006/relationships/hyperlink" Target="https://www.fantacalcio.it/serie-a/squadre/fiorentina/valdepenas/7294/2026-27/italia" TargetMode="External"/><Relationship Id="rId364" Type="http://schemas.openxmlformats.org/officeDocument/2006/relationships/hyperlink" Target="https://www.gazzetta.it/calcio/fantanews/02-08-2026/fiorentina-fantacalcio-2026-27-titolari-rigorista-sorprese-consigli-su-chi-prendere.shtml" TargetMode="External"/><Relationship Id="rId365" Type="http://schemas.openxmlformats.org/officeDocument/2006/relationships/hyperlink" Target="https://www.fantacalcio.it/serie-a/squadre/fiorentina/dragusin/5365/2026-27/italia" TargetMode="External"/><Relationship Id="rId366" Type="http://schemas.openxmlformats.org/officeDocument/2006/relationships/hyperlink" Target="https://www.gazzetta.it/calcio/fantanews/02-08-2026/fiorentina-fantacalcio-2026-27-titolari-rigorista-sorprese-consigli-su-chi-prendere.shtml" TargetMode="External"/><Relationship Id="rId367" Type="http://schemas.openxmlformats.org/officeDocument/2006/relationships/hyperlink" Target="https://www.fantacalcio.it/serie-a/squadre/frosinone/terzic/4375/2026-27/italia" TargetMode="External"/><Relationship Id="rId368" Type="http://schemas.openxmlformats.org/officeDocument/2006/relationships/hyperlink" Target="https://www.gazzetta.it/calcio/fantanews/02-08-2026/frosinone-al-fantacalcio-2026-27-titolari-rigorista-sorprese-e-consigli-su-chi-prendere.shtml" TargetMode="External"/><Relationship Id="rId369" Type="http://schemas.openxmlformats.org/officeDocument/2006/relationships/hyperlink" Target="https://www.gazzetta.it/calcio/giocatori/fikayo-tomori/194794/" TargetMode="External"/><Relationship Id="rId370" Type="http://schemas.openxmlformats.org/officeDocument/2006/relationships/hyperlink" Target="https://www.fantacalcio.it/serie-a/squadre/milan/tomori/4751/2026-27/italia" TargetMode="External"/><Relationship Id="rId371" Type="http://schemas.openxmlformats.org/officeDocument/2006/relationships/hyperlink" Target="https://www.gazzetta.it/calcio/fantanews/02-08-2026/milan-al-fantacalcio-2026-27-titolari-rigorista-sorprese-e-consigli-su-chi-prendere.shtml" TargetMode="External"/><Relationship Id="rId372" Type="http://schemas.openxmlformats.org/officeDocument/2006/relationships/hyperlink" Target="https://www.gazzetta.it/calcio/giocatori/nuno-tavares/437626/" TargetMode="External"/><Relationship Id="rId373" Type="http://schemas.openxmlformats.org/officeDocument/2006/relationships/hyperlink" Target="https://www.fantacalcio.it/serie-a/squadre/lazio/tavares-n/5620/2026-27/italia" TargetMode="External"/><Relationship Id="rId374" Type="http://schemas.openxmlformats.org/officeDocument/2006/relationships/hyperlink" Target="https://www.gazzetta.it/calcio/fantanews/02-08-2026/lazio-al-fantacalcio-2026-27-titolari-rigorista-sorprese-e-consigli-su-chi-prendere.shtml" TargetMode="External"/><Relationship Id="rId375" Type="http://schemas.openxmlformats.org/officeDocument/2006/relationships/hyperlink" Target="https://www.gazzetta.it/calcio/giocatori/mariano-troilo/626942/" TargetMode="External"/><Relationship Id="rId376" Type="http://schemas.openxmlformats.org/officeDocument/2006/relationships/hyperlink" Target="https://www.fantacalcio.it/serie-a/squadre/parma/troilo/7235/2026-27/italia" TargetMode="External"/><Relationship Id="rId377" Type="http://schemas.openxmlformats.org/officeDocument/2006/relationships/hyperlink" Target="https://www.gazzetta.it/calcio/fantanews/03-08-2026/parma-al-fantacalcio-2026-27-titolari-rigorista-sorprese-consigli-su-chi-prendere.shtml" TargetMode="External"/><Relationship Id="rId378" Type="http://schemas.openxmlformats.org/officeDocument/2006/relationships/hyperlink" Target="https://www.gazzetta.it/calcio/giocatori/nadir-zortea/489209/" TargetMode="External"/><Relationship Id="rId379" Type="http://schemas.openxmlformats.org/officeDocument/2006/relationships/hyperlink" Target="https://www.fantacalcio.it/serie-a/squadre/bologna/zortea/4433/2026-27/italia" TargetMode="External"/><Relationship Id="rId380" Type="http://schemas.openxmlformats.org/officeDocument/2006/relationships/hyperlink" Target="https://www.gazzetta.it/calcio/fantanews/03-08-2026/bologna-fantacalcio-2026-27-titolari-rigorista-sorprese-consigli-su-chi-prendere.shtml" TargetMode="External"/><Relationship Id="rId381" Type="http://schemas.openxmlformats.org/officeDocument/2006/relationships/hyperlink" Target="https://www.gazzetta.it/calcio/giocatori/christian-kabasele/85624/" TargetMode="External"/><Relationship Id="rId382" Type="http://schemas.openxmlformats.org/officeDocument/2006/relationships/hyperlink" Target="https://www.fantacalcio.it/serie-a/squadre/udinese/kabasele/4263/2026-27/italia" TargetMode="External"/><Relationship Id="rId383" Type="http://schemas.openxmlformats.org/officeDocument/2006/relationships/hyperlink" Target="https://www.gazzetta.it/calcio/fantanews/03-08-2026/udinese-fantacalcio-2026-27-titolari-rigorista-sorprese-consigli-su-chi-prendere.shtml" TargetMode="External"/><Relationship Id="rId384" Type="http://schemas.openxmlformats.org/officeDocument/2006/relationships/hyperlink" Target="https://www.gazzetta.it/calcio/giocatori/alessandro-marcandalli/624931/" TargetMode="External"/><Relationship Id="rId385" Type="http://schemas.openxmlformats.org/officeDocument/2006/relationships/hyperlink" Target="https://www.fantacalcio.it/serie-a/squadre/genoa/marcandalli/6660/2026-27/italia" TargetMode="External"/><Relationship Id="rId386" Type="http://schemas.openxmlformats.org/officeDocument/2006/relationships/hyperlink" Target="https://www.gazzetta.it/calcio/fantanews/04-08-2026/genoa-al-fantacalcio-2026-27-titolari-rigorista-sorprese-consigli-su-chi-prendere.shtml" TargetMode="External"/><Relationship Id="rId387" Type="http://schemas.openxmlformats.org/officeDocument/2006/relationships/hyperlink" Target="https://www.gazzetta.it/calcio/giocatori/ivan-smolcic/510565/" TargetMode="External"/><Relationship Id="rId388" Type="http://schemas.openxmlformats.org/officeDocument/2006/relationships/hyperlink" Target="https://www.fantacalcio.it/serie-a/squadre/como/smolcic-i/7014/2026-27/italia" TargetMode="External"/><Relationship Id="rId389" Type="http://schemas.openxmlformats.org/officeDocument/2006/relationships/hyperlink" Target="https://www.gazzetta.it/calcio/fantanews/04-08-2026/como-fantacalcio-2026-27-titolari-rigorista-sorprese-consigli-su-chi-prendere.shtml" TargetMode="External"/><Relationship Id="rId390" Type="http://schemas.openxmlformats.org/officeDocument/2006/relationships/hyperlink" Target="https://www.gazzetta.it/calcio/giocatori/ze-pedro/545932/" TargetMode="External"/><Relationship Id="rId391" Type="http://schemas.openxmlformats.org/officeDocument/2006/relationships/hyperlink" Target="https://www.fantacalcio.it/serie-a/squadre/cagliari/z%C3%A8-pedro/7274/2026-27/italia" TargetMode="External"/><Relationship Id="rId392" Type="http://schemas.openxmlformats.org/officeDocument/2006/relationships/hyperlink" Target="https://www.gazzetta.it/calcio/fantanews/04-08-2026/cagliari-fantacalcio-2026-27-titolari-rigorista-sorprese-consigli-su-chi-prendere.shtml" TargetMode="External"/><Relationship Id="rId393" Type="http://schemas.openxmlformats.org/officeDocument/2006/relationships/hyperlink" Target="https://www.gazzetta.it/calcio/giocatori/juan-rodriguez/617160/" TargetMode="External"/><Relationship Id="rId394" Type="http://schemas.openxmlformats.org/officeDocument/2006/relationships/hyperlink" Target="https://www.fantacalcio.it/serie-a/squadre/cagliari/rodriguez-ju/7268/2026-27/italia" TargetMode="External"/><Relationship Id="rId395" Type="http://schemas.openxmlformats.org/officeDocument/2006/relationships/hyperlink" Target="https://www.gazzetta.it/calcio/fantanews/04-08-2026/cagliari-fantacalcio-2026-27-titolari-rigorista-sorprese-consigli-su-chi-prendere.shtml" TargetMode="External"/><Relationship Id="rId396" Type="http://schemas.openxmlformats.org/officeDocument/2006/relationships/hyperlink" Target="https://www.gazzetta.it/calcio/giocatori/luca-ranieri/215983/" TargetMode="External"/><Relationship Id="rId397" Type="http://schemas.openxmlformats.org/officeDocument/2006/relationships/hyperlink" Target="https://www.fantacalcio.it/serie-a/squadre/fiorentina/ranieri-l/4378/2026-27/italia" TargetMode="External"/><Relationship Id="rId398" Type="http://schemas.openxmlformats.org/officeDocument/2006/relationships/hyperlink" Target="https://www.gazzetta.it/calcio/fantanews/02-08-2026/fiorentina-fantacalcio-2026-27-titolari-rigorista-sorprese-consigli-su-chi-prendere.shtml" TargetMode="External"/><Relationship Id="rId399" Type="http://schemas.openxmlformats.org/officeDocument/2006/relationships/hyperlink" Target="https://www.fantacalcio.it/serie-a/squadre/cagliari/sugawara/7621/2026-27/italia" TargetMode="External"/><Relationship Id="rId400" Type="http://schemas.openxmlformats.org/officeDocument/2006/relationships/hyperlink" Target="https://www.gazzetta.it/calcio/fantanews/04-08-2026/cagliari-fantacalcio-2026-27-titolari-rigorista-sorprese-consigli-su-chi-prendere.shtml" TargetMode="External"/><Relationship Id="rId401" Type="http://schemas.openxmlformats.org/officeDocument/2006/relationships/hyperlink" Target="https://www.gazzetta.it/calcio/giocatori/federico-gatti/543612/" TargetMode="External"/><Relationship Id="rId402" Type="http://schemas.openxmlformats.org/officeDocument/2006/relationships/hyperlink" Target="https://www.fantacalcio.it/serie-a/squadre/juventus/gatti/5831/2026-27/italia" TargetMode="External"/><Relationship Id="rId403" Type="http://schemas.openxmlformats.org/officeDocument/2006/relationships/hyperlink" Target="https://www.gazzetta.it/calcio/fantanews/03-08-2026/juve-al-fantacalcio-2026-27-titolari-rigorista-sorprese-consigli-su-chi-prendere.shtml" TargetMode="External"/><Relationship Id="rId404" Type="http://schemas.openxmlformats.org/officeDocument/2006/relationships/hyperlink" Target="https://www.gazzetta.it/calcio/giocatori/rafa-obrador/500047/" TargetMode="External"/><Relationship Id="rId405" Type="http://schemas.openxmlformats.org/officeDocument/2006/relationships/hyperlink" Target="https://www.fantacalcio.it/serie-a/squadre/sassuolo/obrador/7329/2026-27/italia" TargetMode="External"/><Relationship Id="rId406" Type="http://schemas.openxmlformats.org/officeDocument/2006/relationships/hyperlink" Target="https://www.gazzetta.it/calcio/fantanews/04-08-2026/sassuolo-fantacalcio-2026-27-titolari-rigorista-sorprese-consigli-su-chi-prendere.shtml" TargetMode="External"/><Relationship Id="rId407" Type="http://schemas.openxmlformats.org/officeDocument/2006/relationships/hyperlink" Target="https://www.gazzetta.it/calcio/giocatori/alessandro-buongiorno/247359/" TargetMode="External"/><Relationship Id="rId408" Type="http://schemas.openxmlformats.org/officeDocument/2006/relationships/hyperlink" Target="https://www.fantacalcio.it/serie-a/squadre/napoli/buongiorno/2724/2026-27/italia" TargetMode="External"/><Relationship Id="rId409" Type="http://schemas.openxmlformats.org/officeDocument/2006/relationships/hyperlink" Target="https://www.gazzetta.it/calcio/fantanews/02-08-2026/napoli-fantacalcio-2026-27-titolari-rigorista-sorprese-consigli-su-chi-prendere.shtml" TargetMode="External"/><Relationship Id="rId410" Type="http://schemas.openxmlformats.org/officeDocument/2006/relationships/hyperlink" Target="https://www.gazzetta.it/calcio/giocatori/daniele-ghilardi/550093/" TargetMode="External"/><Relationship Id="rId411" Type="http://schemas.openxmlformats.org/officeDocument/2006/relationships/hyperlink" Target="https://www.fantacalcio.it/serie-a/squadre/roma/ghilardi/6631/2026-27/italia" TargetMode="External"/><Relationship Id="rId412" Type="http://schemas.openxmlformats.org/officeDocument/2006/relationships/hyperlink" Target="https://www.gazzetta.it/calcio/fantanews/03-08-2026/roma-al-fantacalcio-2026-27-titolari-rigorista-sorprese-consigli-su-chi-prendere.shtml" TargetMode="External"/><Relationship Id="rId413" Type="http://schemas.openxmlformats.org/officeDocument/2006/relationships/hyperlink" Target="https://www.fantacalcio.it/serie-a/squadre/frosinone/monterisi/4952/2026-27/italia" TargetMode="External"/><Relationship Id="rId414" Type="http://schemas.openxmlformats.org/officeDocument/2006/relationships/hyperlink" Target="https://www.gazzetta.it/calcio/fantanews/02-08-2026/frosinone-al-fantacalcio-2026-27-titolari-rigorista-sorprese-e-consigli-su-chi-prendere.shtml" TargetMode="External"/><Relationship Id="rId415" Type="http://schemas.openxmlformats.org/officeDocument/2006/relationships/hyperlink" Target="https://www.gazzetta.it/calcio/giocatori/devyne-rensch/466002/" TargetMode="External"/><Relationship Id="rId416" Type="http://schemas.openxmlformats.org/officeDocument/2006/relationships/hyperlink" Target="https://www.fantacalcio.it/serie-a/squadre/roma/rensch/6986/2026-27/italia" TargetMode="External"/><Relationship Id="rId417" Type="http://schemas.openxmlformats.org/officeDocument/2006/relationships/hyperlink" Target="https://www.gazzetta.it/calcio/fantanews/03-08-2026/roma-al-fantacalcio-2026-27-titolari-rigorista-sorprese-consigli-su-chi-prendere.shtml" TargetMode="External"/><Relationship Id="rId418" Type="http://schemas.openxmlformats.org/officeDocument/2006/relationships/hyperlink" Target="https://www.gazzetta.it/calcio/giocatori/juan-jesus/91990/" TargetMode="External"/><Relationship Id="rId419" Type="http://schemas.openxmlformats.org/officeDocument/2006/relationships/hyperlink" Target="https://www.fantacalcio.it/serie-a/squadre/venezia/juan-jesus/256/2026-27/italia" TargetMode="External"/><Relationship Id="rId420" Type="http://schemas.openxmlformats.org/officeDocument/2006/relationships/hyperlink" Target="https://www.gazzetta.it/calcio/fantanews/04-08-2026/venezia-al-fantacalcio-2026-27-titolari-rigorista-sorprese-consigli-su-chi-prendere.shtml" TargetMode="External"/><Relationship Id="rId421" Type="http://schemas.openxmlformats.org/officeDocument/2006/relationships/hyperlink" Target="https://www.gazzetta.it/calcio/giocatori/koni-de-winter/248881/" TargetMode="External"/><Relationship Id="rId422" Type="http://schemas.openxmlformats.org/officeDocument/2006/relationships/hyperlink" Target="https://www.fantacalcio.it/serie-a/squadre/milan/de-winter/5739/2026-27/italia" TargetMode="External"/><Relationship Id="rId423" Type="http://schemas.openxmlformats.org/officeDocument/2006/relationships/hyperlink" Target="https://www.gazzetta.it/calcio/fantanews/02-08-2026/milan-al-fantacalcio-2026-27-titolari-rigorista-sorprese-e-consigli-su-chi-prendere.shtml" TargetMode="External"/><Relationship Id="rId424" Type="http://schemas.openxmlformats.org/officeDocument/2006/relationships/hyperlink" Target="https://www.fantacalcio.it/serie-a/squadre/como/kaiki/7414/2026-27/italia" TargetMode="External"/><Relationship Id="rId425" Type="http://schemas.openxmlformats.org/officeDocument/2006/relationships/hyperlink" Target="https://www.gazzetta.it/calcio/fantanews/04-08-2026/como-fantacalcio-2026-27-titolari-rigorista-sorprese-consigli-su-chi-prendere.shtml" TargetMode="External"/><Relationship Id="rId426" Type="http://schemas.openxmlformats.org/officeDocument/2006/relationships/hyperlink" Target="https://www.gazzetta.it/calcio/giocatori/marin-pongracic/421634/" TargetMode="External"/><Relationship Id="rId427" Type="http://schemas.openxmlformats.org/officeDocument/2006/relationships/hyperlink" Target="https://www.fantacalcio.it/serie-a/squadre/fiorentina/pongracic/5603/2026-27/italia" TargetMode="External"/><Relationship Id="rId428" Type="http://schemas.openxmlformats.org/officeDocument/2006/relationships/hyperlink" Target="https://www.gazzetta.it/calcio/fantanews/02-08-2026/fiorentina-fantacalcio-2026-27-titolari-rigorista-sorprese-consigli-su-chi-prendere.shtml" TargetMode="External"/><Relationship Id="rId429" Type="http://schemas.openxmlformats.org/officeDocument/2006/relationships/hyperlink" Target="https://www.gazzetta.it/calcio/giocatori/odilon-kossounou/208540/" TargetMode="External"/><Relationship Id="rId430" Type="http://schemas.openxmlformats.org/officeDocument/2006/relationships/hyperlink" Target="https://www.fantacalcio.it/serie-a/squadre/atalanta/kossounou/5578/2026-27/italia" TargetMode="External"/><Relationship Id="rId431" Type="http://schemas.openxmlformats.org/officeDocument/2006/relationships/hyperlink" Target="https://www.gazzetta.it/calcio/fantanews/02-08-2026/atalanta-fantacalcio-2026-27-titolari-rigorista-sorprese-consigli-su-chi-prendere.shtml" TargetMode="External"/><Relationship Id="rId432" Type="http://schemas.openxmlformats.org/officeDocument/2006/relationships/hyperlink" Target="https://www.fantacalcio.it/serie-a/squadre/monza/mangas/7485/2026-27/italia" TargetMode="External"/><Relationship Id="rId433" Type="http://schemas.openxmlformats.org/officeDocument/2006/relationships/hyperlink" Target="https://www.gazzetta.it/calcio/fantanews/05-08-2026/monza-al-fantacalcio-2026-27-titolari-rigorista-sorprese-consigli-su-chi-prendere.shtml" TargetMode="External"/><Relationship Id="rId434" Type="http://schemas.openxmlformats.org/officeDocument/2006/relationships/hyperlink" Target="https://www.fantacalcio.it/serie-a/squadre/venezia/correia-t/4845/2026-27/italia" TargetMode="External"/><Relationship Id="rId435" Type="http://schemas.openxmlformats.org/officeDocument/2006/relationships/hyperlink" Target="https://www.gazzetta.it/calcio/fantanews/04-08-2026/venezia-al-fantacalcio-2026-27-titolari-rigorista-sorprese-consigli-su-chi-prendere.shtml" TargetMode="External"/><Relationship Id="rId436" Type="http://schemas.openxmlformats.org/officeDocument/2006/relationships/hyperlink" Target="https://www.fantacalcio.it/serie-a/squadre/monza/birindelli/5838/2026-27/italia" TargetMode="External"/><Relationship Id="rId437" Type="http://schemas.openxmlformats.org/officeDocument/2006/relationships/hyperlink" Target="https://www.gazzetta.it/calcio/fantanews/05-08-2026/monza-al-fantacalcio-2026-27-titolari-rigorista-sorprese-consigli-su-chi-prendere.shtml" TargetMode="External"/><Relationship Id="rId438" Type="http://schemas.openxmlformats.org/officeDocument/2006/relationships/hyperlink" Target="https://www.gazzetta.it/calcio/giocatori/mathias-olivera/214966/" TargetMode="External"/><Relationship Id="rId439" Type="http://schemas.openxmlformats.org/officeDocument/2006/relationships/hyperlink" Target="https://www.fantacalcio.it/serie-a/squadre/napoli/olivera/5840/2026-27/italia" TargetMode="External"/><Relationship Id="rId440" Type="http://schemas.openxmlformats.org/officeDocument/2006/relationships/hyperlink" Target="https://www.gazzetta.it/calcio/fantanews/02-08-2026/napoli-fantacalcio-2026-27-titolari-rigorista-sorprese-consigli-su-chi-prendere.shtml" TargetMode="External"/><Relationship Id="rId441" Type="http://schemas.openxmlformats.org/officeDocument/2006/relationships/hyperlink" Target="https://www.fantacalcio.it/serie-a/squadre/genoa/drameh/5742/2026-27/italia" TargetMode="External"/><Relationship Id="rId442" Type="http://schemas.openxmlformats.org/officeDocument/2006/relationships/hyperlink" Target="https://www.gazzetta.it/calcio/fantanews/04-08-2026/genoa-al-fantacalcio-2026-27-titolari-rigorista-sorprese-consigli-su-chi-prendere.shtml" TargetMode="External"/><Relationship Id="rId443" Type="http://schemas.openxmlformats.org/officeDocument/2006/relationships/hyperlink" Target="https://www.gazzetta.it/calcio/giocatori/sam-beukema/433521/" TargetMode="External"/><Relationship Id="rId444" Type="http://schemas.openxmlformats.org/officeDocument/2006/relationships/hyperlink" Target="https://www.fantacalcio.it/serie-a/squadre/napoli/beukema/6202/2026-27/italia" TargetMode="External"/><Relationship Id="rId445" Type="http://schemas.openxmlformats.org/officeDocument/2006/relationships/hyperlink" Target="https://www.gazzetta.it/calcio/fantanews/02-08-2026/napoli-fantacalcio-2026-27-titolari-rigorista-sorprese-consigli-su-chi-prendere.shtml" TargetMode="External"/><Relationship Id="rId446" Type="http://schemas.openxmlformats.org/officeDocument/2006/relationships/hyperlink" Target="https://www.gazzetta.it/calcio/giocatori/torbjorn-heggem/449652/" TargetMode="External"/><Relationship Id="rId447" Type="http://schemas.openxmlformats.org/officeDocument/2006/relationships/hyperlink" Target="https://www.fantacalcio.it/serie-a/squadre/bologna/heggem/7212/2026-27/italia" TargetMode="External"/><Relationship Id="rId448" Type="http://schemas.openxmlformats.org/officeDocument/2006/relationships/hyperlink" Target="https://www.gazzetta.it/calcio/fantanews/03-08-2026/bologna-fantacalcio-2026-27-titolari-rigorista-sorprese-consigli-su-chi-prendere.shtml" TargetMode="External"/><Relationship Id="rId449" Type="http://schemas.openxmlformats.org/officeDocument/2006/relationships/hyperlink" Target="https://www.gazzetta.it/calcio/giocatori/fabiano-parisi/515952/" TargetMode="External"/><Relationship Id="rId450" Type="http://schemas.openxmlformats.org/officeDocument/2006/relationships/hyperlink" Target="https://www.fantacalcio.it/serie-a/squadre/fiorentina/parisi/5449/2026-27/italia" TargetMode="External"/><Relationship Id="rId451" Type="http://schemas.openxmlformats.org/officeDocument/2006/relationships/hyperlink" Target="https://www.gazzetta.it/calcio/fantanews/02-08-2026/fiorentina-fantacalcio-2026-27-titolari-rigorista-sorprese-consigli-su-chi-prendere.shtml" TargetMode="External"/><Relationship Id="rId452" Type="http://schemas.openxmlformats.org/officeDocument/2006/relationships/hyperlink" Target="https://www.gazzetta.it/calcio/giocatori/ignace-van-der-brempt/248882/" TargetMode="External"/><Relationship Id="rId453" Type="http://schemas.openxmlformats.org/officeDocument/2006/relationships/hyperlink" Target="https://www.fantacalcio.it/serie-a/squadre/sassuolo/van-der-brempt/6896/2026-27/italia" TargetMode="External"/><Relationship Id="rId454" Type="http://schemas.openxmlformats.org/officeDocument/2006/relationships/hyperlink" Target="https://www.gazzetta.it/calcio/fantanews/04-08-2026/sassuolo-fantacalcio-2026-27-titolari-rigorista-sorprese-consigli-su-chi-prendere.shtml" TargetMode="External"/><Relationship Id="rId455" Type="http://schemas.openxmlformats.org/officeDocument/2006/relationships/hyperlink" Target="https://www.gazzetta.it/calcio/giocatori/josh-doig/487997/" TargetMode="External"/><Relationship Id="rId456" Type="http://schemas.openxmlformats.org/officeDocument/2006/relationships/hyperlink" Target="https://www.fantacalcio.it/serie-a/squadre/sassuolo/doig/5851/2026-27/italia" TargetMode="External"/><Relationship Id="rId457" Type="http://schemas.openxmlformats.org/officeDocument/2006/relationships/hyperlink" Target="https://www.gazzetta.it/calcio/fantanews/04-08-2026/sassuolo-fantacalcio-2026-27-titolari-rigorista-sorprese-consigli-su-chi-prendere.shtml" TargetMode="External"/><Relationship Id="rId458" Type="http://schemas.openxmlformats.org/officeDocument/2006/relationships/hyperlink" Target="https://www.fantacalcio.it/serie-a/squadre/fiorentina/viery/7410/2026-27/italia" TargetMode="External"/><Relationship Id="rId459" Type="http://schemas.openxmlformats.org/officeDocument/2006/relationships/hyperlink" Target="https://www.gazzetta.it/calcio/fantanews/02-08-2026/fiorentina-fantacalcio-2026-27-titolari-rigorista-sorprese-consigli-su-chi-prendere.shtml" TargetMode="External"/><Relationship Id="rId460" Type="http://schemas.openxmlformats.org/officeDocument/2006/relationships/hyperlink" Target="https://www.gazzetta.it/calcio/giocatori/niccolo-fortini/602122/" TargetMode="External"/><Relationship Id="rId461" Type="http://schemas.openxmlformats.org/officeDocument/2006/relationships/hyperlink" Target="https://www.fantacalcio.it/serie-a/squadre/torino/fortini/7069/2026-27/italia" TargetMode="External"/><Relationship Id="rId462" Type="http://schemas.openxmlformats.org/officeDocument/2006/relationships/hyperlink" Target="https://www.gazzetta.it/calcio/fantanews/03-08-2026/torino-fantacalcio-2026-27-titolari-rigorista-sorprese-consigli-su-chi-prendere.shtml" TargetMode="External"/><Relationship Id="rId463" Type="http://schemas.openxmlformats.org/officeDocument/2006/relationships/hyperlink" Target="https://www.fantacalcio.it/serie-a/squadre/monza/carboni-a/4925/2026-27/italia" TargetMode="External"/><Relationship Id="rId464" Type="http://schemas.openxmlformats.org/officeDocument/2006/relationships/hyperlink" Target="https://www.gazzetta.it/calcio/fantanews/05-08-2026/monza-al-fantacalcio-2026-27-titolari-rigorista-sorprese-consigli-su-chi-prendere.shtml" TargetMode="External"/><Relationship Id="rId465" Type="http://schemas.openxmlformats.org/officeDocument/2006/relationships/hyperlink" Target="https://www.fantacalcio.it/serie-a/squadre/roma/koulierakis/7529/2026-27/italia" TargetMode="External"/><Relationship Id="rId466" Type="http://schemas.openxmlformats.org/officeDocument/2006/relationships/hyperlink" Target="https://www.gazzetta.it/calcio/fantanews/03-08-2026/roma-al-fantacalcio-2026-27-titolari-rigorista-sorprese-consigli-su-chi-prendere.shtml" TargetMode="External"/><Relationship Id="rId467" Type="http://schemas.openxmlformats.org/officeDocument/2006/relationships/hyperlink" Target="https://www.fantacalcio.it/serie-a/squadre/sassuolo/caleta-car/4147/2026-27/italia" TargetMode="External"/><Relationship Id="rId468" Type="http://schemas.openxmlformats.org/officeDocument/2006/relationships/hyperlink" Target="https://www.gazzetta.it/calcio/fantanews/04-08-2026/sassuolo-fantacalcio-2026-27-titolari-rigorista-sorprese-consigli-su-chi-prendere.shtml" TargetMode="External"/><Relationship Id="rId469" Type="http://schemas.openxmlformats.org/officeDocument/2006/relationships/hyperlink" Target="https://www.fantacalcio.it/serie-a/squadre/como/kambwala/6601/2026-27/italia" TargetMode="External"/><Relationship Id="rId470" Type="http://schemas.openxmlformats.org/officeDocument/2006/relationships/hyperlink" Target="https://www.gazzetta.it/calcio/fantanews/04-08-2026/como-fantacalcio-2026-27-titolari-rigorista-sorprese-consigli-su-chi-prendere.shtml" TargetMode="External"/><Relationship Id="rId471" Type="http://schemas.openxmlformats.org/officeDocument/2006/relationships/hyperlink" Target="https://www.fantacalcio.it/serie-a/squadre/venezia/schingtienne/6892/2026-27/italia" TargetMode="External"/><Relationship Id="rId472" Type="http://schemas.openxmlformats.org/officeDocument/2006/relationships/hyperlink" Target="https://www.gazzetta.it/calcio/fantanews/04-08-2026/venezia-al-fantacalcio-2026-27-titolari-rigorista-sorprese-consigli-su-chi-prendere.shtml" TargetMode="External"/><Relationship Id="rId473" Type="http://schemas.openxmlformats.org/officeDocument/2006/relationships/hyperlink" Target="https://www.fantacalcio.it/serie-a/squadre/frosinone/oyono-a/6238/2026-27/italia" TargetMode="External"/><Relationship Id="rId474" Type="http://schemas.openxmlformats.org/officeDocument/2006/relationships/hyperlink" Target="https://www.gazzetta.it/calcio/fantanews/02-08-2026/frosinone-al-fantacalcio-2026-27-titolari-rigorista-sorprese-e-consigli-su-chi-prendere.shtml" TargetMode="External"/><Relationship Id="rId475" Type="http://schemas.openxmlformats.org/officeDocument/2006/relationships/hyperlink" Target="https://www.fantacalcio.it/serie-a/squadre/venezia/haps/5695/2026-27/italia" TargetMode="External"/><Relationship Id="rId476" Type="http://schemas.openxmlformats.org/officeDocument/2006/relationships/hyperlink" Target="https://www.gazzetta.it/calcio/fantanews/04-08-2026/venezia-al-fantacalcio-2026-27-titolari-rigorista-sorprese-consigli-su-chi-prendere.shtml" TargetMode="External"/><Relationship Id="rId477" Type="http://schemas.openxmlformats.org/officeDocument/2006/relationships/hyperlink" Target="https://www.fantacalcio.it/serie-a/squadre/sassuolo/leysen-f/7564/2026-27/italia" TargetMode="External"/><Relationship Id="rId478" Type="http://schemas.openxmlformats.org/officeDocument/2006/relationships/hyperlink" Target="https://www.gazzetta.it/calcio/fantanews/04-08-2026/sassuolo-fantacalcio-2026-27-titolari-rigorista-sorprese-consigli-su-chi-prendere.shtml" TargetMode="External"/><Relationship Id="rId479" Type="http://schemas.openxmlformats.org/officeDocument/2006/relationships/hyperlink" Target="https://www.fantacalcio.it/serie-a/squadre/cagliari/aurelio/7548/2026-27/italia" TargetMode="External"/><Relationship Id="rId480" Type="http://schemas.openxmlformats.org/officeDocument/2006/relationships/hyperlink" Target="https://www.gazzetta.it/calcio/fantanews/04-08-2026/cagliari-fantacalcio-2026-27-titolari-rigorista-sorprese-consigli-su-chi-prendere.shtml" TargetMode="External"/><Relationship Id="rId481" Type="http://schemas.openxmlformats.org/officeDocument/2006/relationships/hyperlink" Target="https://www.fantacalcio.it/serie-a/squadre/torino/patterson/5751/2026-27/italia" TargetMode="External"/><Relationship Id="rId482" Type="http://schemas.openxmlformats.org/officeDocument/2006/relationships/hyperlink" Target="https://www.gazzetta.it/calcio/fantanews/03-08-2026/torino-fantacalcio-2026-27-titolari-rigorista-sorprese-consigli-su-chi-prendere.shtml" TargetMode="External"/><Relationship Id="rId483" Type="http://schemas.openxmlformats.org/officeDocument/2006/relationships/hyperlink" Target="https://www.gazzetta.it/calcio/giocatori/armel-bella-kotchap/477386/" TargetMode="External"/><Relationship Id="rId484" Type="http://schemas.openxmlformats.org/officeDocument/2006/relationships/hyperlink" Target="https://www.fantacalcio.it/serie-a/squadre/venezia/bella-kotchap/7253/2026-27/italia" TargetMode="External"/><Relationship Id="rId485" Type="http://schemas.openxmlformats.org/officeDocument/2006/relationships/hyperlink" Target="https://www.gazzetta.it/calcio/fantanews/04-08-2026/venezia-al-fantacalcio-2026-27-titolari-rigorista-sorprese-consigli-su-chi-prendere.shtml" TargetMode="External"/><Relationship Id="rId486" Type="http://schemas.openxmlformats.org/officeDocument/2006/relationships/hyperlink" Target="https://www.gazzetta.it/calcio/giocatori/sead-kolasinac/111457/" TargetMode="External"/><Relationship Id="rId487" Type="http://schemas.openxmlformats.org/officeDocument/2006/relationships/hyperlink" Target="https://www.fantacalcio.it/serie-a/squadre/atalanta/kolasinac/2640/2026-27/italia" TargetMode="External"/><Relationship Id="rId488" Type="http://schemas.openxmlformats.org/officeDocument/2006/relationships/hyperlink" Target="https://www.gazzetta.it/calcio/fantanews/02-08-2026/atalanta-fantacalcio-2026-27-titolari-rigorista-sorprese-consigli-su-chi-prendere.shtml" TargetMode="External"/><Relationship Id="rId489" Type="http://schemas.openxmlformats.org/officeDocument/2006/relationships/hyperlink" Target="https://www.gazzetta.it/calcio/giocatori/stefano-sabelli/126488/" TargetMode="External"/><Relationship Id="rId490" Type="http://schemas.openxmlformats.org/officeDocument/2006/relationships/hyperlink" Target="https://www.fantacalcio.it/serie-a/squadre/genoa/sabelli/791/2026-27/italia" TargetMode="External"/><Relationship Id="rId491" Type="http://schemas.openxmlformats.org/officeDocument/2006/relationships/hyperlink" Target="https://www.gazzetta.it/calcio/fantanews/04-08-2026/genoa-al-fantacalcio-2026-27-titolari-rigorista-sorprese-consigli-su-chi-prendere.shtml" TargetMode="External"/><Relationship Id="rId492" Type="http://schemas.openxmlformats.org/officeDocument/2006/relationships/hyperlink" Target="https://www.fantacalcio.it/serie-a/squadre/frosinone/bracaglia/7469/2026-27/italia" TargetMode="External"/><Relationship Id="rId493" Type="http://schemas.openxmlformats.org/officeDocument/2006/relationships/hyperlink" Target="https://www.gazzetta.it/calcio/fantanews/02-08-2026/frosinone-al-fantacalcio-2026-27-titolari-rigorista-sorprese-e-consigli-su-chi-prendere.shtml" TargetMode="External"/><Relationship Id="rId494" Type="http://schemas.openxmlformats.org/officeDocument/2006/relationships/hyperlink" Target="https://www.fantacalcio.it/serie-a/squadre/frosinone/calvani/7467/2026-27/italia" TargetMode="External"/><Relationship Id="rId495" Type="http://schemas.openxmlformats.org/officeDocument/2006/relationships/hyperlink" Target="https://www.gazzetta.it/calcio/fantanews/02-08-2026/frosinone-al-fantacalcio-2026-27-titolari-rigorista-sorprese-e-consigli-su-chi-prendere.shtml" TargetMode="External"/><Relationship Id="rId496" Type="http://schemas.openxmlformats.org/officeDocument/2006/relationships/hyperlink" Target="https://www.gazzetta.it/calcio/giocatori/sebastian-walukiewicz/429187/" TargetMode="External"/><Relationship Id="rId497" Type="http://schemas.openxmlformats.org/officeDocument/2006/relationships/hyperlink" Target="https://www.fantacalcio.it/serie-a/squadre/sassuolo/walukiewicz/4374/2026-27/italia" TargetMode="External"/><Relationship Id="rId498" Type="http://schemas.openxmlformats.org/officeDocument/2006/relationships/hyperlink" Target="https://www.gazzetta.it/calcio/fantanews/04-08-2026/sassuolo-fantacalcio-2026-27-titolari-rigorista-sorprese-consigli-su-chi-prendere.shtml" TargetMode="External"/><Relationship Id="rId499" Type="http://schemas.openxmlformats.org/officeDocument/2006/relationships/hyperlink" Target="https://www.gazzetta.it/calcio/giocatori/martin-vitik/485066/" TargetMode="External"/><Relationship Id="rId500" Type="http://schemas.openxmlformats.org/officeDocument/2006/relationships/hyperlink" Target="https://www.fantacalcio.it/serie-a/squadre/bologna/vitik/7068/2026-27/italia" TargetMode="External"/><Relationship Id="rId501" Type="http://schemas.openxmlformats.org/officeDocument/2006/relationships/hyperlink" Target="https://www.gazzetta.it/calcio/fantanews/03-08-2026/bologna-fantacalcio-2026-27-titolari-rigorista-sorprese-consigli-su-chi-prendere.shtml" TargetMode="External"/><Relationship Id="rId502" Type="http://schemas.openxmlformats.org/officeDocument/2006/relationships/hyperlink" Target="https://www.gazzetta.it/calcio/giocatori/nicolo-bertola/539223/" TargetMode="External"/><Relationship Id="rId503" Type="http://schemas.openxmlformats.org/officeDocument/2006/relationships/hyperlink" Target="https://www.fantacalcio.it/serie-a/squadre/udinese/bertola/5820/2026-27/italia" TargetMode="External"/><Relationship Id="rId504" Type="http://schemas.openxmlformats.org/officeDocument/2006/relationships/hyperlink" Target="https://www.gazzetta.it/calcio/fantanews/03-08-2026/udinese-fantacalcio-2026-27-titolari-rigorista-sorprese-consigli-su-chi-prendere.shtml" TargetMode="External"/><Relationship Id="rId505" Type="http://schemas.openxmlformats.org/officeDocument/2006/relationships/hyperlink" Target="https://www.fantacalcio.it/serie-a/squadre/torino/comert/7526/2026-27/italia" TargetMode="External"/><Relationship Id="rId506" Type="http://schemas.openxmlformats.org/officeDocument/2006/relationships/hyperlink" Target="https://www.gazzetta.it/calcio/fantanews/03-08-2026/torino-fantacalcio-2026-27-titolari-rigorista-sorprese-consigli-su-chi-prendere.shtml" TargetMode="External"/><Relationship Id="rId507" Type="http://schemas.openxmlformats.org/officeDocument/2006/relationships/hyperlink" Target="https://www.gazzetta.it/calcio/giocatori/saba-goglichidze/570983/" TargetMode="External"/><Relationship Id="rId508" Type="http://schemas.openxmlformats.org/officeDocument/2006/relationships/hyperlink" Target="https://www.fantacalcio.it/serie-a/squadre/monza/goglichidze/6537/2026-27/italia" TargetMode="External"/><Relationship Id="rId509" Type="http://schemas.openxmlformats.org/officeDocument/2006/relationships/hyperlink" Target="https://www.gazzetta.it/calcio/fantanews/05-08-2026/monza-al-fantacalcio-2026-27-titolari-rigorista-sorprese-consigli-su-chi-prendere.shtml" TargetMode="External"/><Relationship Id="rId510" Type="http://schemas.openxmlformats.org/officeDocument/2006/relationships/hyperlink" Target="https://www.gazzetta.it/calcio/giocatori/juan-cabal/486797/" TargetMode="External"/><Relationship Id="rId511" Type="http://schemas.openxmlformats.org/officeDocument/2006/relationships/hyperlink" Target="https://www.fantacalcio.it/serie-a/squadre/juventus/cabal/6039/2026-27/italia" TargetMode="External"/><Relationship Id="rId512" Type="http://schemas.openxmlformats.org/officeDocument/2006/relationships/hyperlink" Target="https://www.gazzetta.it/calcio/fantanews/03-08-2026/juve-al-fantacalcio-2026-27-titolari-rigorista-sorprese-consigli-su-chi-prendere.shtml" TargetMode="External"/><Relationship Id="rId513" Type="http://schemas.openxmlformats.org/officeDocument/2006/relationships/hyperlink" Target="https://www.gazzetta.it/calcio/giocatori/joao-mario/437860/" TargetMode="External"/><Relationship Id="rId514" Type="http://schemas.openxmlformats.org/officeDocument/2006/relationships/hyperlink" Target="https://www.fantacalcio.it/serie-a/squadre/fiorentina/joao-mario/7175/2026-27/italia" TargetMode="External"/><Relationship Id="rId515" Type="http://schemas.openxmlformats.org/officeDocument/2006/relationships/hyperlink" Target="https://www.gazzetta.it/calcio/fantanews/02-08-2026/fiorentina-fantacalcio-2026-27-titolari-rigorista-sorprese-consigli-su-chi-prendere.shtml" TargetMode="External"/><Relationship Id="rId516" Type="http://schemas.openxmlformats.org/officeDocument/2006/relationships/hyperlink" Target="https://www.gazzetta.it/calcio/giocatori/jay-idzes/449722/" TargetMode="External"/><Relationship Id="rId517" Type="http://schemas.openxmlformats.org/officeDocument/2006/relationships/hyperlink" Target="https://www.fantacalcio.it/serie-a/squadre/sassuolo/idzes/6672/2026-27/italia" TargetMode="External"/><Relationship Id="rId518" Type="http://schemas.openxmlformats.org/officeDocument/2006/relationships/hyperlink" Target="https://www.gazzetta.it/calcio/fantanews/04-08-2026/sassuolo-fantacalcio-2026-27-titolari-rigorista-sorprese-consigli-su-chi-prendere.shtml" TargetMode="External"/><Relationship Id="rId519" Type="http://schemas.openxmlformats.org/officeDocument/2006/relationships/hyperlink" Target="https://www.fantacalcio.it/serie-a/squadre/napoli/marin-r/6638/2026-27/italia" TargetMode="External"/><Relationship Id="rId520" Type="http://schemas.openxmlformats.org/officeDocument/2006/relationships/hyperlink" Target="https://www.gazzetta.it/calcio/fantanews/02-08-2026/napoli-fantacalcio-2026-27-titolari-rigorista-sorprese-consigli-su-chi-prendere.shtml" TargetMode="External"/><Relationship Id="rId521" Type="http://schemas.openxmlformats.org/officeDocument/2006/relationships/hyperlink" Target="https://www.fantacalcio.it/serie-a/squadre/napoli/favasuli/7563/2026-27/italia" TargetMode="External"/><Relationship Id="rId522" Type="http://schemas.openxmlformats.org/officeDocument/2006/relationships/hyperlink" Target="https://www.gazzetta.it/calcio/fantanews/02-08-2026/napoli-fantacalcio-2026-27-titolari-rigorista-sorprese-consigli-su-chi-prendere.shtml" TargetMode="External"/><Relationship Id="rId523" Type="http://schemas.openxmlformats.org/officeDocument/2006/relationships/hyperlink" Target="https://www.gazzetta.it/calcio/giocatori/kialonda-gaspar/520242/" TargetMode="External"/><Relationship Id="rId524" Type="http://schemas.openxmlformats.org/officeDocument/2006/relationships/hyperlink" Target="https://www.fantacalcio.it/serie-a/squadre/lecce/gaspar-k/6632/2026-27/italia" TargetMode="External"/><Relationship Id="rId525" Type="http://schemas.openxmlformats.org/officeDocument/2006/relationships/hyperlink" Target="https://www.gazzetta.it/calcio/fantanews/04-08-2026/lecce-fantacalcio-2026-27-titolari-rigorista-sorprese-consigli-su-chi-prendere.shtml" TargetMode="External"/><Relationship Id="rId526" Type="http://schemas.openxmlformats.org/officeDocument/2006/relationships/hyperlink" Target="https://www.gazzetta.it/calcio/giocatori/jamil-siebert/514410/" TargetMode="External"/><Relationship Id="rId527" Type="http://schemas.openxmlformats.org/officeDocument/2006/relationships/hyperlink" Target="https://www.fantacalcio.it/serie-a/squadre/lecce/siebert/7240/2026-27/italia" TargetMode="External"/><Relationship Id="rId528" Type="http://schemas.openxmlformats.org/officeDocument/2006/relationships/hyperlink" Target="https://www.gazzetta.it/calcio/fantanews/04-08-2026/lecce-fantacalcio-2026-27-titolari-rigorista-sorprese-consigli-su-chi-prendere.shtml" TargetMode="External"/><Relationship Id="rId529" Type="http://schemas.openxmlformats.org/officeDocument/2006/relationships/hyperlink" Target="https://www.gazzetta.it/calcio/giocatori/manuel-lazzari/156323/" TargetMode="External"/><Relationship Id="rId530" Type="http://schemas.openxmlformats.org/officeDocument/2006/relationships/hyperlink" Target="https://www.fantacalcio.it/serie-a/squadre/lazio/lazzari/2263/2026-27/italia" TargetMode="External"/><Relationship Id="rId531" Type="http://schemas.openxmlformats.org/officeDocument/2006/relationships/hyperlink" Target="https://www.gazzetta.it/calcio/fantanews/02-08-2026/lazio-al-fantacalcio-2026-27-titolari-rigorista-sorprese-e-consigli-su-chi-prendere.shtml" TargetMode="External"/><Relationship Id="rId532" Type="http://schemas.openxmlformats.org/officeDocument/2006/relationships/hyperlink" Target="https://www.fantacalcio.it/serie-a/squadre/frosinone/cittadini/5757/2026-27/italia" TargetMode="External"/><Relationship Id="rId533" Type="http://schemas.openxmlformats.org/officeDocument/2006/relationships/hyperlink" Target="https://www.gazzetta.it/calcio/fantanews/02-08-2026/frosinone-al-fantacalcio-2026-27-titolari-rigorista-sorprese-e-consigli-su-chi-prendere.shtml" TargetMode="External"/><Relationship Id="rId534" Type="http://schemas.openxmlformats.org/officeDocument/2006/relationships/hyperlink" Target="https://www.gazzetta.it/calcio/giocatori/jan-ziolkowski/609659/" TargetMode="External"/><Relationship Id="rId535" Type="http://schemas.openxmlformats.org/officeDocument/2006/relationships/hyperlink" Target="https://www.fantacalcio.it/serie-a/squadre/monza/ziolkowski/7260/2026-27/italia" TargetMode="External"/><Relationship Id="rId536" Type="http://schemas.openxmlformats.org/officeDocument/2006/relationships/hyperlink" Target="https://www.gazzetta.it/calcio/fantanews/05-08-2026/monza-al-fantacalcio-2026-27-titolari-rigorista-sorprese-consigli-su-chi-prendere.shtml" TargetMode="External"/><Relationship Id="rId537" Type="http://schemas.openxmlformats.org/officeDocument/2006/relationships/hyperlink" Target="https://www.gazzetta.it/calcio/giocatori/patric/106461/" TargetMode="External"/><Relationship Id="rId538" Type="http://schemas.openxmlformats.org/officeDocument/2006/relationships/hyperlink" Target="https://www.fantacalcio.it/serie-a/squadre/lazio/patric/327/2026-27/italia" TargetMode="External"/><Relationship Id="rId539" Type="http://schemas.openxmlformats.org/officeDocument/2006/relationships/hyperlink" Target="https://www.gazzetta.it/calcio/fantanews/02-08-2026/lazio-al-fantacalcio-2026-27-titolari-rigorista-sorprese-e-consigli-su-chi-prendere.shtml" TargetMode="External"/><Relationship Id="rId540" Type="http://schemas.openxmlformats.org/officeDocument/2006/relationships/hyperlink" Target="https://www.fantacalcio.it/serie-a/squadre/bologna/alhassane/7483/2026-27/italia" TargetMode="External"/><Relationship Id="rId541" Type="http://schemas.openxmlformats.org/officeDocument/2006/relationships/hyperlink" Target="https://www.gazzetta.it/calcio/fantanews/03-08-2026/bologna-fantacalcio-2026-27-titolari-rigorista-sorprese-consigli-su-chi-prendere.shtml" TargetMode="External"/><Relationship Id="rId542" Type="http://schemas.openxmlformats.org/officeDocument/2006/relationships/hyperlink" Target="https://www.gazzetta.it/calcio/giocatori/luca-pellegrini/215981/" TargetMode="External"/><Relationship Id="rId543" Type="http://schemas.openxmlformats.org/officeDocument/2006/relationships/hyperlink" Target="https://www.fantacalcio.it/serie-a/squadre/lazio/pellegrini-lu/2728/2026-27/italia" TargetMode="External"/><Relationship Id="rId544" Type="http://schemas.openxmlformats.org/officeDocument/2006/relationships/hyperlink" Target="https://www.gazzetta.it/calcio/fantanews/02-08-2026/lazio-al-fantacalcio-2026-27-titolari-rigorista-sorprese-e-consigli-su-chi-prendere.shtml" TargetMode="External"/><Relationship Id="rId545" Type="http://schemas.openxmlformats.org/officeDocument/2006/relationships/hyperlink" Target="https://www.gazzetta.it/calcio/giocatori/romano-floriani-m./556998/" TargetMode="External"/><Relationship Id="rId546" Type="http://schemas.openxmlformats.org/officeDocument/2006/relationships/hyperlink" Target="https://www.fantacalcio.it/serie-a/squadre/lazio/floriani-mussolini/7131/2026-27/italia" TargetMode="External"/><Relationship Id="rId547" Type="http://schemas.openxmlformats.org/officeDocument/2006/relationships/hyperlink" Target="https://www.gazzetta.it/calcio/fantanews/02-08-2026/lazio-al-fantacalcio-2026-27-titolari-rigorista-sorprese-e-consigli-su-chi-prendere.shtml" TargetMode="External"/><Relationship Id="rId548" Type="http://schemas.openxmlformats.org/officeDocument/2006/relationships/hyperlink" Target="https://www.fantacalcio.it/serie-a/squadre/frosinone/tchato/7605/2026-27/italia" TargetMode="External"/><Relationship Id="rId549" Type="http://schemas.openxmlformats.org/officeDocument/2006/relationships/hyperlink" Target="https://www.gazzetta.it/calcio/fantanews/02-08-2026/frosinone-al-fantacalcio-2026-27-titolari-rigorista-sorprese-e-consigli-su-chi-prendere.shtml" TargetMode="External"/><Relationship Id="rId550" Type="http://schemas.openxmlformats.org/officeDocument/2006/relationships/hyperlink" Target="https://www.gazzetta.it/calcio/giocatori/filippo-terracciano/508625/" TargetMode="External"/><Relationship Id="rId551" Type="http://schemas.openxmlformats.org/officeDocument/2006/relationships/hyperlink" Target="https://www.fantacalcio.it/serie-a/squadre/milan/terracciano-f/5812/2026-27/italia" TargetMode="External"/><Relationship Id="rId552" Type="http://schemas.openxmlformats.org/officeDocument/2006/relationships/hyperlink" Target="https://www.gazzetta.it/calcio/fantanews/02-08-2026/milan-al-fantacalcio-2026-27-titolari-rigorista-sorprese-e-consigli-su-chi-prendere.shtml" TargetMode="External"/><Relationship Id="rId553" Type="http://schemas.openxmlformats.org/officeDocument/2006/relationships/hyperlink" Target="https://www.gazzetta.it/calcio/giocatori/sascha-britschgi/678583/" TargetMode="External"/><Relationship Id="rId554" Type="http://schemas.openxmlformats.org/officeDocument/2006/relationships/hyperlink" Target="https://www.fantacalcio.it/serie-a/squadre/parma/britschgi/7255/2026-27/italia" TargetMode="External"/><Relationship Id="rId555" Type="http://schemas.openxmlformats.org/officeDocument/2006/relationships/hyperlink" Target="https://www.gazzetta.it/calcio/fantanews/03-08-2026/parma-al-fantacalcio-2026-27-titolari-rigorista-sorprese-consigli-su-chi-prendere.shtml" TargetMode="External"/><Relationship Id="rId556" Type="http://schemas.openxmlformats.org/officeDocument/2006/relationships/hyperlink" Target="https://www.gazzetta.it/calcio/giocatori/pervis-estupinan/204214/" TargetMode="External"/><Relationship Id="rId557" Type="http://schemas.openxmlformats.org/officeDocument/2006/relationships/hyperlink" Target="https://www.fantacalcio.it/serie-a/squadre/milan/estupinan/5273/2026-27/italia" TargetMode="External"/><Relationship Id="rId558" Type="http://schemas.openxmlformats.org/officeDocument/2006/relationships/hyperlink" Target="https://www.gazzetta.it/calcio/fantanews/02-08-2026/milan-al-fantacalcio-2026-27-titolari-rigorista-sorprese-e-consigli-su-chi-prendere.shtml" TargetMode="External"/><Relationship Id="rId559" Type="http://schemas.openxmlformats.org/officeDocument/2006/relationships/hyperlink" Target="https://www.fantacalcio.it/serie-a/squadre/venezia/halhal/7538/2026-27/italia" TargetMode="External"/><Relationship Id="rId560" Type="http://schemas.openxmlformats.org/officeDocument/2006/relationships/hyperlink" Target="https://www.gazzetta.it/calcio/fantanews/04-08-2026/venezia-al-fantacalcio-2026-27-titolari-rigorista-sorprese-consigli-su-chi-prendere.shtml" TargetMode="External"/><Relationship Id="rId561" Type="http://schemas.openxmlformats.org/officeDocument/2006/relationships/hyperlink" Target="https://www.gazzetta.it/calcio/giocatori/lautaro-valenti/462487/" TargetMode="External"/><Relationship Id="rId562" Type="http://schemas.openxmlformats.org/officeDocument/2006/relationships/hyperlink" Target="https://www.fantacalcio.it/serie-a/squadre/parma/valenti/5307/2026-27/italia" TargetMode="External"/><Relationship Id="rId563" Type="http://schemas.openxmlformats.org/officeDocument/2006/relationships/hyperlink" Target="https://www.gazzetta.it/calcio/fantanews/03-08-2026/parma-al-fantacalcio-2026-27-titolari-rigorista-sorprese-consigli-su-chi-prendere.shtml" TargetMode="External"/><Relationship Id="rId564" Type="http://schemas.openxmlformats.org/officeDocument/2006/relationships/hyperlink" Target="https://www.fantacalcio.it/serie-a/squadre/torino/rodriguez-r/2169/2026-27/italia" TargetMode="External"/><Relationship Id="rId565" Type="http://schemas.openxmlformats.org/officeDocument/2006/relationships/hyperlink" Target="https://www.gazzetta.it/calcio/fantanews/03-08-2026/torino-fantacalcio-2026-27-titolari-rigorista-sorprese-consigli-su-chi-prendere.shtml" TargetMode="External"/><Relationship Id="rId566" Type="http://schemas.openxmlformats.org/officeDocument/2006/relationships/hyperlink" Target="https://www.gazzetta.it/calcio/giocatori/riyad-idrissi/660646/" TargetMode="External"/><Relationship Id="rId567" Type="http://schemas.openxmlformats.org/officeDocument/2006/relationships/hyperlink" Target="https://www.fantacalcio.it/serie-a/squadre/cagliari/idrissi-r/7125/2026-27/italia" TargetMode="External"/><Relationship Id="rId568" Type="http://schemas.openxmlformats.org/officeDocument/2006/relationships/hyperlink" Target="https://www.gazzetta.it/calcio/fantanews/04-08-2026/cagliari-fantacalcio-2026-27-titolari-rigorista-sorprese-consigli-su-chi-prendere.shtml" TargetMode="External"/><Relationship Id="rId569" Type="http://schemas.openxmlformats.org/officeDocument/2006/relationships/hyperlink" Target="https://www.gazzetta.it/calcio/giocatori/abdoulaye-ndiaye/484743/" TargetMode="External"/><Relationship Id="rId570" Type="http://schemas.openxmlformats.org/officeDocument/2006/relationships/hyperlink" Target="https://www.fantacalcio.it/serie-a/squadre/parma/ndiaye/7202/2026-27/italia" TargetMode="External"/><Relationship Id="rId571" Type="http://schemas.openxmlformats.org/officeDocument/2006/relationships/hyperlink" Target="https://www.gazzetta.it/calcio/fantanews/03-08-2026/parma-al-fantacalcio-2026-27-titolari-rigorista-sorprese-consigli-su-chi-prendere.shtml" TargetMode="External"/><Relationship Id="rId572" Type="http://schemas.openxmlformats.org/officeDocument/2006/relationships/hyperlink" Target="https://www.gazzetta.it/calcio/giocatori/luca-marianucci/629364/" TargetMode="External"/><Relationship Id="rId573" Type="http://schemas.openxmlformats.org/officeDocument/2006/relationships/hyperlink" Target="https://www.fantacalcio.it/serie-a/squadre/napoli/marianucci/6809/2026-27/italia" TargetMode="External"/><Relationship Id="rId574" Type="http://schemas.openxmlformats.org/officeDocument/2006/relationships/hyperlink" Target="https://www.gazzetta.it/calcio/fantanews/02-08-2026/napoli-fantacalcio-2026-27-titolari-rigorista-sorprese-consigli-su-chi-prendere.shtml" TargetMode="External"/><Relationship Id="rId575" Type="http://schemas.openxmlformats.org/officeDocument/2006/relationships/hyperlink" Target="https://www.gazzetta.it/calcio/giocatori/eivind-helland/617551/" TargetMode="External"/><Relationship Id="rId576" Type="http://schemas.openxmlformats.org/officeDocument/2006/relationships/hyperlink" Target="https://www.fantacalcio.it/serie-a/squadre/bologna/helland/7326/2026-27/italia" TargetMode="External"/><Relationship Id="rId577" Type="http://schemas.openxmlformats.org/officeDocument/2006/relationships/hyperlink" Target="https://www.gazzetta.it/calcio/fantanews/03-08-2026/bologna-fantacalcio-2026-27-titolari-rigorista-sorprese-consigli-su-chi-prendere.shtml" TargetMode="External"/><Relationship Id="rId578" Type="http://schemas.openxmlformats.org/officeDocument/2006/relationships/hyperlink" Target="https://www.fantacalcio.it/serie-a/squadre/venezia/franjic/7478/2026-27/italia" TargetMode="External"/><Relationship Id="rId579" Type="http://schemas.openxmlformats.org/officeDocument/2006/relationships/hyperlink" Target="https://www.gazzetta.it/calcio/fantanews/04-08-2026/venezia-al-fantacalcio-2026-27-titolari-rigorista-sorprese-consigli-su-chi-prendere.shtml" TargetMode="External"/><Relationship Id="rId580" Type="http://schemas.openxmlformats.org/officeDocument/2006/relationships/hyperlink" Target="https://www.gazzetta.it/calcio/giocatori/alberto-dossena/247014/" TargetMode="External"/><Relationship Id="rId581" Type="http://schemas.openxmlformats.org/officeDocument/2006/relationships/hyperlink" Target="https://www.gazzetta.it/calcio/giocatori/cristiano-biraghi/88432/" TargetMode="External"/><Relationship Id="rId582" Type="http://schemas.openxmlformats.org/officeDocument/2006/relationships/hyperlink" Target="https://www.fantacalcio.it/serie-a/squadre/torino/biraghi/252/2026-27/italia" TargetMode="External"/><Relationship Id="rId583" Type="http://schemas.openxmlformats.org/officeDocument/2006/relationships/hyperlink" Target="https://www.gazzetta.it/calcio/fantanews/03-08-2026/torino-fantacalcio-2026-27-titolari-rigorista-sorprese-consigli-su-chi-prendere.shtml" TargetMode="External"/><Relationship Id="rId584" Type="http://schemas.openxmlformats.org/officeDocument/2006/relationships/hyperlink" Target="https://www.gazzetta.it/calcio/giocatori/enzo-ebosse/208554/" TargetMode="External"/><Relationship Id="rId585" Type="http://schemas.openxmlformats.org/officeDocument/2006/relationships/hyperlink" Target="https://www.fantacalcio.it/serie-a/squadre/udinese/ebosse/5994/2026-27/italia" TargetMode="External"/><Relationship Id="rId586" Type="http://schemas.openxmlformats.org/officeDocument/2006/relationships/hyperlink" Target="https://www.gazzetta.it/calcio/fantanews/03-08-2026/udinese-fantacalcio-2026-27-titolari-rigorista-sorprese-consigli-su-chi-prendere.shtml" TargetMode="External"/><Relationship Id="rId587" Type="http://schemas.openxmlformats.org/officeDocument/2006/relationships/hyperlink" Target="https://www.gazzetta.it/calcio/giocatori/cas-odenthal/219252/" TargetMode="External"/><Relationship Id="rId588" Type="http://schemas.openxmlformats.org/officeDocument/2006/relationships/hyperlink" Target="https://www.fantacalcio.it/serie-a/squadre/sassuolo/odenthal/7154/2026-27/italia" TargetMode="External"/><Relationship Id="rId589" Type="http://schemas.openxmlformats.org/officeDocument/2006/relationships/hyperlink" Target="https://www.gazzetta.it/calcio/fantanews/04-08-2026/sassuolo-fantacalcio-2026-27-titolari-rigorista-sorprese-consigli-su-chi-prendere.shtml" TargetMode="External"/><Relationship Id="rId590" Type="http://schemas.openxmlformats.org/officeDocument/2006/relationships/hyperlink" Target="https://www.fantacalcio.it/serie-a/squadre/genoa/puczka/7413/2026-27/italia" TargetMode="External"/><Relationship Id="rId591" Type="http://schemas.openxmlformats.org/officeDocument/2006/relationships/hyperlink" Target="https://www.gazzetta.it/calcio/fantanews/04-08-2026/genoa-al-fantacalcio-2026-27-titolari-rigorista-sorprese-consigli-su-chi-prendere.shtml" TargetMode="External"/><Relationship Id="rId592" Type="http://schemas.openxmlformats.org/officeDocument/2006/relationships/hyperlink" Target="https://www.gazzetta.it/calcio/giocatori/edoardo-goldaniga/147614/" TargetMode="External"/><Relationship Id="rId593" Type="http://schemas.openxmlformats.org/officeDocument/2006/relationships/hyperlink" Target="https://www.fantacalcio.it/serie-a/squadre/como/goldaniga/418/2026-27/italia" TargetMode="External"/><Relationship Id="rId594" Type="http://schemas.openxmlformats.org/officeDocument/2006/relationships/hyperlink" Target="https://www.gazzetta.it/calcio/fantanews/04-08-2026/como-fantacalcio-2026-27-titolari-rigorista-sorprese-consigli-su-chi-prendere.shtml" TargetMode="External"/><Relationship Id="rId595" Type="http://schemas.openxmlformats.org/officeDocument/2006/relationships/hyperlink" Target="https://www.fantacalcio.it/serie-a/squadre/frosinone/akpoguma/7540/2026-27/italia" TargetMode="External"/><Relationship Id="rId596" Type="http://schemas.openxmlformats.org/officeDocument/2006/relationships/hyperlink" Target="https://www.gazzetta.it/calcio/fantanews/02-08-2026/frosinone-al-fantacalcio-2026-27-titolari-rigorista-sorprese-e-consigli-su-chi-prendere.shtml" TargetMode="External"/><Relationship Id="rId597" Type="http://schemas.openxmlformats.org/officeDocument/2006/relationships/hyperlink" Target="https://www.fantacalcio.it/serie-a/squadre/venezia/sagrado/6681/2026-27/italia" TargetMode="External"/><Relationship Id="rId598" Type="http://schemas.openxmlformats.org/officeDocument/2006/relationships/hyperlink" Target="https://www.gazzetta.it/calcio/fantanews/04-08-2026/venezia-al-fantacalcio-2026-27-titolari-rigorista-sorprese-consigli-su-chi-prendere.shtml" TargetMode="External"/><Relationship Id="rId599" Type="http://schemas.openxmlformats.org/officeDocument/2006/relationships/hyperlink" Target="https://www.fantacalcio.it/serie-a/squadre/roma/lulli/7599/2026-27/italia" TargetMode="External"/><Relationship Id="rId600" Type="http://schemas.openxmlformats.org/officeDocument/2006/relationships/hyperlink" Target="https://www.gazzetta.it/calcio/fantanews/03-08-2026/roma-al-fantacalcio-2026-27-titolari-rigorista-sorprese-consigli-su-chi-prendere.shtml" TargetMode="External"/><Relationship Id="rId601" Type="http://schemas.openxmlformats.org/officeDocument/2006/relationships/hyperlink" Target="https://www.gazzetta.it/calcio/giocatori/matteo-palma/647151/" TargetMode="External"/><Relationship Id="rId602" Type="http://schemas.openxmlformats.org/officeDocument/2006/relationships/hyperlink" Target="https://www.fantacalcio.it/serie-a/squadre/udinese/palma/6925/2026-27/italia" TargetMode="External"/><Relationship Id="rId603" Type="http://schemas.openxmlformats.org/officeDocument/2006/relationships/hyperlink" Target="https://www.gazzetta.it/calcio/fantanews/03-08-2026/udinese-fantacalcio-2026-27-titolari-rigorista-sorprese-consigli-su-chi-prendere.shtml" TargetMode="External"/><Relationship Id="rId604" Type="http://schemas.openxmlformats.org/officeDocument/2006/relationships/hyperlink" Target="https://www.gazzetta.it/calcio/giocatori/alessandro-zanoli/444251/" TargetMode="External"/><Relationship Id="rId605" Type="http://schemas.openxmlformats.org/officeDocument/2006/relationships/hyperlink" Target="https://www.fantacalcio.it/serie-a/squadre/udinese/zanoli/5527/2026-27/italia" TargetMode="External"/><Relationship Id="rId606" Type="http://schemas.openxmlformats.org/officeDocument/2006/relationships/hyperlink" Target="https://www.gazzetta.it/calcio/fantanews/03-08-2026/udinese-fantacalcio-2026-27-titolari-rigorista-sorprese-consigli-su-chi-prendere.shtml" TargetMode="External"/><Relationship Id="rId607" Type="http://schemas.openxmlformats.org/officeDocument/2006/relationships/hyperlink" Target="https://www.gazzetta.it/calcio/giocatori/sebastian-otoa/594234/" TargetMode="External"/><Relationship Id="rId608" Type="http://schemas.openxmlformats.org/officeDocument/2006/relationships/hyperlink" Target="https://www.fantacalcio.it/serie-a/squadre/genoa/otoa/6977/2026-27/italia" TargetMode="External"/><Relationship Id="rId609" Type="http://schemas.openxmlformats.org/officeDocument/2006/relationships/hyperlink" Target="https://www.gazzetta.it/calcio/fantanews/04-08-2026/genoa-al-fantacalcio-2026-27-titolari-rigorista-sorprese-consigli-su-chi-prendere.shtml" TargetMode="External"/><Relationship Id="rId610" Type="http://schemas.openxmlformats.org/officeDocument/2006/relationships/hyperlink" Target="https://www.gazzetta.it/calcio/giocatori/pasquale-mazzocchi/428237/" TargetMode="External"/><Relationship Id="rId611" Type="http://schemas.openxmlformats.org/officeDocument/2006/relationships/hyperlink" Target="https://www.fantacalcio.it/serie-a/squadre/venezia/mazzocchi/5481/2026-27/italia" TargetMode="External"/><Relationship Id="rId612" Type="http://schemas.openxmlformats.org/officeDocument/2006/relationships/hyperlink" Target="https://www.gazzetta.it/calcio/fantanews/04-08-2026/venezia-al-fantacalcio-2026-27-titolari-rigorista-sorprese-consigli-su-chi-prendere.shtml" TargetMode="External"/><Relationship Id="rId613" Type="http://schemas.openxmlformats.org/officeDocument/2006/relationships/hyperlink" Target="https://www.gazzetta.it/calcio/giocatori/fali-cande/482975/" TargetMode="External"/><Relationship Id="rId614" Type="http://schemas.openxmlformats.org/officeDocument/2006/relationships/hyperlink" Target="https://www.fantacalcio.it/serie-a/squadre/sassuolo/cand%C3%A8/6985/2026-27/italia" TargetMode="External"/><Relationship Id="rId615" Type="http://schemas.openxmlformats.org/officeDocument/2006/relationships/hyperlink" Target="https://www.gazzetta.it/calcio/fantanews/04-08-2026/sassuolo-fantacalcio-2026-27-titolari-rigorista-sorprese-consigli-su-chi-prendere.shtml" TargetMode="External"/><Relationship Id="rId616" Type="http://schemas.openxmlformats.org/officeDocument/2006/relationships/hyperlink" Target="https://www.fantacalcio.it/serie-a/squadre/genoa/mitaj/7537/2026-27/italia" TargetMode="External"/><Relationship Id="rId617" Type="http://schemas.openxmlformats.org/officeDocument/2006/relationships/hyperlink" Target="https://www.gazzetta.it/calcio/fantanews/04-08-2026/genoa-al-fantacalcio-2026-27-titolari-rigorista-sorprese-consigli-su-chi-prendere.shtml" TargetMode="External"/><Relationship Id="rId618" Type="http://schemas.openxmlformats.org/officeDocument/2006/relationships/hyperlink" Target="https://www.gazzetta.it/calcio/giocatori/nicolo-casale/244453/" TargetMode="External"/><Relationship Id="rId619" Type="http://schemas.openxmlformats.org/officeDocument/2006/relationships/hyperlink" Target="https://www.fantacalcio.it/serie-a/squadre/bologna/casale/5498/2026-27/italia" TargetMode="External"/><Relationship Id="rId620" Type="http://schemas.openxmlformats.org/officeDocument/2006/relationships/hyperlink" Target="https://www.gazzetta.it/calcio/fantanews/03-08-2026/bologna-fantacalcio-2026-27-titolari-rigorista-sorprese-consigli-su-chi-prendere.shtml" TargetMode="External"/><Relationship Id="rId621" Type="http://schemas.openxmlformats.org/officeDocument/2006/relationships/hyperlink" Target="https://www.gazzetta.it/calcio/giocatori/gaby-jean/587293/" TargetMode="External"/><Relationship Id="rId622" Type="http://schemas.openxmlformats.org/officeDocument/2006/relationships/hyperlink" Target="https://www.fantacalcio.it/serie-a/squadre/lecce/jean/6883/2026-27/italia" TargetMode="External"/><Relationship Id="rId623" Type="http://schemas.openxmlformats.org/officeDocument/2006/relationships/hyperlink" Target="https://www.gazzetta.it/calcio/fantanews/04-08-2026/lecce-fantacalcio-2026-27-titolari-rigorista-sorprese-consigli-su-chi-prendere.shtml" TargetMode="External"/><Relationship Id="rId624" Type="http://schemas.openxmlformats.org/officeDocument/2006/relationships/hyperlink" Target="https://www.gazzetta.it/calcio/giocatori/franco-carboni/505185/" TargetMode="External"/><Relationship Id="rId625" Type="http://schemas.openxmlformats.org/officeDocument/2006/relationships/hyperlink" Target="https://www.fantacalcio.it/serie-a/squadre/parma/carboni-f/6149/2026-27/italia" TargetMode="External"/><Relationship Id="rId626" Type="http://schemas.openxmlformats.org/officeDocument/2006/relationships/hyperlink" Target="https://www.gazzetta.it/calcio/fantanews/03-08-2026/parma-al-fantacalcio-2026-27-titolari-rigorista-sorprese-consigli-su-chi-prendere.shtml" TargetMode="External"/><Relationship Id="rId627" Type="http://schemas.openxmlformats.org/officeDocument/2006/relationships/hyperlink" Target="https://www.gazzetta.it/calcio/giocatori/eddy-kouadio/654936/" TargetMode="External"/><Relationship Id="rId628" Type="http://schemas.openxmlformats.org/officeDocument/2006/relationships/hyperlink" Target="https://www.fantacalcio.it/serie-a/squadre/monza/kouadio/7238/2026-27/italia" TargetMode="External"/><Relationship Id="rId629" Type="http://schemas.openxmlformats.org/officeDocument/2006/relationships/hyperlink" Target="https://www.gazzetta.it/calcio/fantanews/05-08-2026/monza-al-fantacalcio-2026-27-titolari-rigorista-sorprese-consigli-su-chi-prendere.shtml" TargetMode="External"/><Relationship Id="rId630" Type="http://schemas.openxmlformats.org/officeDocument/2006/relationships/hyperlink" Target="https://www.fantacalcio.it/serie-a/squadre/venezia/sverko/6673/2026-27/italia" TargetMode="External"/><Relationship Id="rId631" Type="http://schemas.openxmlformats.org/officeDocument/2006/relationships/hyperlink" Target="https://www.gazzetta.it/calcio/fantanews/04-08-2026/venezia-al-fantacalcio-2026-27-titolari-rigorista-sorprese-consigli-su-chi-prendere.shtml" TargetMode="External"/><Relationship Id="rId632" Type="http://schemas.openxmlformats.org/officeDocument/2006/relationships/hyperlink" Target="https://www.fantacalcio.it/serie-a/squadre/venezia/moreno-m/6890/2026-27/italia" TargetMode="External"/><Relationship Id="rId633" Type="http://schemas.openxmlformats.org/officeDocument/2006/relationships/hyperlink" Target="https://www.gazzetta.it/calcio/fantanews/04-08-2026/venezia-al-fantacalcio-2026-27-titolari-rigorista-sorprese-consigli-su-chi-prendere.shtml" TargetMode="External"/><Relationship Id="rId634" Type="http://schemas.openxmlformats.org/officeDocument/2006/relationships/hyperlink" Target="https://www.fantacalcio.it/serie-a/squadre/cagliari/kofler/7532/2026-27/italia" TargetMode="External"/><Relationship Id="rId635" Type="http://schemas.openxmlformats.org/officeDocument/2006/relationships/hyperlink" Target="https://www.gazzetta.it/calcio/fantanews/04-08-2026/cagliari-fantacalcio-2026-27-titolari-rigorista-sorprese-consigli-su-chi-prendere.shtml" TargetMode="External"/><Relationship Id="rId636" Type="http://schemas.openxmlformats.org/officeDocument/2006/relationships/hyperlink" Target="https://www.fantacalcio.it/serie-a/squadre/monza/lucchesi/6659/2026-27/italia" TargetMode="External"/><Relationship Id="rId637" Type="http://schemas.openxmlformats.org/officeDocument/2006/relationships/hyperlink" Target="https://www.gazzetta.it/calcio/fantanews/05-08-2026/monza-al-fantacalcio-2026-27-titolari-rigorista-sorprese-consigli-su-chi-prendere.shtml" TargetMode="External"/><Relationship Id="rId638" Type="http://schemas.openxmlformats.org/officeDocument/2006/relationships/hyperlink" Target="https://www.gazzetta.it/calcio/giocatori/corrie-ndaba/246265/" TargetMode="External"/><Relationship Id="rId639" Type="http://schemas.openxmlformats.org/officeDocument/2006/relationships/hyperlink" Target="https://www.fantacalcio.it/serie-a/squadre/lecce/ndaba/7182/2026-27/italia" TargetMode="External"/><Relationship Id="rId640" Type="http://schemas.openxmlformats.org/officeDocument/2006/relationships/hyperlink" Target="https://www.gazzetta.it/calcio/fantanews/04-08-2026/lecce-fantacalcio-2026-27-titolari-rigorista-sorprese-consigli-su-chi-prendere.shtml" TargetMode="External"/><Relationship Id="rId641" Type="http://schemas.openxmlformats.org/officeDocument/2006/relationships/hyperlink" Target="https://www.gazzetta.it/calcio/giocatori/lorenzo-de-silvestri/21125/" TargetMode="External"/><Relationship Id="rId642" Type="http://schemas.openxmlformats.org/officeDocument/2006/relationships/hyperlink" Target="https://www.fantacalcio.it/serie-a/squadre/bologna/de-silvestri/487/2026-27/italia" TargetMode="External"/><Relationship Id="rId643" Type="http://schemas.openxmlformats.org/officeDocument/2006/relationships/hyperlink" Target="https://www.gazzetta.it/calcio/fantanews/03-08-2026/bologna-fantacalcio-2026-27-titolari-rigorista-sorprese-consigli-su-chi-prendere.shtml" TargetMode="External"/><Relationship Id="rId644" Type="http://schemas.openxmlformats.org/officeDocument/2006/relationships/hyperlink" Target="https://www.fantacalcio.it/serie-a/squadre/milan/diawara-s/7525/2026-27/italia" TargetMode="External"/><Relationship Id="rId645" Type="http://schemas.openxmlformats.org/officeDocument/2006/relationships/hyperlink" Target="https://www.gazzetta.it/calcio/fantanews/02-08-2026/milan-al-fantacalcio-2026-27-titolari-rigorista-sorprese-e-consigli-su-chi-prendere.shtml" TargetMode="External"/><Relationship Id="rId646" Type="http://schemas.openxmlformats.org/officeDocument/2006/relationships/hyperlink" Target="https://www.gazzetta.it/calcio/giocatori/omar-fayed/591123/" TargetMode="External"/><Relationship Id="rId647" Type="http://schemas.openxmlformats.org/officeDocument/2006/relationships/hyperlink" Target="https://www.fantacalcio.it/serie-a/squadre/frosinone/omar-fayed/7553/2026-27/italia" TargetMode="External"/><Relationship Id="rId648" Type="http://schemas.openxmlformats.org/officeDocument/2006/relationships/hyperlink" Target="https://www.gazzetta.it/calcio/fantanews/02-08-2026/frosinone-al-fantacalcio-2026-27-titolari-rigorista-sorprese-e-consigli-su-chi-prendere.shtml" TargetMode="External"/><Relationship Id="rId649" Type="http://schemas.openxmlformats.org/officeDocument/2006/relationships/hyperlink" Target="https://www.gazzetta.it/calcio/giocatori/juan-arizala/614790/" TargetMode="External"/><Relationship Id="rId650" Type="http://schemas.openxmlformats.org/officeDocument/2006/relationships/hyperlink" Target="https://www.fantacalcio.it/serie-a/squadre/udinese/arizala/7312/2026-27/italia" TargetMode="External"/><Relationship Id="rId651" Type="http://schemas.openxmlformats.org/officeDocument/2006/relationships/hyperlink" Target="https://www.gazzetta.it/calcio/fantanews/03-08-2026/udinese-fantacalcio-2026-27-titolari-rigorista-sorprese-consigli-su-chi-prendere.shtml" TargetMode="External"/><Relationship Id="rId652" Type="http://schemas.openxmlformats.org/officeDocument/2006/relationships/hyperlink" Target="https://www.fantacalcio.it/serie-a/squadre/parma/drobnic/7615/2026-27/italia" TargetMode="External"/><Relationship Id="rId653" Type="http://schemas.openxmlformats.org/officeDocument/2006/relationships/hyperlink" Target="https://www.gazzetta.it/calcio/fantanews/03-08-2026/parma-al-fantacalcio-2026-27-titolari-rigorista-sorprese-consigli-su-chi-prendere.shtml" TargetMode="External"/><Relationship Id="rId654" Type="http://schemas.openxmlformats.org/officeDocument/2006/relationships/hyperlink" Target="https://www.gazzetta.it/calcio/giocatori/alejandro-gomes/712678/" TargetMode="External"/><Relationship Id="rId655" Type="http://schemas.openxmlformats.org/officeDocument/2006/relationships/hyperlink" Target="https://www.fantacalcio.it/serie-a/squadre/venezia/gomes/7454/2026-27/italia" TargetMode="External"/><Relationship Id="rId656" Type="http://schemas.openxmlformats.org/officeDocument/2006/relationships/hyperlink" Target="https://www.gazzetta.it/calcio/fantanews/04-08-2026/venezia-al-fantacalcio-2026-27-titolari-rigorista-sorprese-consigli-su-chi-prendere.shtml" TargetMode="External"/><Relationship Id="rId657" Type="http://schemas.openxmlformats.org/officeDocument/2006/relationships/hyperlink" Target="https://www.gazzetta.it/calcio/giocatori/anouar-el-azzouzi/464965/" TargetMode="External"/><Relationship Id="rId658" Type="http://schemas.openxmlformats.org/officeDocument/2006/relationships/hyperlink" Target="https://www.fantacalcio.it/serie-a/squadre/frosinone/el-azzouzi-a/7456/2026-27/italia" TargetMode="External"/><Relationship Id="rId659" Type="http://schemas.openxmlformats.org/officeDocument/2006/relationships/hyperlink" Target="https://www.gazzetta.it/calcio/fantanews/02-08-2026/frosinone-al-fantacalcio-2026-27-titolari-rigorista-sorprese-e-consigli-su-chi-prendere.shtml" TargetMode="External"/><Relationship Id="rId660" Type="http://schemas.openxmlformats.org/officeDocument/2006/relationships/hyperlink" Target="https://www.fantacalcio.it/serie-a/squadre/frosinone/amey/5424/2026-27/italia" TargetMode="External"/><Relationship Id="rId661" Type="http://schemas.openxmlformats.org/officeDocument/2006/relationships/hyperlink" Target="https://www.gazzetta.it/calcio/fantanews/02-08-2026/frosinone-al-fantacalcio-2026-27-titolari-rigorista-sorprese-e-consigli-su-chi-prendere.shtml" TargetMode="External"/><Relationship Id="rId662" Type="http://schemas.openxmlformats.org/officeDocument/2006/relationships/hyperlink" Target="https://www.gazzetta.it/calcio/giocatori/valentin-antov/235001/" TargetMode="External"/><Relationship Id="rId663" Type="http://schemas.openxmlformats.org/officeDocument/2006/relationships/hyperlink" Target="https://www.fantacalcio.it/serie-a/squadre/monza/antov/5399/2026-27/italia" TargetMode="External"/><Relationship Id="rId664" Type="http://schemas.openxmlformats.org/officeDocument/2006/relationships/hyperlink" Target="https://www.gazzetta.it/calcio/fantanews/05-08-2026/monza-al-fantacalcio-2026-27-titolari-rigorista-sorprese-consigli-su-chi-prendere.shtml" TargetMode="External"/><Relationship Id="rId665" Type="http://schemas.openxmlformats.org/officeDocument/2006/relationships/hyperlink" Target="https://www.fantacalcio.it/serie-a/squadre/udinese/abankwah/6021/2026-27/italia" TargetMode="External"/><Relationship Id="rId666" Type="http://schemas.openxmlformats.org/officeDocument/2006/relationships/hyperlink" Target="https://www.gazzetta.it/calcio/fantanews/03-08-2026/udinese-fantacalcio-2026-27-titolari-rigorista-sorprese-consigli-su-chi-prendere.shtml" TargetMode="External"/><Relationship Id="rId667" Type="http://schemas.openxmlformats.org/officeDocument/2006/relationships/hyperlink" Target="https://www.gazzetta.it/calcio/giocatori/daniele-rugani/150710/" TargetMode="External"/><Relationship Id="rId668" Type="http://schemas.openxmlformats.org/officeDocument/2006/relationships/hyperlink" Target="https://www.fantacalcio.it/serie-a/squadre/juventus/rugani/294/2026-27/italia" TargetMode="External"/><Relationship Id="rId669" Type="http://schemas.openxmlformats.org/officeDocument/2006/relationships/hyperlink" Target="https://www.gazzetta.it/calcio/fantanews/03-08-2026/juve-al-fantacalcio-2026-27-titolari-rigorista-sorprese-consigli-su-chi-prendere.shtml" TargetMode="External"/><Relationship Id="rId670" Type="http://schemas.openxmlformats.org/officeDocument/2006/relationships/hyperlink" Target="https://www.gazzetta.it/calcio/giocatori/edoardo-pieragnolo/565986/" TargetMode="External"/><Relationship Id="rId671" Type="http://schemas.openxmlformats.org/officeDocument/2006/relationships/hyperlink" Target="https://www.fantacalcio.it/serie-a/squadre/sassuolo/pieragnolo/7156/2026-27/italia" TargetMode="External"/><Relationship Id="rId672" Type="http://schemas.openxmlformats.org/officeDocument/2006/relationships/hyperlink" Target="https://www.gazzetta.it/calcio/fantanews/04-08-2026/sassuolo-fantacalcio-2026-27-titolari-rigorista-sorprese-consigli-su-chi-prendere.shtml" TargetMode="External"/><Relationship Id="rId673" Type="http://schemas.openxmlformats.org/officeDocument/2006/relationships/hyperlink" Target="https://www.gazzetta.it/calcio/giocatori/ali-dembele/607395/" TargetMode="External"/><Relationship Id="rId674" Type="http://schemas.openxmlformats.org/officeDocument/2006/relationships/hyperlink" Target="https://www.fantacalcio.it/serie-a/squadre/lecce/dembel%C3%A8-a/6826/2026-27/italia" TargetMode="External"/><Relationship Id="rId675" Type="http://schemas.openxmlformats.org/officeDocument/2006/relationships/hyperlink" Target="https://www.gazzetta.it/calcio/fantanews/04-08-2026/lecce-fantacalcio-2026-27-titolari-rigorista-sorprese-consigli-su-chi-prendere.shtml" TargetMode="External"/><Relationship Id="rId676" Type="http://schemas.openxmlformats.org/officeDocument/2006/relationships/hyperlink" Target="https://www.fantacalcio.it/serie-a/squadre/monza/bakoune/7476/2026-27/italia" TargetMode="External"/><Relationship Id="rId677" Type="http://schemas.openxmlformats.org/officeDocument/2006/relationships/hyperlink" Target="https://www.gazzetta.it/calcio/fantanews/05-08-2026/monza-al-fantacalcio-2026-27-titolari-rigorista-sorprese-consigli-su-chi-prendere.shtml" TargetMode="External"/><Relationship Id="rId678" Type="http://schemas.openxmlformats.org/officeDocument/2006/relationships/hyperlink" Target="https://www.gazzetta.it/calcio/giocatori/anass-salah-eddine/441279/" TargetMode="External"/><Relationship Id="rId679" Type="http://schemas.openxmlformats.org/officeDocument/2006/relationships/hyperlink" Target="https://www.gazzetta.it/calcio/giocatori/marcelo-vaz/742435/" TargetMode="External"/><Relationship Id="rId680" Type="http://schemas.openxmlformats.org/officeDocument/2006/relationships/hyperlink" Target="https://www.fantacalcio.it/serie-a/squadre/roma/vaz/6981/2026-27/italia" TargetMode="External"/><Relationship Id="rId681" Type="http://schemas.openxmlformats.org/officeDocument/2006/relationships/hyperlink" Target="https://www.gazzetta.it/calcio/fantanews/04-08-2026/genoa-al-fantacalcio-2026-27-titolari-rigorista-sorprese-consigli-su-chi-prendere.shtml" TargetMode="External"/><Relationship Id="rId682" Type="http://schemas.openxmlformats.org/officeDocument/2006/relationships/hyperlink" Target="https://www.fantacalcio.it/serie-a/squadre/monza/maye/7604/2026-27/italia" TargetMode="External"/><Relationship Id="rId683" Type="http://schemas.openxmlformats.org/officeDocument/2006/relationships/hyperlink" Target="https://www.gazzetta.it/calcio/fantanews/05-08-2026/monza-al-fantacalcio-2026-27-titolari-rigorista-sorprese-consigli-su-chi-prendere.shtml" TargetMode="External"/><Relationship Id="rId684" Type="http://schemas.openxmlformats.org/officeDocument/2006/relationships/hyperlink" Target="https://www.gazzetta.it/calcio/giocatori/yeferson-paz/479845/" TargetMode="External"/><Relationship Id="rId685" Type="http://schemas.openxmlformats.org/officeDocument/2006/relationships/hyperlink" Target="https://www.gazzetta.it/calcio/giocatori/hakan-calhanoglu/111732/" TargetMode="External"/><Relationship Id="rId686" Type="http://schemas.openxmlformats.org/officeDocument/2006/relationships/hyperlink" Target="https://www.fantacalcio.it/serie-a/squadre/inter/calhanoglu/2194/2026-27/italia" TargetMode="External"/><Relationship Id="rId687" Type="http://schemas.openxmlformats.org/officeDocument/2006/relationships/hyperlink" Target="https://www.gazzetta.it/calcio/fantanews/05-08-2026/inter-al-fantacalcio-2026-27-titolari-rigorista-sorprese-consigli-su-chi-prendere.shtml" TargetMode="External"/><Relationship Id="rId688" Type="http://schemas.openxmlformats.org/officeDocument/2006/relationships/hyperlink" Target="https://www.gazzetta.it/calcio/giocatori/nico-paz/551493/" TargetMode="External"/><Relationship Id="rId689" Type="http://schemas.openxmlformats.org/officeDocument/2006/relationships/hyperlink" Target="https://www.fantacalcio.it/serie-a/squadre/como/paz-n/6875/2026-27/italia" TargetMode="External"/><Relationship Id="rId690" Type="http://schemas.openxmlformats.org/officeDocument/2006/relationships/hyperlink" Target="https://www.gazzetta.it/calcio/fantanews/04-08-2026/como-fantacalcio-2026-27-titolari-rigorista-sorprese-consigli-su-chi-prendere.shtml" TargetMode="External"/><Relationship Id="rId691" Type="http://schemas.openxmlformats.org/officeDocument/2006/relationships/hyperlink" Target="https://www.gazzetta.it/calcio/giocatori/nikola-vlasic/180151/" TargetMode="External"/><Relationship Id="rId692" Type="http://schemas.openxmlformats.org/officeDocument/2006/relationships/hyperlink" Target="https://www.fantacalcio.it/serie-a/squadre/torino/vlasic/5687/2026-27/italia" TargetMode="External"/><Relationship Id="rId693" Type="http://schemas.openxmlformats.org/officeDocument/2006/relationships/hyperlink" Target="https://www.gazzetta.it/calcio/fantanews/03-08-2026/torino-fantacalcio-2026-27-titolari-rigorista-sorprese-consigli-su-chi-prendere.shtml" TargetMode="External"/><Relationship Id="rId694" Type="http://schemas.openxmlformats.org/officeDocument/2006/relationships/hyperlink" Target="https://www.gazzetta.it/calcio/giocatori/adrien-rabiot/120743/" TargetMode="External"/><Relationship Id="rId695" Type="http://schemas.openxmlformats.org/officeDocument/2006/relationships/hyperlink" Target="https://www.fantacalcio.it/serie-a/squadre/milan/rabiot/2379/2026-27/italia" TargetMode="External"/><Relationship Id="rId696" Type="http://schemas.openxmlformats.org/officeDocument/2006/relationships/hyperlink" Target="https://www.gazzetta.it/calcio/fantanews/02-08-2026/milan-al-fantacalcio-2026-27-titolari-rigorista-sorprese-e-consigli-su-chi-prendere.shtml" TargetMode="External"/><Relationship Id="rId697" Type="http://schemas.openxmlformats.org/officeDocument/2006/relationships/hyperlink" Target="https://www.gazzetta.it/calcio/giocatori/martin-baturina/522476/" TargetMode="External"/><Relationship Id="rId698" Type="http://schemas.openxmlformats.org/officeDocument/2006/relationships/hyperlink" Target="https://www.fantacalcio.it/serie-a/squadre/como/baturina/7126/2026-27/italia" TargetMode="External"/><Relationship Id="rId699" Type="http://schemas.openxmlformats.org/officeDocument/2006/relationships/hyperlink" Target="https://www.gazzetta.it/calcio/fantanews/04-08-2026/como-fantacalcio-2026-27-titolari-rigorista-sorprese-consigli-su-chi-prendere.shtml" TargetMode="External"/><Relationship Id="rId700" Type="http://schemas.openxmlformats.org/officeDocument/2006/relationships/hyperlink" Target="https://www.gazzetta.it/calcio/giocatori/christian-pulisic/176413/" TargetMode="External"/><Relationship Id="rId701" Type="http://schemas.openxmlformats.org/officeDocument/2006/relationships/hyperlink" Target="https://www.fantacalcio.it/serie-a/squadre/milan/pulisic/2423/2026-27/italia" TargetMode="External"/><Relationship Id="rId702" Type="http://schemas.openxmlformats.org/officeDocument/2006/relationships/hyperlink" Target="https://www.gazzetta.it/calcio/fantanews/02-08-2026/milan-al-fantacalcio-2026-27-titolari-rigorista-sorprese-e-consigli-su-chi-prendere.shtml" TargetMode="External"/><Relationship Id="rId703" Type="http://schemas.openxmlformats.org/officeDocument/2006/relationships/hyperlink" Target="https://www.gazzetta.it/calcio/giocatori/riccardo-orsolini/223966/" TargetMode="External"/><Relationship Id="rId704" Type="http://schemas.openxmlformats.org/officeDocument/2006/relationships/hyperlink" Target="https://www.fantacalcio.it/serie-a/squadre/bologna/orsolini/2167/2026-27/italia" TargetMode="External"/><Relationship Id="rId705" Type="http://schemas.openxmlformats.org/officeDocument/2006/relationships/hyperlink" Target="https://www.gazzetta.it/calcio/fantanews/03-08-2026/bologna-fantacalcio-2026-27-titolari-rigorista-sorprese-consigli-su-chi-prendere.shtml" TargetMode="External"/><Relationship Id="rId706" Type="http://schemas.openxmlformats.org/officeDocument/2006/relationships/hyperlink" Target="https://www.gazzetta.it/calcio/giocatori/nicolo-barella/171384/" TargetMode="External"/><Relationship Id="rId707" Type="http://schemas.openxmlformats.org/officeDocument/2006/relationships/hyperlink" Target="https://www.fantacalcio.it/serie-a/squadre/inter/barella/1870/2026-27/italia" TargetMode="External"/><Relationship Id="rId708" Type="http://schemas.openxmlformats.org/officeDocument/2006/relationships/hyperlink" Target="https://www.gazzetta.it/calcio/fantanews/05-08-2026/inter-al-fantacalcio-2026-27-titolari-rigorista-sorprese-consigli-su-chi-prendere.shtml" TargetMode="External"/><Relationship Id="rId709" Type="http://schemas.openxmlformats.org/officeDocument/2006/relationships/hyperlink" Target="https://www.gazzetta.it/calcio/giocatori/scott-mctominay/195851/" TargetMode="External"/><Relationship Id="rId710" Type="http://schemas.openxmlformats.org/officeDocument/2006/relationships/hyperlink" Target="https://www.fantacalcio.it/serie-a/squadre/napoli/mctominay/4777/2026-27/italia" TargetMode="External"/><Relationship Id="rId711" Type="http://schemas.openxmlformats.org/officeDocument/2006/relationships/hyperlink" Target="https://www.gazzetta.it/calcio/fantanews/02-08-2026/napoli-fantacalcio-2026-27-titolari-rigorista-sorprese-consigli-su-chi-prendere.shtml" TargetMode="External"/><Relationship Id="rId712" Type="http://schemas.openxmlformats.org/officeDocument/2006/relationships/hyperlink" Target="https://www.gazzetta.it/calcio/giocatori/kevin-de-bruyne/61366/" TargetMode="External"/><Relationship Id="rId713" Type="http://schemas.openxmlformats.org/officeDocument/2006/relationships/hyperlink" Target="https://www.fantacalcio.it/serie-a/squadre/napoli/de-bruyne/2517/2026-27/italia" TargetMode="External"/><Relationship Id="rId714" Type="http://schemas.openxmlformats.org/officeDocument/2006/relationships/hyperlink" Target="https://www.gazzetta.it/calcio/fantanews/02-08-2026/napoli-fantacalcio-2026-27-titolari-rigorista-sorprese-consigli-su-chi-prendere.shtml" TargetMode="External"/><Relationship Id="rId715" Type="http://schemas.openxmlformats.org/officeDocument/2006/relationships/hyperlink" Target="https://www.gazzetta.it/calcio/giocatori/federico-bernardeschi/147297/" TargetMode="External"/><Relationship Id="rId716" Type="http://schemas.openxmlformats.org/officeDocument/2006/relationships/hyperlink" Target="https://www.fantacalcio.it/serie-a/squadre/bologna/bernardeschi/184/2026-27/italia" TargetMode="External"/><Relationship Id="rId717" Type="http://schemas.openxmlformats.org/officeDocument/2006/relationships/hyperlink" Target="https://www.gazzetta.it/calcio/fantanews/03-08-2026/bologna-fantacalcio-2026-27-titolari-rigorista-sorprese-consigli-su-chi-prendere.shtml" TargetMode="External"/><Relationship Id="rId718" Type="http://schemas.openxmlformats.org/officeDocument/2006/relationships/hyperlink" Target="https://www.gazzetta.it/calcio/giocatori/lucas-da-cunha/465158/" TargetMode="External"/><Relationship Id="rId719" Type="http://schemas.openxmlformats.org/officeDocument/2006/relationships/hyperlink" Target="https://www.fantacalcio.it/serie-a/squadre/como/da-cunha/5559/2026-27/italia" TargetMode="External"/><Relationship Id="rId720" Type="http://schemas.openxmlformats.org/officeDocument/2006/relationships/hyperlink" Target="https://www.gazzetta.it/calcio/fantanews/04-08-2026/como-fantacalcio-2026-27-titolari-rigorista-sorprese-consigli-su-chi-prendere.shtml" TargetMode="External"/><Relationship Id="rId721" Type="http://schemas.openxmlformats.org/officeDocument/2006/relationships/hyperlink" Target="https://www.gazzetta.it/calcio/giocatori/arthur-atta/606931/" TargetMode="External"/><Relationship Id="rId722" Type="http://schemas.openxmlformats.org/officeDocument/2006/relationships/hyperlink" Target="https://www.fantacalcio.it/serie-a/squadre/fiorentina/atta/6908/2026-27/italia" TargetMode="External"/><Relationship Id="rId723" Type="http://schemas.openxmlformats.org/officeDocument/2006/relationships/hyperlink" Target="https://www.gazzetta.it/calcio/fantanews/02-08-2026/fiorentina-fantacalcio-2026-27-titolari-rigorista-sorprese-consigli-su-chi-prendere.shtml" TargetMode="External"/><Relationship Id="rId724" Type="http://schemas.openxmlformats.org/officeDocument/2006/relationships/hyperlink" Target="https://www.gazzetta.it/calcio/giocatori/manu-kone/475767/" TargetMode="External"/><Relationship Id="rId725" Type="http://schemas.openxmlformats.org/officeDocument/2006/relationships/hyperlink" Target="https://www.fantacalcio.it/serie-a/squadre/roma/kon%C3%A8-m/5589/2026-27/italia" TargetMode="External"/><Relationship Id="rId726" Type="http://schemas.openxmlformats.org/officeDocument/2006/relationships/hyperlink" Target="https://www.gazzetta.it/calcio/fantanews/03-08-2026/roma-al-fantacalcio-2026-27-titolari-rigorista-sorprese-consigli-su-chi-prendere.shtml" TargetMode="External"/><Relationship Id="rId727" Type="http://schemas.openxmlformats.org/officeDocument/2006/relationships/hyperlink" Target="https://www.gazzetta.it/calcio/giocatori/nicolo-zaniolo/245414/" TargetMode="External"/><Relationship Id="rId728" Type="http://schemas.openxmlformats.org/officeDocument/2006/relationships/hyperlink" Target="https://www.fantacalcio.it/serie-a/squadre/udinese/zaniolo/2766/2026-27/italia" TargetMode="External"/><Relationship Id="rId729" Type="http://schemas.openxmlformats.org/officeDocument/2006/relationships/hyperlink" Target="https://www.gazzetta.it/calcio/fantanews/03-08-2026/udinese-fantacalcio-2026-27-titolari-rigorista-sorprese-consigli-su-chi-prendere.shtml" TargetMode="External"/><Relationship Id="rId730" Type="http://schemas.openxmlformats.org/officeDocument/2006/relationships/hyperlink" Target="https://www.gazzetta.it/calcio/giocatori/luka-modric/37055/" TargetMode="External"/><Relationship Id="rId731" Type="http://schemas.openxmlformats.org/officeDocument/2006/relationships/hyperlink" Target="https://www.fantacalcio.it/serie-a/squadre/milan/modric/2606/2026-27/italia" TargetMode="External"/><Relationship Id="rId732" Type="http://schemas.openxmlformats.org/officeDocument/2006/relationships/hyperlink" Target="https://www.gazzetta.it/calcio/fantanews/02-08-2026/milan-al-fantacalcio-2026-27-titolari-rigorista-sorprese-e-consigli-su-chi-prendere.shtml" TargetMode="External"/><Relationship Id="rId733" Type="http://schemas.openxmlformats.org/officeDocument/2006/relationships/hyperlink" Target="https://www.gazzetta.it/calcio/giocatori/alisson-santos/539366/" TargetMode="External"/><Relationship Id="rId734" Type="http://schemas.openxmlformats.org/officeDocument/2006/relationships/hyperlink" Target="https://www.fantacalcio.it/serie-a/squadre/napoli/santos-a/7351/2026-27/italia" TargetMode="External"/><Relationship Id="rId735" Type="http://schemas.openxmlformats.org/officeDocument/2006/relationships/hyperlink" Target="https://www.gazzetta.it/calcio/fantanews/02-08-2026/napoli-fantacalcio-2026-27-titolari-rigorista-sorprese-consigli-su-chi-prendere.shtml" TargetMode="External"/><Relationship Id="rId736" Type="http://schemas.openxmlformats.org/officeDocument/2006/relationships/hyperlink" Target="https://www.gazzetta.it/calcio/giocatori/mattia-zaccagni/157008/" TargetMode="External"/><Relationship Id="rId737" Type="http://schemas.openxmlformats.org/officeDocument/2006/relationships/hyperlink" Target="https://www.fantacalcio.it/serie-a/squadre/lazio/zaccagni/632/2026-27/italia" TargetMode="External"/><Relationship Id="rId738" Type="http://schemas.openxmlformats.org/officeDocument/2006/relationships/hyperlink" Target="https://www.gazzetta.it/calcio/fantanews/02-08-2026/lazio-al-fantacalcio-2026-27-titolari-rigorista-sorprese-e-consigli-su-chi-prendere.shtml" TargetMode="External"/><Relationship Id="rId739" Type="http://schemas.openxmlformats.org/officeDocument/2006/relationships/hyperlink" Target="https://www.gazzetta.it/calcio/giocatori/francisco-conceicao/465630/" TargetMode="External"/><Relationship Id="rId740" Type="http://schemas.openxmlformats.org/officeDocument/2006/relationships/hyperlink" Target="https://www.fantacalcio.it/serie-a/squadre/juventus/conceicao/6884/2026-27/italia" TargetMode="External"/><Relationship Id="rId741" Type="http://schemas.openxmlformats.org/officeDocument/2006/relationships/hyperlink" Target="https://www.gazzetta.it/calcio/fantanews/03-08-2026/juve-al-fantacalcio-2026-27-titolari-rigorista-sorprese-consigli-su-chi-prendere.shtml" TargetMode="External"/><Relationship Id="rId742" Type="http://schemas.openxmlformats.org/officeDocument/2006/relationships/hyperlink" Target="https://www.gazzetta.it/calcio/giocatori/ederson/463184/" TargetMode="External"/><Relationship Id="rId743" Type="http://schemas.openxmlformats.org/officeDocument/2006/relationships/hyperlink" Target="https://www.fantacalcio.it/serie-a/squadre/atalanta/ederson-d-s/5792/2026-27/italia" TargetMode="External"/><Relationship Id="rId744" Type="http://schemas.openxmlformats.org/officeDocument/2006/relationships/hyperlink" Target="https://www.gazzetta.it/calcio/fantanews/02-08-2026/atalanta-fantacalcio-2026-27-titolari-rigorista-sorprese-consigli-su-chi-prendere.shtml" TargetMode="External"/><Relationship Id="rId745" Type="http://schemas.openxmlformats.org/officeDocument/2006/relationships/hyperlink" Target="https://www.gazzetta.it/calcio/giocatori/manuel-locatelli/171387/" TargetMode="External"/><Relationship Id="rId746" Type="http://schemas.openxmlformats.org/officeDocument/2006/relationships/hyperlink" Target="https://www.fantacalcio.it/serie-a/squadre/juventus/locatelli/827/2026-27/italia" TargetMode="External"/><Relationship Id="rId747" Type="http://schemas.openxmlformats.org/officeDocument/2006/relationships/hyperlink" Target="https://www.gazzetta.it/calcio/fantanews/03-08-2026/juve-al-fantacalcio-2026-27-titolari-rigorista-sorprese-consigli-su-chi-prendere.shtml" TargetMode="External"/><Relationship Id="rId748" Type="http://schemas.openxmlformats.org/officeDocument/2006/relationships/hyperlink" Target="https://www.gazzetta.it/calcio/giocatori/kenneth-taylor/441278/" TargetMode="External"/><Relationship Id="rId749" Type="http://schemas.openxmlformats.org/officeDocument/2006/relationships/hyperlink" Target="https://www.fantacalcio.it/serie-a/squadre/lazio/taylor-k/7314/2026-27/italia" TargetMode="External"/><Relationship Id="rId750" Type="http://schemas.openxmlformats.org/officeDocument/2006/relationships/hyperlink" Target="https://www.gazzetta.it/calcio/fantanews/02-08-2026/lazio-al-fantacalcio-2026-27-titolari-rigorista-sorprese-e-consigli-su-chi-prendere.shtml" TargetMode="External"/><Relationship Id="rId751" Type="http://schemas.openxmlformats.org/officeDocument/2006/relationships/hyperlink" Target="https://www.gazzetta.it/calcio/giocatori/jurgen-ekkelenkamp/220238/" TargetMode="External"/><Relationship Id="rId752" Type="http://schemas.openxmlformats.org/officeDocument/2006/relationships/hyperlink" Target="https://www.fantacalcio.it/serie-a/squadre/udinese/ekkelenkamp/6684/2026-27/italia" TargetMode="External"/><Relationship Id="rId753" Type="http://schemas.openxmlformats.org/officeDocument/2006/relationships/hyperlink" Target="https://www.gazzetta.it/calcio/fantanews/03-08-2026/udinese-fantacalcio-2026-27-titolari-rigorista-sorprese-consigli-su-chi-prendere.shtml" TargetMode="External"/><Relationship Id="rId754" Type="http://schemas.openxmlformats.org/officeDocument/2006/relationships/hyperlink" Target="https://www.gazzetta.it/calcio/giocatori/piotr-zielinski/126440/" TargetMode="External"/><Relationship Id="rId755" Type="http://schemas.openxmlformats.org/officeDocument/2006/relationships/hyperlink" Target="https://www.fantacalcio.it/serie-a/squadre/inter/zielinski/152/2026-27/italia" TargetMode="External"/><Relationship Id="rId756" Type="http://schemas.openxmlformats.org/officeDocument/2006/relationships/hyperlink" Target="https://www.gazzetta.it/calcio/fantanews/05-08-2026/inter-al-fantacalcio-2026-27-titolari-rigorista-sorprese-consigli-su-chi-prendere.shtml" TargetMode="External"/><Relationship Id="rId757" Type="http://schemas.openxmlformats.org/officeDocument/2006/relationships/hyperlink" Target="https://www.gazzetta.it/calcio/giocatori/maximo-perrone/482769/" TargetMode="External"/><Relationship Id="rId758" Type="http://schemas.openxmlformats.org/officeDocument/2006/relationships/hyperlink" Target="https://www.fantacalcio.it/serie-a/squadre/como/perrone/6151/2026-27/italia" TargetMode="External"/><Relationship Id="rId759" Type="http://schemas.openxmlformats.org/officeDocument/2006/relationships/hyperlink" Target="https://www.gazzetta.it/calcio/fantanews/04-08-2026/como-fantacalcio-2026-27-titolari-rigorista-sorprese-consigli-su-chi-prendere.shtml" TargetMode="External"/><Relationship Id="rId760" Type="http://schemas.openxmlformats.org/officeDocument/2006/relationships/hyperlink" Target="https://www.fantacalcio.it/serie-a/squadre/fiorentina/mastantuono/7078/2026-27/italia" TargetMode="External"/><Relationship Id="rId761" Type="http://schemas.openxmlformats.org/officeDocument/2006/relationships/hyperlink" Target="https://www.gazzetta.it/calcio/fantanews/02-08-2026/fiorentina-fantacalcio-2026-27-titolari-rigorista-sorprese-consigli-su-chi-prendere.shtml" TargetMode="External"/><Relationship Id="rId762" Type="http://schemas.openxmlformats.org/officeDocument/2006/relationships/hyperlink" Target="https://www.gazzetta.it/calcio/giocatori/weston-mckennie/241519/" TargetMode="External"/><Relationship Id="rId763" Type="http://schemas.openxmlformats.org/officeDocument/2006/relationships/hyperlink" Target="https://www.fantacalcio.it/serie-a/squadre/juventus/mckennie/4973/2026-27/italia" TargetMode="External"/><Relationship Id="rId764" Type="http://schemas.openxmlformats.org/officeDocument/2006/relationships/hyperlink" Target="https://www.gazzetta.it/calcio/fantanews/03-08-2026/juve-al-fantacalcio-2026-27-titolari-rigorista-sorprese-consigli-su-chi-prendere.shtml" TargetMode="External"/><Relationship Id="rId765" Type="http://schemas.openxmlformats.org/officeDocument/2006/relationships/hyperlink" Target="https://www.gazzetta.it/calcio/giocatori/bryan-cristante/109511/" TargetMode="External"/><Relationship Id="rId766" Type="http://schemas.openxmlformats.org/officeDocument/2006/relationships/hyperlink" Target="https://www.fantacalcio.it/serie-a/squadre/roma/cristante/779/2026-27/italia" TargetMode="External"/><Relationship Id="rId767" Type="http://schemas.openxmlformats.org/officeDocument/2006/relationships/hyperlink" Target="https://www.gazzetta.it/calcio/fantanews/03-08-2026/roma-al-fantacalcio-2026-27-titolari-rigorista-sorprese-consigli-su-chi-prendere.shtml" TargetMode="External"/><Relationship Id="rId768" Type="http://schemas.openxmlformats.org/officeDocument/2006/relationships/hyperlink" Target="https://www.gazzetta.it/calcio/giocatori/kristian-thorstvedt/445043/" TargetMode="External"/><Relationship Id="rId769" Type="http://schemas.openxmlformats.org/officeDocument/2006/relationships/hyperlink" Target="https://www.fantacalcio.it/serie-a/squadre/sassuolo/thorstvedt/5844/2026-27/italia" TargetMode="External"/><Relationship Id="rId770" Type="http://schemas.openxmlformats.org/officeDocument/2006/relationships/hyperlink" Target="https://www.gazzetta.it/calcio/fantanews/04-08-2026/sassuolo-fantacalcio-2026-27-titolari-rigorista-sorprese-consigli-su-chi-prendere.shtml" TargetMode="External"/><Relationship Id="rId771" Type="http://schemas.openxmlformats.org/officeDocument/2006/relationships/hyperlink" Target="https://www.gazzetta.it/calcio/giocatori/alexis-saelemaekers/437746/" TargetMode="External"/><Relationship Id="rId772" Type="http://schemas.openxmlformats.org/officeDocument/2006/relationships/hyperlink" Target="https://www.fantacalcio.it/serie-a/squadre/milan/saelemaekers/4892/2026-27/italia" TargetMode="External"/><Relationship Id="rId773" Type="http://schemas.openxmlformats.org/officeDocument/2006/relationships/hyperlink" Target="https://www.gazzetta.it/calcio/fantanews/02-08-2026/milan-al-fantacalcio-2026-27-titolari-rigorista-sorprese-e-consigli-su-chi-prendere.shtml" TargetMode="External"/><Relationship Id="rId774" Type="http://schemas.openxmlformats.org/officeDocument/2006/relationships/hyperlink" Target="https://www.fantacalcio.it/serie-a/squadre/inter/jones-c/5172/2026-27/italia" TargetMode="External"/><Relationship Id="rId775" Type="http://schemas.openxmlformats.org/officeDocument/2006/relationships/hyperlink" Target="https://www.gazzetta.it/calcio/fantanews/05-08-2026/inter-al-fantacalcio-2026-27-titolari-rigorista-sorprese-consigli-su-chi-prendere.shtml" TargetMode="External"/><Relationship Id="rId776" Type="http://schemas.openxmlformats.org/officeDocument/2006/relationships/hyperlink" Target="https://www.gazzetta.it/calcio/giocatori/davide-frattesi/235453/" TargetMode="External"/><Relationship Id="rId777" Type="http://schemas.openxmlformats.org/officeDocument/2006/relationships/hyperlink" Target="https://www.fantacalcio.it/serie-a/squadre/lazio/frattesi/2848/2026-27/italia" TargetMode="External"/><Relationship Id="rId778" Type="http://schemas.openxmlformats.org/officeDocument/2006/relationships/hyperlink" Target="https://www.gazzetta.it/calcio/fantanews/02-08-2026/lazio-al-fantacalcio-2026-27-titolari-rigorista-sorprese-e-consigli-su-chi-prendere.shtml" TargetMode="External"/><Relationship Id="rId779" Type="http://schemas.openxmlformats.org/officeDocument/2006/relationships/hyperlink" Target="https://www.gazzetta.it/calcio/giocatori/andre-zambo-anguissa/203325/" TargetMode="External"/><Relationship Id="rId780" Type="http://schemas.openxmlformats.org/officeDocument/2006/relationships/hyperlink" Target="https://www.fantacalcio.it/serie-a/squadre/napoli/zambo-anguissa/4220/2026-27/italia" TargetMode="External"/><Relationship Id="rId781" Type="http://schemas.openxmlformats.org/officeDocument/2006/relationships/hyperlink" Target="https://www.gazzetta.it/calcio/fantanews/02-08-2026/napoli-fantacalcio-2026-27-titolari-rigorista-sorprese-consigli-su-chi-prendere.shtml" TargetMode="External"/><Relationship Id="rId782" Type="http://schemas.openxmlformats.org/officeDocument/2006/relationships/hyperlink" Target="https://www.gazzetta.it/calcio/giocatori/albert-gudmundsson/215147/" TargetMode="External"/><Relationship Id="rId783" Type="http://schemas.openxmlformats.org/officeDocument/2006/relationships/hyperlink" Target="https://www.fantacalcio.it/serie-a/squadre/lazio/gudmundsson-a/5800/2026-27/italia" TargetMode="External"/><Relationship Id="rId784" Type="http://schemas.openxmlformats.org/officeDocument/2006/relationships/hyperlink" Target="https://www.gazzetta.it/calcio/fantanews/02-08-2026/lazio-al-fantacalcio-2026-27-titolari-rigorista-sorprese-e-consigli-su-chi-prendere.shtml" TargetMode="External"/><Relationship Id="rId785" Type="http://schemas.openxmlformats.org/officeDocument/2006/relationships/hyperlink" Target="https://www.gazzetta.it/calcio/giocatori/rolando-mandragora/182514/" TargetMode="External"/><Relationship Id="rId786" Type="http://schemas.openxmlformats.org/officeDocument/2006/relationships/hyperlink" Target="https://www.fantacalcio.it/serie-a/squadre/torino/mandragora/1933/2026-27/italia" TargetMode="External"/><Relationship Id="rId787" Type="http://schemas.openxmlformats.org/officeDocument/2006/relationships/hyperlink" Target="https://www.gazzetta.it/calcio/fantanews/03-08-2026/torino-fantacalcio-2026-27-titolari-rigorista-sorprese-consigli-su-chi-prendere.shtml" TargetMode="External"/><Relationship Id="rId788" Type="http://schemas.openxmlformats.org/officeDocument/2006/relationships/hyperlink" Target="https://www.fantacalcio.it/serie-a/squadre/milan/moreira/6372/2026-27/italia" TargetMode="External"/><Relationship Id="rId789" Type="http://schemas.openxmlformats.org/officeDocument/2006/relationships/hyperlink" Target="https://www.gazzetta.it/calcio/fantanews/02-08-2026/milan-al-fantacalcio-2026-27-titolari-rigorista-sorprese-e-consigli-su-chi-prendere.shtml" TargetMode="External"/><Relationship Id="rId790" Type="http://schemas.openxmlformats.org/officeDocument/2006/relationships/hyperlink" Target="https://www.gazzetta.it/calcio/giocatori/adrian-bernabe/449926/" TargetMode="External"/><Relationship Id="rId791" Type="http://schemas.openxmlformats.org/officeDocument/2006/relationships/hyperlink" Target="https://www.fantacalcio.it/serie-a/squadre/parma/bernab%C3%A8/6666/2026-27/italia" TargetMode="External"/><Relationship Id="rId792" Type="http://schemas.openxmlformats.org/officeDocument/2006/relationships/hyperlink" Target="https://www.gazzetta.it/calcio/fantanews/03-08-2026/parma-al-fantacalcio-2026-27-titolari-rigorista-sorprese-consigli-su-chi-prendere.shtml" TargetMode="External"/><Relationship Id="rId793" Type="http://schemas.openxmlformats.org/officeDocument/2006/relationships/hyperlink" Target="https://www.gazzetta.it/calcio/giocatori/samuel-chukwueze/218328/" TargetMode="External"/><Relationship Id="rId794" Type="http://schemas.openxmlformats.org/officeDocument/2006/relationships/hyperlink" Target="https://www.fantacalcio.it/serie-a/squadre/milan/chukwueze/4856/2026-27/italia" TargetMode="External"/><Relationship Id="rId795" Type="http://schemas.openxmlformats.org/officeDocument/2006/relationships/hyperlink" Target="https://www.gazzetta.it/calcio/fantanews/02-08-2026/milan-al-fantacalcio-2026-27-titolari-rigorista-sorprese-e-consigli-su-chi-prendere.shtml" TargetMode="External"/><Relationship Id="rId796" Type="http://schemas.openxmlformats.org/officeDocument/2006/relationships/hyperlink" Target="https://www.gazzetta.it/calcio/giocatori/matteo-politano/153776/" TargetMode="External"/><Relationship Id="rId797" Type="http://schemas.openxmlformats.org/officeDocument/2006/relationships/hyperlink" Target="https://www.fantacalcio.it/serie-a/squadre/napoli/politano/536/2026-27/italia" TargetMode="External"/><Relationship Id="rId798" Type="http://schemas.openxmlformats.org/officeDocument/2006/relationships/hyperlink" Target="https://www.gazzetta.it/calcio/fantanews/02-08-2026/napoli-fantacalcio-2026-27-titolari-rigorista-sorprese-consigli-su-chi-prendere.shtml" TargetMode="External"/><Relationship Id="rId799" Type="http://schemas.openxmlformats.org/officeDocument/2006/relationships/hyperlink" Target="https://www.fantacalcio.it/serie-a/squadre/roma/mora/7556/2026-27/italia" TargetMode="External"/><Relationship Id="rId800" Type="http://schemas.openxmlformats.org/officeDocument/2006/relationships/hyperlink" Target="https://www.gazzetta.it/calcio/fantanews/03-08-2026/roma-al-fantacalcio-2026-27-titolari-rigorista-sorprese-consigli-su-chi-prendere.shtml" TargetMode="External"/><Relationship Id="rId801" Type="http://schemas.openxmlformats.org/officeDocument/2006/relationships/hyperlink" Target="https://www.gazzetta.it/calcio/giocatori/stanislav-lobotka/101820/" TargetMode="External"/><Relationship Id="rId802" Type="http://schemas.openxmlformats.org/officeDocument/2006/relationships/hyperlink" Target="https://www.fantacalcio.it/serie-a/squadre/napoli/lobotka/4287/2026-27/italia" TargetMode="External"/><Relationship Id="rId803" Type="http://schemas.openxmlformats.org/officeDocument/2006/relationships/hyperlink" Target="https://www.gazzetta.it/calcio/fantanews/02-08-2026/napoli-fantacalcio-2026-27-titolari-rigorista-sorprese-consigli-su-chi-prendere.shtml" TargetMode="External"/><Relationship Id="rId804" Type="http://schemas.openxmlformats.org/officeDocument/2006/relationships/hyperlink" Target="https://www.gazzetta.it/calcio/giocatori/jesper-karlstrom/160602/" TargetMode="External"/><Relationship Id="rId805" Type="http://schemas.openxmlformats.org/officeDocument/2006/relationships/hyperlink" Target="https://www.fantacalcio.it/serie-a/squadre/udinese/karlstrom/6680/2026-27/italia" TargetMode="External"/><Relationship Id="rId806" Type="http://schemas.openxmlformats.org/officeDocument/2006/relationships/hyperlink" Target="https://www.gazzetta.it/calcio/fantanews/03-08-2026/udinese-fantacalcio-2026-27-titolari-rigorista-sorprese-consigli-su-chi-prendere.shtml" TargetMode="External"/><Relationship Id="rId807" Type="http://schemas.openxmlformats.org/officeDocument/2006/relationships/hyperlink" Target="https://www.fantacalcio.it/serie-a/squadre/frosinone/cal%C3%B2/7472/2026-27/italia" TargetMode="External"/><Relationship Id="rId808" Type="http://schemas.openxmlformats.org/officeDocument/2006/relationships/hyperlink" Target="https://www.gazzetta.it/calcio/fantanews/02-08-2026/frosinone-al-fantacalcio-2026-27-titolari-rigorista-sorprese-e-consigli-su-chi-prendere.shtml" TargetMode="External"/><Relationship Id="rId809" Type="http://schemas.openxmlformats.org/officeDocument/2006/relationships/hyperlink" Target="https://www.gazzetta.it/calcio/giocatori/maxence-caqueret/219296/" TargetMode="External"/><Relationship Id="rId810" Type="http://schemas.openxmlformats.org/officeDocument/2006/relationships/hyperlink" Target="https://www.fantacalcio.it/serie-a/squadre/como/caqueret/5036/2026-27/italia" TargetMode="External"/><Relationship Id="rId811" Type="http://schemas.openxmlformats.org/officeDocument/2006/relationships/hyperlink" Target="https://www.gazzetta.it/calcio/fantanews/04-08-2026/como-fantacalcio-2026-27-titolari-rigorista-sorprese-consigli-su-chi-prendere.shtml" TargetMode="External"/><Relationship Id="rId812" Type="http://schemas.openxmlformats.org/officeDocument/2006/relationships/hyperlink" Target="https://www.gazzetta.it/calcio/giocatori/santiago-pierotti/482466/" TargetMode="External"/><Relationship Id="rId813" Type="http://schemas.openxmlformats.org/officeDocument/2006/relationships/hyperlink" Target="https://www.fantacalcio.it/serie-a/squadre/lecce/pierotti/6549/2026-27/italia" TargetMode="External"/><Relationship Id="rId814" Type="http://schemas.openxmlformats.org/officeDocument/2006/relationships/hyperlink" Target="https://www.gazzetta.it/calcio/fantanews/04-08-2026/lecce-fantacalcio-2026-27-titolari-rigorista-sorprese-consigli-su-chi-prendere.shtml" TargetMode="External"/><Relationship Id="rId815" Type="http://schemas.openxmlformats.org/officeDocument/2006/relationships/hyperlink" Target="https://www.gazzetta.it/calcio/giocatori/lorenzo-pellegrini/184441/" TargetMode="External"/><Relationship Id="rId816" Type="http://schemas.openxmlformats.org/officeDocument/2006/relationships/hyperlink" Target="https://www.fantacalcio.it/serie-a/squadre/roma/pellegrini-lo/530/2026-27/italia" TargetMode="External"/><Relationship Id="rId817" Type="http://schemas.openxmlformats.org/officeDocument/2006/relationships/hyperlink" Target="https://www.gazzetta.it/calcio/fantanews/03-08-2026/roma-al-fantacalcio-2026-27-titolari-rigorista-sorprese-consigli-su-chi-prendere.shtml" TargetMode="External"/><Relationship Id="rId818" Type="http://schemas.openxmlformats.org/officeDocument/2006/relationships/hyperlink" Target="https://www.fantacalcio.it/serie-a/squadre/atalanta/kessi%C3%A8/1850/2026-27/italia" TargetMode="External"/><Relationship Id="rId819" Type="http://schemas.openxmlformats.org/officeDocument/2006/relationships/hyperlink" Target="https://www.gazzetta.it/calcio/fantanews/02-08-2026/atalanta-fantacalcio-2026-27-titolari-rigorista-sorprese-consigli-su-chi-prendere.shtml" TargetMode="External"/><Relationship Id="rId820" Type="http://schemas.openxmlformats.org/officeDocument/2006/relationships/hyperlink" Target="https://www.gazzetta.it/calcio/giocatori/pedro-goncalves/433145/" TargetMode="External"/><Relationship Id="rId821" Type="http://schemas.openxmlformats.org/officeDocument/2006/relationships/hyperlink" Target="https://www.fantacalcio.it/serie-a/squadre/fiorentina/goncalves-p/7625/2026-27/italia" TargetMode="External"/><Relationship Id="rId822" Type="http://schemas.openxmlformats.org/officeDocument/2006/relationships/hyperlink" Target="https://www.gazzetta.it/calcio/fantanews/02-08-2026/fiorentina-fantacalcio-2026-27-titolari-rigorista-sorprese-consigli-su-chi-prendere.shtml" TargetMode="External"/><Relationship Id="rId823" Type="http://schemas.openxmlformats.org/officeDocument/2006/relationships/hyperlink" Target="https://www.gazzetta.it/calcio/giocatori/niccolo-pisilli/614866/" TargetMode="External"/><Relationship Id="rId824" Type="http://schemas.openxmlformats.org/officeDocument/2006/relationships/hyperlink" Target="https://www.fantacalcio.it/serie-a/squadre/roma/pisilli/6190/2026-27/italia" TargetMode="External"/><Relationship Id="rId825" Type="http://schemas.openxmlformats.org/officeDocument/2006/relationships/hyperlink" Target="https://www.gazzetta.it/calcio/fantanews/03-08-2026/roma-al-fantacalcio-2026-27-titolari-rigorista-sorprese-consigli-su-chi-prendere.shtml" TargetMode="External"/><Relationship Id="rId826" Type="http://schemas.openxmlformats.org/officeDocument/2006/relationships/hyperlink" Target="https://www.gazzetta.it/calcio/giocatori/gianluca-gaetano/437780/" TargetMode="External"/><Relationship Id="rId827" Type="http://schemas.openxmlformats.org/officeDocument/2006/relationships/hyperlink" Target="https://www.fantacalcio.it/serie-a/squadre/atalanta/gaetano/4364/2026-27/italia" TargetMode="External"/><Relationship Id="rId828" Type="http://schemas.openxmlformats.org/officeDocument/2006/relationships/hyperlink" Target="https://www.gazzetta.it/calcio/fantanews/02-08-2026/atalanta-fantacalcio-2026-27-titolari-rigorista-sorprese-consigli-su-chi-prendere.shtml" TargetMode="External"/><Relationship Id="rId829" Type="http://schemas.openxmlformats.org/officeDocument/2006/relationships/hyperlink" Target="https://www.gazzetta.it/calcio/giocatori/lazar-samardzic/477529/" TargetMode="External"/><Relationship Id="rId830" Type="http://schemas.openxmlformats.org/officeDocument/2006/relationships/hyperlink" Target="https://www.fantacalcio.it/serie-a/squadre/atalanta/samardzic/5119/2026-27/italia" TargetMode="External"/><Relationship Id="rId831" Type="http://schemas.openxmlformats.org/officeDocument/2006/relationships/hyperlink" Target="https://www.gazzetta.it/calcio/fantanews/02-08-2026/atalanta-fantacalcio-2026-27-titolari-rigorista-sorprese-consigli-su-chi-prendere.shtml" TargetMode="External"/><Relationship Id="rId832" Type="http://schemas.openxmlformats.org/officeDocument/2006/relationships/hyperlink" Target="https://www.gazzetta.it/calcio/giocatori/nemanja-matic/62398/" TargetMode="External"/><Relationship Id="rId833" Type="http://schemas.openxmlformats.org/officeDocument/2006/relationships/hyperlink" Target="https://www.fantacalcio.it/serie-a/squadre/sassuolo/matic/2528/2026-27/italia" TargetMode="External"/><Relationship Id="rId834" Type="http://schemas.openxmlformats.org/officeDocument/2006/relationships/hyperlink" Target="https://www.gazzetta.it/calcio/fantanews/04-08-2026/sassuolo-fantacalcio-2026-27-titolari-rigorista-sorprese-consigli-su-chi-prendere.shtml" TargetMode="External"/><Relationship Id="rId835" Type="http://schemas.openxmlformats.org/officeDocument/2006/relationships/hyperlink" Target="https://www.gazzetta.it/calcio/giocatori/nicolo-fagioli/226270/" TargetMode="External"/><Relationship Id="rId836" Type="http://schemas.openxmlformats.org/officeDocument/2006/relationships/hyperlink" Target="https://www.fantacalcio.it/serie-a/squadre/fiorentina/fagioli/4465/2026-27/italia" TargetMode="External"/><Relationship Id="rId837" Type="http://schemas.openxmlformats.org/officeDocument/2006/relationships/hyperlink" Target="https://www.gazzetta.it/calcio/fantanews/02-08-2026/fiorentina-fantacalcio-2026-27-titolari-rigorista-sorprese-consigli-su-chi-prendere.shtml" TargetMode="External"/><Relationship Id="rId838" Type="http://schemas.openxmlformats.org/officeDocument/2006/relationships/hyperlink" Target="https://www.gazzetta.it/calcio/giocatori/henrikh-mkhitaryan/57249/" TargetMode="External"/><Relationship Id="rId839" Type="http://schemas.openxmlformats.org/officeDocument/2006/relationships/hyperlink" Target="https://www.fantacalcio.it/serie-a/squadre/inter/mkhitaryan/2529/2026-27/italia" TargetMode="External"/><Relationship Id="rId840" Type="http://schemas.openxmlformats.org/officeDocument/2006/relationships/hyperlink" Target="https://www.gazzetta.it/calcio/fantanews/05-08-2026/inter-al-fantacalcio-2026-27-titolari-rigorista-sorprese-consigli-su-chi-prendere.shtml" TargetMode="External"/><Relationship Id="rId841" Type="http://schemas.openxmlformats.org/officeDocument/2006/relationships/hyperlink" Target="https://www.gazzetta.it/calcio/giocatori/petar-sucic/581229/" TargetMode="External"/><Relationship Id="rId842" Type="http://schemas.openxmlformats.org/officeDocument/2006/relationships/hyperlink" Target="https://www.fantacalcio.it/serie-a/squadre/inter/sucic-p/7070/2026-27/italia" TargetMode="External"/><Relationship Id="rId843" Type="http://schemas.openxmlformats.org/officeDocument/2006/relationships/hyperlink" Target="https://www.gazzetta.it/calcio/fantanews/05-08-2026/inter-al-fantacalcio-2026-27-titolari-rigorista-sorprese-consigli-su-chi-prendere.shtml" TargetMode="External"/><Relationship Id="rId844" Type="http://schemas.openxmlformats.org/officeDocument/2006/relationships/hyperlink" Target="https://www.gazzetta.it/calcio/giocatori/mandela-keita/534913/" TargetMode="External"/><Relationship Id="rId845" Type="http://schemas.openxmlformats.org/officeDocument/2006/relationships/hyperlink" Target="https://www.fantacalcio.it/serie-a/squadre/parma/keita-m/6898/2026-27/italia" TargetMode="External"/><Relationship Id="rId846" Type="http://schemas.openxmlformats.org/officeDocument/2006/relationships/hyperlink" Target="https://www.gazzetta.it/calcio/fantanews/03-08-2026/parma-al-fantacalcio-2026-27-titolari-rigorista-sorprese-consigli-su-chi-prendere.shtml" TargetMode="External"/><Relationship Id="rId847" Type="http://schemas.openxmlformats.org/officeDocument/2006/relationships/hyperlink" Target="https://www.gazzetta.it/calcio/giocatori/mario-pasalic/164570/" TargetMode="External"/><Relationship Id="rId848" Type="http://schemas.openxmlformats.org/officeDocument/2006/relationships/hyperlink" Target="https://www.fantacalcio.it/serie-a/squadre/atalanta/pasalic/2077/2026-27/italia" TargetMode="External"/><Relationship Id="rId849" Type="http://schemas.openxmlformats.org/officeDocument/2006/relationships/hyperlink" Target="https://www.gazzetta.it/calcio/fantanews/02-08-2026/atalanta-fantacalcio-2026-27-titolari-rigorista-sorprese-consigli-su-chi-prendere.shtml" TargetMode="External"/><Relationship Id="rId850" Type="http://schemas.openxmlformats.org/officeDocument/2006/relationships/hyperlink" Target="https://www.gazzetta.it/calcio/giocatori/ismael-kone/547658/" TargetMode="External"/><Relationship Id="rId851" Type="http://schemas.openxmlformats.org/officeDocument/2006/relationships/hyperlink" Target="https://www.fantacalcio.it/serie-a/squadre/sassuolo/kon%C3%A8-i/6717/2026-27/italia" TargetMode="External"/><Relationship Id="rId852" Type="http://schemas.openxmlformats.org/officeDocument/2006/relationships/hyperlink" Target="https://www.gazzetta.it/calcio/fantanews/04-08-2026/sassuolo-fantacalcio-2026-27-titolari-rigorista-sorprese-consigli-su-chi-prendere.shtml" TargetMode="External"/><Relationship Id="rId853" Type="http://schemas.openxmlformats.org/officeDocument/2006/relationships/hyperlink" Target="https://www.gazzetta.it/calcio/giocatori/morten-frendrup/445733/" TargetMode="External"/><Relationship Id="rId854" Type="http://schemas.openxmlformats.org/officeDocument/2006/relationships/hyperlink" Target="https://www.fantacalcio.it/serie-a/squadre/genoa/frendrup/5791/2026-27/italia" TargetMode="External"/><Relationship Id="rId855" Type="http://schemas.openxmlformats.org/officeDocument/2006/relationships/hyperlink" Target="https://www.gazzetta.it/calcio/fantanews/04-08-2026/genoa-al-fantacalcio-2026-27-titolari-rigorista-sorprese-consigli-su-chi-prendere.shtml" TargetMode="External"/><Relationship Id="rId856" Type="http://schemas.openxmlformats.org/officeDocument/2006/relationships/hyperlink" Target="https://www.gazzetta.it/calcio/giocatori/tommaso-baldanzi/518908/" TargetMode="External"/><Relationship Id="rId857" Type="http://schemas.openxmlformats.org/officeDocument/2006/relationships/hyperlink" Target="https://www.fantacalcio.it/serie-a/squadre/genoa/baldanzi/5823/2026-27/italia" TargetMode="External"/><Relationship Id="rId858" Type="http://schemas.openxmlformats.org/officeDocument/2006/relationships/hyperlink" Target="https://www.gazzetta.it/calcio/fantanews/04-08-2026/genoa-al-fantacalcio-2026-27-titolari-rigorista-sorprese-consigli-su-chi-prendere.shtml" TargetMode="External"/><Relationship Id="rId859" Type="http://schemas.openxmlformats.org/officeDocument/2006/relationships/hyperlink" Target="https://www.gazzetta.it/calcio/giocatori/ruben-loftus-cheek/126187/" TargetMode="External"/><Relationship Id="rId860" Type="http://schemas.openxmlformats.org/officeDocument/2006/relationships/hyperlink" Target="https://www.fantacalcio.it/serie-a/squadre/milan/loftus-cheek/4199/2026-27/italia" TargetMode="External"/><Relationship Id="rId861" Type="http://schemas.openxmlformats.org/officeDocument/2006/relationships/hyperlink" Target="https://www.gazzetta.it/calcio/fantanews/02-08-2026/milan-al-fantacalcio-2026-27-titolari-rigorista-sorprese-e-consigli-su-chi-prendere.shtml" TargetMode="External"/><Relationship Id="rId862" Type="http://schemas.openxmlformats.org/officeDocument/2006/relationships/hyperlink" Target="https://www.gazzetta.it/calcio/giocatori/cristian-volpato/558973/" TargetMode="External"/><Relationship Id="rId863" Type="http://schemas.openxmlformats.org/officeDocument/2006/relationships/hyperlink" Target="https://www.fantacalcio.it/serie-a/squadre/sassuolo/volpato/5735/2026-27/italia" TargetMode="External"/><Relationship Id="rId864" Type="http://schemas.openxmlformats.org/officeDocument/2006/relationships/hyperlink" Target="https://www.gazzetta.it/calcio/fantanews/04-08-2026/sassuolo-fantacalcio-2026-27-titolari-rigorista-sorprese-consigli-su-chi-prendere.shtml" TargetMode="External"/><Relationship Id="rId865" Type="http://schemas.openxmlformats.org/officeDocument/2006/relationships/hyperlink" Target="https://www.gazzetta.it/calcio/giocatori/lewis-ferguson/439492/" TargetMode="External"/><Relationship Id="rId866" Type="http://schemas.openxmlformats.org/officeDocument/2006/relationships/hyperlink" Target="https://www.fantacalcio.it/serie-a/squadre/bologna/ferguson/5858/2026-27/italia" TargetMode="External"/><Relationship Id="rId867" Type="http://schemas.openxmlformats.org/officeDocument/2006/relationships/hyperlink" Target="https://www.gazzetta.it/calcio/fantanews/03-08-2026/bologna-fantacalcio-2026-27-titolari-rigorista-sorprese-consigli-su-chi-prendere.shtml" TargetMode="External"/><Relationship Id="rId868" Type="http://schemas.openxmlformats.org/officeDocument/2006/relationships/hyperlink" Target="https://www.gazzetta.it/calcio/giocatori/daniel-maldini/488253/" TargetMode="External"/><Relationship Id="rId869" Type="http://schemas.openxmlformats.org/officeDocument/2006/relationships/hyperlink" Target="https://www.fantacalcio.it/serie-a/squadre/cagliari/maldini/4896/2026-27/italia" TargetMode="External"/><Relationship Id="rId870" Type="http://schemas.openxmlformats.org/officeDocument/2006/relationships/hyperlink" Target="https://www.gazzetta.it/calcio/fantanews/04-08-2026/cagliari-fantacalcio-2026-27-titolari-rigorista-sorprese-consigli-su-chi-prendere.shtml" TargetMode="External"/><Relationship Id="rId871" Type="http://schemas.openxmlformats.org/officeDocument/2006/relationships/hyperlink" Target="https://www.gazzetta.it/calcio/giocatori/michel-adopo/449470/" TargetMode="External"/><Relationship Id="rId872" Type="http://schemas.openxmlformats.org/officeDocument/2006/relationships/hyperlink" Target="https://www.fantacalcio.it/serie-a/squadre/cagliari/adopo/4870/2026-27/italia" TargetMode="External"/><Relationship Id="rId873" Type="http://schemas.openxmlformats.org/officeDocument/2006/relationships/hyperlink" Target="https://www.gazzetta.it/calcio/fantanews/04-08-2026/cagliari-fantacalcio-2026-27-titolari-rigorista-sorprese-consigli-su-chi-prendere.shtml" TargetMode="External"/><Relationship Id="rId874" Type="http://schemas.openxmlformats.org/officeDocument/2006/relationships/hyperlink" Target="https://www.gazzetta.it/calcio/giocatori/lassana-coulibaly/215047/" TargetMode="External"/><Relationship Id="rId875" Type="http://schemas.openxmlformats.org/officeDocument/2006/relationships/hyperlink" Target="https://www.fantacalcio.it/serie-a/squadre/lecce/coulibaly-l/5504/2026-27/italia" TargetMode="External"/><Relationship Id="rId876" Type="http://schemas.openxmlformats.org/officeDocument/2006/relationships/hyperlink" Target="https://www.gazzetta.it/calcio/fantanews/04-08-2026/lecce-fantacalcio-2026-27-titolari-rigorista-sorprese-consigli-su-chi-prendere.shtml" TargetMode="External"/><Relationship Id="rId877" Type="http://schemas.openxmlformats.org/officeDocument/2006/relationships/hyperlink" Target="https://www.gazzetta.it/calcio/giocatori/teun-koopmeiners/204644/" TargetMode="External"/><Relationship Id="rId878" Type="http://schemas.openxmlformats.org/officeDocument/2006/relationships/hyperlink" Target="https://www.fantacalcio.it/serie-a/squadre/juventus/koopmeiners/5685/2026-27/italia" TargetMode="External"/><Relationship Id="rId879" Type="http://schemas.openxmlformats.org/officeDocument/2006/relationships/hyperlink" Target="https://www.gazzetta.it/calcio/fantanews/03-08-2026/juve-al-fantacalcio-2026-27-titolari-rigorista-sorprese-consigli-su-chi-prendere.shtml" TargetMode="External"/><Relationship Id="rId880" Type="http://schemas.openxmlformats.org/officeDocument/2006/relationships/hyperlink" Target="https://www.gazzetta.it/calcio/giocatori/nicola-zalewski/466147/" TargetMode="External"/><Relationship Id="rId881" Type="http://schemas.openxmlformats.org/officeDocument/2006/relationships/hyperlink" Target="https://www.fantacalcio.it/serie-a/squadre/atalanta/zalewski/5422/2026-27/italia" TargetMode="External"/><Relationship Id="rId882" Type="http://schemas.openxmlformats.org/officeDocument/2006/relationships/hyperlink" Target="https://www.gazzetta.it/calcio/fantanews/02-08-2026/atalanta-fantacalcio-2026-27-titolari-rigorista-sorprese-consigli-su-chi-prendere.shtml" TargetMode="External"/><Relationship Id="rId883" Type="http://schemas.openxmlformats.org/officeDocument/2006/relationships/hyperlink" Target="https://www.gazzetta.it/calcio/giocatori/antonio-vergara/563809/" TargetMode="External"/><Relationship Id="rId884" Type="http://schemas.openxmlformats.org/officeDocument/2006/relationships/hyperlink" Target="https://www.fantacalcio.it/serie-a/squadre/napoli/vergara/7223/2026-27/italia" TargetMode="External"/><Relationship Id="rId885" Type="http://schemas.openxmlformats.org/officeDocument/2006/relationships/hyperlink" Target="https://www.gazzetta.it/calcio/fantanews/02-08-2026/napoli-fantacalcio-2026-27-titolari-rigorista-sorprese-consigli-su-chi-prendere.shtml" TargetMode="External"/><Relationship Id="rId886" Type="http://schemas.openxmlformats.org/officeDocument/2006/relationships/hyperlink" Target="https://www.fantacalcio.it/serie-a/squadre/venezia/busio/5507/2026-27/italia" TargetMode="External"/><Relationship Id="rId887" Type="http://schemas.openxmlformats.org/officeDocument/2006/relationships/hyperlink" Target="https://www.gazzetta.it/calcio/fantanews/04-08-2026/venezia-al-fantacalcio-2026-27-titolari-rigorista-sorprese-consigli-su-chi-prendere.shtml" TargetMode="External"/><Relationship Id="rId888" Type="http://schemas.openxmlformats.org/officeDocument/2006/relationships/hyperlink" Target="https://www.gazzetta.it/calcio/giocatori/jens-odgaard/219117/" TargetMode="External"/><Relationship Id="rId889" Type="http://schemas.openxmlformats.org/officeDocument/2006/relationships/hyperlink" Target="https://www.fantacalcio.it/serie-a/squadre/bologna/odgaard/2765/2026-27/italia" TargetMode="External"/><Relationship Id="rId890" Type="http://schemas.openxmlformats.org/officeDocument/2006/relationships/hyperlink" Target="https://www.gazzetta.it/calcio/fantanews/03-08-2026/bologna-fantacalcio-2026-27-titolari-rigorista-sorprese-consigli-su-chi-prendere.shtml" TargetMode="External"/><Relationship Id="rId891" Type="http://schemas.openxmlformats.org/officeDocument/2006/relationships/hyperlink" Target="https://www.gazzetta.it/calcio/giocatori/junior-messias/432070/" TargetMode="External"/><Relationship Id="rId892" Type="http://schemas.openxmlformats.org/officeDocument/2006/relationships/hyperlink" Target="https://www.fantacalcio.it/serie-a/squadre/genoa/messias/4970/2026-27/italia" TargetMode="External"/><Relationship Id="rId893" Type="http://schemas.openxmlformats.org/officeDocument/2006/relationships/hyperlink" Target="https://www.gazzetta.it/calcio/fantanews/04-08-2026/genoa-al-fantacalcio-2026-27-titolari-rigorista-sorprese-consigli-su-chi-prendere.shtml" TargetMode="External"/><Relationship Id="rId894" Type="http://schemas.openxmlformats.org/officeDocument/2006/relationships/hyperlink" Target="https://www.gazzetta.it/calcio/giocatori/khephren-thuram/242887/" TargetMode="External"/><Relationship Id="rId895" Type="http://schemas.openxmlformats.org/officeDocument/2006/relationships/hyperlink" Target="https://www.fantacalcio.it/serie-a/squadre/juventus/thuram-k/5562/2026-27/italia" TargetMode="External"/><Relationship Id="rId896" Type="http://schemas.openxmlformats.org/officeDocument/2006/relationships/hyperlink" Target="https://www.gazzetta.it/calcio/fantanews/03-08-2026/juve-al-fantacalcio-2026-27-titolari-rigorista-sorprese-consigli-su-chi-prendere.shtml" TargetMode="External"/><Relationship Id="rId897" Type="http://schemas.openxmlformats.org/officeDocument/2006/relationships/hyperlink" Target="https://www.gazzetta.it/calcio/giocatori/luis-henrique/478270/" TargetMode="External"/><Relationship Id="rId898" Type="http://schemas.openxmlformats.org/officeDocument/2006/relationships/hyperlink" Target="https://www.fantacalcio.it/serie-a/squadre/inter/luis-henrique/5301/2026-27/italia" TargetMode="External"/><Relationship Id="rId899" Type="http://schemas.openxmlformats.org/officeDocument/2006/relationships/hyperlink" Target="https://www.gazzetta.it/calcio/fantanews/05-08-2026/inter-al-fantacalcio-2026-27-titolari-rigorista-sorprese-consigli-su-chi-prendere.shtml" TargetMode="External"/><Relationship Id="rId900" Type="http://schemas.openxmlformats.org/officeDocument/2006/relationships/hyperlink" Target="https://www.gazzetta.it/calcio/giocatori/tommaso-pobega/459025/" TargetMode="External"/><Relationship Id="rId901" Type="http://schemas.openxmlformats.org/officeDocument/2006/relationships/hyperlink" Target="https://www.fantacalcio.it/serie-a/squadre/bologna/pobega/5298/2026-27/italia" TargetMode="External"/><Relationship Id="rId902" Type="http://schemas.openxmlformats.org/officeDocument/2006/relationships/hyperlink" Target="https://www.gazzetta.it/calcio/fantanews/03-08-2026/bologna-fantacalcio-2026-27-titolari-rigorista-sorprese-consigli-su-chi-prendere.shtml" TargetMode="External"/><Relationship Id="rId903" Type="http://schemas.openxmlformats.org/officeDocument/2006/relationships/hyperlink" Target="https://www.gazzetta.it/calcio/giocatori/toma-basic/212851/" TargetMode="External"/><Relationship Id="rId904" Type="http://schemas.openxmlformats.org/officeDocument/2006/relationships/hyperlink" Target="https://www.fantacalcio.it/serie-a/squadre/venezia/basic/5674/2026-27/italia" TargetMode="External"/><Relationship Id="rId905" Type="http://schemas.openxmlformats.org/officeDocument/2006/relationships/hyperlink" Target="https://www.gazzetta.it/calcio/fantanews/04-08-2026/venezia-al-fantacalcio-2026-27-titolari-rigorista-sorprese-consigli-su-chi-prendere.shtml" TargetMode="External"/><Relationship Id="rId906" Type="http://schemas.openxmlformats.org/officeDocument/2006/relationships/hyperlink" Target="https://www.gazzetta.it/calcio/giocatori/marten-de-roon/82428/" TargetMode="External"/><Relationship Id="rId907" Type="http://schemas.openxmlformats.org/officeDocument/2006/relationships/hyperlink" Target="https://www.fantacalcio.it/serie-a/squadre/roma/de-roon/22/2026-27/italia" TargetMode="External"/><Relationship Id="rId908" Type="http://schemas.openxmlformats.org/officeDocument/2006/relationships/hyperlink" Target="https://www.gazzetta.it/calcio/fantanews/03-08-2026/roma-al-fantacalcio-2026-27-titolari-rigorista-sorprese-consigli-su-chi-prendere.shtml" TargetMode="External"/><Relationship Id="rId909" Type="http://schemas.openxmlformats.org/officeDocument/2006/relationships/hyperlink" Target="https://www.gazzetta.it/calcio/giocatori/jacopo-fazzini/550095/" TargetMode="External"/><Relationship Id="rId910" Type="http://schemas.openxmlformats.org/officeDocument/2006/relationships/hyperlink" Target="https://www.fantacalcio.it/serie-a/squadre/cagliari/fazzini/6010/2026-27/italia" TargetMode="External"/><Relationship Id="rId911" Type="http://schemas.openxmlformats.org/officeDocument/2006/relationships/hyperlink" Target="https://www.gazzetta.it/calcio/fantanews/04-08-2026/cagliari-fantacalcio-2026-27-titolari-rigorista-sorprese-consigli-su-chi-prendere.shtml" TargetMode="External"/><Relationship Id="rId912" Type="http://schemas.openxmlformats.org/officeDocument/2006/relationships/hyperlink" Target="https://www.gazzetta.it/calcio/giocatori/eljif-elmas/225807/" TargetMode="External"/><Relationship Id="rId913" Type="http://schemas.openxmlformats.org/officeDocument/2006/relationships/hyperlink" Target="https://www.fantacalcio.it/serie-a/squadre/atalanta/elmas/4479/2026-27/italia" TargetMode="External"/><Relationship Id="rId914" Type="http://schemas.openxmlformats.org/officeDocument/2006/relationships/hyperlink" Target="https://www.gazzetta.it/calcio/fantanews/02-08-2026/atalanta-fantacalcio-2026-27-titolari-rigorista-sorprese-consigli-su-chi-prendere.shtml" TargetMode="External"/><Relationship Id="rId915" Type="http://schemas.openxmlformats.org/officeDocument/2006/relationships/hyperlink" Target="https://www.gazzetta.it/calcio/giocatori/giovanni-fabbian/511444/" TargetMode="External"/><Relationship Id="rId916" Type="http://schemas.openxmlformats.org/officeDocument/2006/relationships/hyperlink" Target="https://www.fantacalcio.it/serie-a/squadre/parma/fabbian/6206/2026-27/italia" TargetMode="External"/><Relationship Id="rId917" Type="http://schemas.openxmlformats.org/officeDocument/2006/relationships/hyperlink" Target="https://www.gazzetta.it/calcio/fantanews/03-08-2026/parma-al-fantacalcio-2026-27-titolari-rigorista-sorprese-consigli-su-chi-prendere.shtml" TargetMode="External"/><Relationship Id="rId918" Type="http://schemas.openxmlformats.org/officeDocument/2006/relationships/hyperlink" Target="https://www.gazzetta.it/calcio/giocatori/gvidas-gineitis/561003/" TargetMode="External"/><Relationship Id="rId919" Type="http://schemas.openxmlformats.org/officeDocument/2006/relationships/hyperlink" Target="https://www.fantacalcio.it/serie-a/squadre/torino/gineitis/6170/2026-27/italia" TargetMode="External"/><Relationship Id="rId920" Type="http://schemas.openxmlformats.org/officeDocument/2006/relationships/hyperlink" Target="https://www.gazzetta.it/calcio/fantanews/03-08-2026/torino-fantacalcio-2026-27-titolari-rigorista-sorprese-consigli-su-chi-prendere.shtml" TargetMode="External"/><Relationship Id="rId921" Type="http://schemas.openxmlformats.org/officeDocument/2006/relationships/hyperlink" Target="https://www.gazzetta.it/calcio/giocatori/cesare-casadei/505187/" TargetMode="External"/><Relationship Id="rId922" Type="http://schemas.openxmlformats.org/officeDocument/2006/relationships/hyperlink" Target="https://www.fantacalcio.it/serie-a/squadre/torino/casadei/5888/2026-27/italia" TargetMode="External"/><Relationship Id="rId923" Type="http://schemas.openxmlformats.org/officeDocument/2006/relationships/hyperlink" Target="https://www.gazzetta.it/calcio/fantanews/03-08-2026/torino-fantacalcio-2026-27-titolari-rigorista-sorprese-consigli-su-chi-prendere.shtml" TargetMode="External"/><Relationship Id="rId924" Type="http://schemas.openxmlformats.org/officeDocument/2006/relationships/hyperlink" Target="https://www.gazzetta.it/calcio/giocatori/jakub-piotrowski/219155/" TargetMode="External"/><Relationship Id="rId925" Type="http://schemas.openxmlformats.org/officeDocument/2006/relationships/hyperlink" Target="https://www.fantacalcio.it/serie-a/squadre/udinese/piotrowski/7198/2026-27/italia" TargetMode="External"/><Relationship Id="rId926" Type="http://schemas.openxmlformats.org/officeDocument/2006/relationships/hyperlink" Target="https://www.gazzetta.it/calcio/fantanews/03-08-2026/udinese-fantacalcio-2026-27-titolari-rigorista-sorprese-consigli-su-chi-prendere.shtml" TargetMode="External"/><Relationship Id="rId927" Type="http://schemas.openxmlformats.org/officeDocument/2006/relationships/hyperlink" Target="https://www.fantacalcio.it/serie-a/squadre/venezia/perez-k/6994/2026-27/italia" TargetMode="External"/><Relationship Id="rId928" Type="http://schemas.openxmlformats.org/officeDocument/2006/relationships/hyperlink" Target="https://www.gazzetta.it/calcio/fantanews/04-08-2026/venezia-al-fantacalcio-2026-27-titolari-rigorista-sorprese-consigli-su-chi-prendere.shtml" TargetMode="External"/><Relationship Id="rId929" Type="http://schemas.openxmlformats.org/officeDocument/2006/relationships/hyperlink" Target="https://www.gazzetta.it/calcio/giocatori/samuele-ricci/450023/" TargetMode="External"/><Relationship Id="rId930" Type="http://schemas.openxmlformats.org/officeDocument/2006/relationships/hyperlink" Target="https://www.fantacalcio.it/serie-a/squadre/como/ricci-s/5453/2026-27/italia" TargetMode="External"/><Relationship Id="rId931" Type="http://schemas.openxmlformats.org/officeDocument/2006/relationships/hyperlink" Target="https://www.gazzetta.it/calcio/fantanews/04-08-2026/como-fantacalcio-2026-27-titolari-rigorista-sorprese-consigli-su-chi-prendere.shtml" TargetMode="External"/><Relationship Id="rId932" Type="http://schemas.openxmlformats.org/officeDocument/2006/relationships/hyperlink" Target="https://www.gazzetta.it/calcio/giocatori/medon-berisha/550922/" TargetMode="External"/><Relationship Id="rId933" Type="http://schemas.openxmlformats.org/officeDocument/2006/relationships/hyperlink" Target="https://www.fantacalcio.it/serie-a/squadre/lecce/berisha-m/6015/2026-27/italia" TargetMode="External"/><Relationship Id="rId934" Type="http://schemas.openxmlformats.org/officeDocument/2006/relationships/hyperlink" Target="https://www.gazzetta.it/calcio/fantanews/04-08-2026/lecce-fantacalcio-2026-27-titolari-rigorista-sorprese-consigli-su-chi-prendere.shtml" TargetMode="External"/><Relationship Id="rId935" Type="http://schemas.openxmlformats.org/officeDocument/2006/relationships/hyperlink" Target="https://www.fantacalcio.it/serie-a/squadre/juventus/sarr-p/5680/2026-27/italia" TargetMode="External"/><Relationship Id="rId936" Type="http://schemas.openxmlformats.org/officeDocument/2006/relationships/hyperlink" Target="https://www.gazzetta.it/calcio/fantanews/03-08-2026/juve-al-fantacalcio-2026-27-titolari-rigorista-sorprese-consigli-su-chi-prendere.shtml" TargetMode="External"/><Relationship Id="rId937" Type="http://schemas.openxmlformats.org/officeDocument/2006/relationships/hyperlink" Target="https://www.fantacalcio.it/serie-a/squadre/fiorentina/oulai/7464/2026-27/italia" TargetMode="External"/><Relationship Id="rId938" Type="http://schemas.openxmlformats.org/officeDocument/2006/relationships/hyperlink" Target="https://www.gazzetta.it/calcio/fantanews/02-08-2026/fiorentina-fantacalcio-2026-27-titolari-rigorista-sorprese-consigli-su-chi-prendere.shtml" TargetMode="External"/><Relationship Id="rId939" Type="http://schemas.openxmlformats.org/officeDocument/2006/relationships/hyperlink" Target="https://www.gazzetta.it/calcio/giocatori/mikael-ellertsson/488006/" TargetMode="External"/><Relationship Id="rId940" Type="http://schemas.openxmlformats.org/officeDocument/2006/relationships/hyperlink" Target="https://www.fantacalcio.it/serie-a/squadre/genoa/ellertsson/6020/2026-27/italia" TargetMode="External"/><Relationship Id="rId941" Type="http://schemas.openxmlformats.org/officeDocument/2006/relationships/hyperlink" Target="https://www.gazzetta.it/calcio/fantanews/04-08-2026/genoa-al-fantacalcio-2026-27-titolari-rigorista-sorprese-consigli-su-chi-prendere.shtml" TargetMode="External"/><Relationship Id="rId942" Type="http://schemas.openxmlformats.org/officeDocument/2006/relationships/hyperlink" Target="https://www.fantacalcio.it/serie-a/squadre/milan/hutchinson/7618/2026-27/italia" TargetMode="External"/><Relationship Id="rId943" Type="http://schemas.openxmlformats.org/officeDocument/2006/relationships/hyperlink" Target="https://www.gazzetta.it/calcio/fantanews/02-08-2026/milan-al-fantacalcio-2026-27-titolari-rigorista-sorprese-e-consigli-su-chi-prendere.shtml" TargetMode="External"/><Relationship Id="rId944" Type="http://schemas.openxmlformats.org/officeDocument/2006/relationships/hyperlink" Target="https://www.gazzetta.it/calcio/giocatori/douglas-luiz/230046/" TargetMode="External"/><Relationship Id="rId945" Type="http://schemas.openxmlformats.org/officeDocument/2006/relationships/hyperlink" Target="https://www.fantacalcio.it/serie-a/squadre/juventus/douglas-luiz/4911/2026-27/italia" TargetMode="External"/><Relationship Id="rId946" Type="http://schemas.openxmlformats.org/officeDocument/2006/relationships/hyperlink" Target="https://www.gazzetta.it/calcio/fantanews/03-08-2026/juve-al-fantacalcio-2026-27-titolari-rigorista-sorprese-consigli-su-chi-prendere.shtml" TargetMode="External"/><Relationship Id="rId947" Type="http://schemas.openxmlformats.org/officeDocument/2006/relationships/hyperlink" Target="https://www.gazzetta.it/calcio/giocatori/andy-diouf/503696/" TargetMode="External"/><Relationship Id="rId948" Type="http://schemas.openxmlformats.org/officeDocument/2006/relationships/hyperlink" Target="https://www.fantacalcio.it/serie-a/squadre/inter/diouf/6274/2026-27/italia" TargetMode="External"/><Relationship Id="rId949" Type="http://schemas.openxmlformats.org/officeDocument/2006/relationships/hyperlink" Target="https://www.gazzetta.it/calcio/fantanews/05-08-2026/inter-al-fantacalcio-2026-27-titolari-rigorista-sorprese-consigli-su-chi-prendere.shtml" TargetMode="External"/><Relationship Id="rId950" Type="http://schemas.openxmlformats.org/officeDocument/2006/relationships/hyperlink" Target="https://www.fantacalcio.it/serie-a/squadre/frosinone/schmid/7551/2026-27/italia" TargetMode="External"/><Relationship Id="rId951" Type="http://schemas.openxmlformats.org/officeDocument/2006/relationships/hyperlink" Target="https://www.gazzetta.it/calcio/fantanews/02-08-2026/frosinone-al-fantacalcio-2026-27-titolari-rigorista-sorprese-e-consigli-su-chi-prendere.shtml" TargetMode="External"/><Relationship Id="rId952" Type="http://schemas.openxmlformats.org/officeDocument/2006/relationships/hyperlink" Target="https://www.fantacalcio.it/serie-a/squadre/monza/colpani/5878/2026-27/italia" TargetMode="External"/><Relationship Id="rId953" Type="http://schemas.openxmlformats.org/officeDocument/2006/relationships/hyperlink" Target="https://www.gazzetta.it/calcio/fantanews/05-08-2026/monza-al-fantacalcio-2026-27-titolari-rigorista-sorprese-consigli-su-chi-prendere.shtml" TargetMode="External"/><Relationship Id="rId954" Type="http://schemas.openxmlformats.org/officeDocument/2006/relationships/hyperlink" Target="https://www.gazzetta.it/calcio/giocatori/michael-folorunsho/247050/" TargetMode="External"/><Relationship Id="rId955" Type="http://schemas.openxmlformats.org/officeDocument/2006/relationships/hyperlink" Target="https://www.fantacalcio.it/serie-a/squadre/monza/folorunsho/6252/2026-27/italia" TargetMode="External"/><Relationship Id="rId956" Type="http://schemas.openxmlformats.org/officeDocument/2006/relationships/hyperlink" Target="https://www.gazzetta.it/calcio/fantanews/05-08-2026/monza-al-fantacalcio-2026-27-titolari-rigorista-sorprese-consigli-su-chi-prendere.shtml" TargetMode="External"/><Relationship Id="rId957" Type="http://schemas.openxmlformats.org/officeDocument/2006/relationships/hyperlink" Target="https://www.gazzetta.it/calcio/giocatori/alieu-fadera/509026/" TargetMode="External"/><Relationship Id="rId958" Type="http://schemas.openxmlformats.org/officeDocument/2006/relationships/hyperlink" Target="https://www.fantacalcio.it/serie-a/squadre/cagliari/fadera/6815/2026-27/italia" TargetMode="External"/><Relationship Id="rId959" Type="http://schemas.openxmlformats.org/officeDocument/2006/relationships/hyperlink" Target="https://www.gazzetta.it/calcio/fantanews/04-08-2026/cagliari-fantacalcio-2026-27-titolari-rigorista-sorprese-consigli-su-chi-prendere.shtml" TargetMode="External"/><Relationship Id="rId960" Type="http://schemas.openxmlformats.org/officeDocument/2006/relationships/hyperlink" Target="https://www.fantacalcio.it/serie-a/squadre/lecce/monteiro-j/7619/2026-27/italia" TargetMode="External"/><Relationship Id="rId961" Type="http://schemas.openxmlformats.org/officeDocument/2006/relationships/hyperlink" Target="https://www.gazzetta.it/calcio/fantanews/04-08-2026/lecce-fantacalcio-2026-27-titolari-rigorista-sorprese-consigli-su-chi-prendere.shtml" TargetMode="External"/><Relationship Id="rId962" Type="http://schemas.openxmlformats.org/officeDocument/2006/relationships/hyperlink" Target="https://www.fantacalcio.it/serie-a/squadre/como/milla/7412/2026-27/italia" TargetMode="External"/><Relationship Id="rId963" Type="http://schemas.openxmlformats.org/officeDocument/2006/relationships/hyperlink" Target="https://www.gazzetta.it/calcio/fantanews/04-08-2026/como-fantacalcio-2026-27-titolari-rigorista-sorprese-consigli-su-chi-prendere.shtml" TargetMode="External"/><Relationship Id="rId964" Type="http://schemas.openxmlformats.org/officeDocument/2006/relationships/hyperlink" Target="https://www.gazzetta.it/calcio/giocatori/marco-brescianini/458059/" TargetMode="External"/><Relationship Id="rId965" Type="http://schemas.openxmlformats.org/officeDocument/2006/relationships/hyperlink" Target="https://www.fantacalcio.it/serie-a/squadre/fiorentina/brescianini/4947/2026-27/italia" TargetMode="External"/><Relationship Id="rId966" Type="http://schemas.openxmlformats.org/officeDocument/2006/relationships/hyperlink" Target="https://www.gazzetta.it/calcio/fantanews/02-08-2026/fiorentina-fantacalcio-2026-27-titolari-rigorista-sorprese-consigli-su-chi-prendere.shtml" TargetMode="External"/><Relationship Id="rId967" Type="http://schemas.openxmlformats.org/officeDocument/2006/relationships/hyperlink" Target="https://www.fantacalcio.it/serie-a/squadre/bologna/mbangula/6833/2026-27/italia" TargetMode="External"/><Relationship Id="rId968" Type="http://schemas.openxmlformats.org/officeDocument/2006/relationships/hyperlink" Target="https://www.gazzetta.it/calcio/fantanews/03-08-2026/bologna-fantacalcio-2026-27-titolari-rigorista-sorprese-consigli-su-chi-prendere.shtml" TargetMode="External"/><Relationship Id="rId969" Type="http://schemas.openxmlformats.org/officeDocument/2006/relationships/hyperlink" Target="https://www.gazzetta.it/calcio/giocatori/ardon-jashari/508855/" TargetMode="External"/><Relationship Id="rId970" Type="http://schemas.openxmlformats.org/officeDocument/2006/relationships/hyperlink" Target="https://www.fantacalcio.it/serie-a/squadre/milan/jashari/7203/2026-27/italia" TargetMode="External"/><Relationship Id="rId971" Type="http://schemas.openxmlformats.org/officeDocument/2006/relationships/hyperlink" Target="https://www.gazzetta.it/calcio/fantanews/02-08-2026/milan-al-fantacalcio-2026-27-titolari-rigorista-sorprese-e-consigli-su-chi-prendere.shtml" TargetMode="External"/><Relationship Id="rId972" Type="http://schemas.openxmlformats.org/officeDocument/2006/relationships/hyperlink" Target="https://www.gazzetta.it/calcio/giocatori/cher-ndour/536474/" TargetMode="External"/><Relationship Id="rId973" Type="http://schemas.openxmlformats.org/officeDocument/2006/relationships/hyperlink" Target="https://www.fantacalcio.it/serie-a/squadre/fiorentina/ndour/6294/2026-27/italia" TargetMode="External"/><Relationship Id="rId974" Type="http://schemas.openxmlformats.org/officeDocument/2006/relationships/hyperlink" Target="https://www.gazzetta.it/calcio/fantanews/02-08-2026/fiorentina-fantacalcio-2026-27-titolari-rigorista-sorprese-consigli-su-chi-prendere.shtml" TargetMode="External"/><Relationship Id="rId975" Type="http://schemas.openxmlformats.org/officeDocument/2006/relationships/hyperlink" Target="https://www.fantacalcio.it/serie-a/squadre/torino/braganca/7624/2026-27/italia" TargetMode="External"/><Relationship Id="rId976" Type="http://schemas.openxmlformats.org/officeDocument/2006/relationships/hyperlink" Target="https://www.gazzetta.it/calcio/fantanews/03-08-2026/torino-fantacalcio-2026-27-titolari-rigorista-sorprese-consigli-su-chi-prendere.shtml" TargetMode="External"/><Relationship Id="rId977" Type="http://schemas.openxmlformats.org/officeDocument/2006/relationships/hyperlink" Target="https://www.gazzetta.it/calcio/giocatori/lennon-miller/568793/" TargetMode="External"/><Relationship Id="rId978" Type="http://schemas.openxmlformats.org/officeDocument/2006/relationships/hyperlink" Target="https://www.fantacalcio.it/serie-a/squadre/udinese/miller-l/7208/2026-27/italia" TargetMode="External"/><Relationship Id="rId979" Type="http://schemas.openxmlformats.org/officeDocument/2006/relationships/hyperlink" Target="https://www.gazzetta.it/calcio/fantanews/03-08-2026/udinese-fantacalcio-2026-27-titolari-rigorista-sorprese-consigli-su-chi-prendere.shtml" TargetMode="External"/><Relationship Id="rId980" Type="http://schemas.openxmlformats.org/officeDocument/2006/relationships/hyperlink" Target="https://www.gazzetta.it/calcio/giocatori/omri-gandelman/491445/" TargetMode="External"/><Relationship Id="rId981" Type="http://schemas.openxmlformats.org/officeDocument/2006/relationships/hyperlink" Target="https://www.fantacalcio.it/serie-a/squadre/lecce/gandelman/7318/2026-27/italia" TargetMode="External"/><Relationship Id="rId982" Type="http://schemas.openxmlformats.org/officeDocument/2006/relationships/hyperlink" Target="https://www.gazzetta.it/calcio/fantanews/04-08-2026/lecce-fantacalcio-2026-27-titolari-rigorista-sorprese-consigli-su-chi-prendere.shtml" TargetMode="External"/><Relationship Id="rId983" Type="http://schemas.openxmlformats.org/officeDocument/2006/relationships/hyperlink" Target="https://www.gazzetta.it/calcio/giocatori/danilo-cataldi/130963/" TargetMode="External"/><Relationship Id="rId984" Type="http://schemas.openxmlformats.org/officeDocument/2006/relationships/hyperlink" Target="https://www.fantacalcio.it/serie-a/squadre/lazio/cataldi/333/2026-27/italia" TargetMode="External"/><Relationship Id="rId985" Type="http://schemas.openxmlformats.org/officeDocument/2006/relationships/hyperlink" Target="https://www.gazzetta.it/calcio/fantanews/02-08-2026/lazio-al-fantacalcio-2026-27-titolari-rigorista-sorprese-e-consigli-su-chi-prendere.shtml" TargetMode="External"/><Relationship Id="rId986" Type="http://schemas.openxmlformats.org/officeDocument/2006/relationships/hyperlink" Target="https://www.gazzetta.it/calcio/giocatori/nicolo-rovella/450024/" TargetMode="External"/><Relationship Id="rId987" Type="http://schemas.openxmlformats.org/officeDocument/2006/relationships/hyperlink" Target="https://www.fantacalcio.it/serie-a/squadre/lazio/rovella/4459/2026-27/italia" TargetMode="External"/><Relationship Id="rId988" Type="http://schemas.openxmlformats.org/officeDocument/2006/relationships/hyperlink" Target="https://www.gazzetta.it/calcio/fantanews/02-08-2026/lazio-al-fantacalcio-2026-27-titolari-rigorista-sorprese-e-consigli-su-chi-prendere.shtml" TargetMode="External"/><Relationship Id="rId989" Type="http://schemas.openxmlformats.org/officeDocument/2006/relationships/hyperlink" Target="https://www.fantacalcio.it/serie-a/squadre/cagliari/winks/4260/2026-27/italia" TargetMode="External"/><Relationship Id="rId990" Type="http://schemas.openxmlformats.org/officeDocument/2006/relationships/hyperlink" Target="https://www.gazzetta.it/calcio/fantanews/04-08-2026/cagliari-fantacalcio-2026-27-titolari-rigorista-sorprese-consigli-su-chi-prendere.shtml" TargetMode="External"/><Relationship Id="rId991" Type="http://schemas.openxmlformats.org/officeDocument/2006/relationships/hyperlink" Target="https://www.gazzetta.it/calcio/giocatori/antoine-hainaut/588403/" TargetMode="External"/><Relationship Id="rId992" Type="http://schemas.openxmlformats.org/officeDocument/2006/relationships/hyperlink" Target="https://www.fantacalcio.it/serie-a/squadre/venezia/hainaut/6821/2026-27/italia" TargetMode="External"/><Relationship Id="rId993" Type="http://schemas.openxmlformats.org/officeDocument/2006/relationships/hyperlink" Target="https://www.gazzetta.it/calcio/fantanews/04-08-2026/venezia-al-fantacalcio-2026-27-titolari-rigorista-sorprese-consigli-su-chi-prendere.shtml" TargetMode="External"/><Relationship Id="rId994" Type="http://schemas.openxmlformats.org/officeDocument/2006/relationships/hyperlink" Target="https://www.gazzetta.it/calcio/giocatori/alessio-zerbin/247099/" TargetMode="External"/><Relationship Id="rId995" Type="http://schemas.openxmlformats.org/officeDocument/2006/relationships/hyperlink" Target="https://www.fantacalcio.it/serie-a/squadre/frosinone/zerbin/5998/2026-27/italia" TargetMode="External"/><Relationship Id="rId996" Type="http://schemas.openxmlformats.org/officeDocument/2006/relationships/hyperlink" Target="https://www.gazzetta.it/calcio/fantanews/02-08-2026/frosinone-al-fantacalcio-2026-27-titolari-rigorista-sorprese-e-consigli-su-chi-prendere.shtml" TargetMode="External"/><Relationship Id="rId997" Type="http://schemas.openxmlformats.org/officeDocument/2006/relationships/hyperlink" Target="https://www.gazzetta.it/calcio/giocatori/mattia-liberali/577694/" TargetMode="External"/><Relationship Id="rId998" Type="http://schemas.openxmlformats.org/officeDocument/2006/relationships/hyperlink" Target="https://www.fantacalcio.it/serie-a/squadre/como/liberali/6678/2026-27/italia" TargetMode="External"/><Relationship Id="rId999" Type="http://schemas.openxmlformats.org/officeDocument/2006/relationships/hyperlink" Target="https://www.gazzetta.it/calcio/fantanews/04-08-2026/como-fantacalcio-2026-27-titolari-rigorista-sorprese-consigli-su-chi-prendere.shtml" TargetMode="External"/><Relationship Id="rId1000" Type="http://schemas.openxmlformats.org/officeDocument/2006/relationships/hyperlink" Target="https://www.gazzetta.it/calcio/giocatori/nikola-moro/218373/" TargetMode="External"/><Relationship Id="rId1001" Type="http://schemas.openxmlformats.org/officeDocument/2006/relationships/hyperlink" Target="https://www.fantacalcio.it/serie-a/squadre/bologna/moro-n/6054/2026-27/italia" TargetMode="External"/><Relationship Id="rId1002" Type="http://schemas.openxmlformats.org/officeDocument/2006/relationships/hyperlink" Target="https://www.gazzetta.it/calcio/fantanews/03-08-2026/bologna-fantacalcio-2026-27-titolari-rigorista-sorprese-consigli-su-chi-prendere.shtml" TargetMode="External"/><Relationship Id="rId1003" Type="http://schemas.openxmlformats.org/officeDocument/2006/relationships/hyperlink" Target="https://www.fantacalcio.it/serie-a/squadre/cagliari/romano/7311/2026-27/italia" TargetMode="External"/><Relationship Id="rId1004" Type="http://schemas.openxmlformats.org/officeDocument/2006/relationships/hyperlink" Target="https://www.gazzetta.it/calcio/fantanews/04-08-2026/cagliari-fantacalcio-2026-27-titolari-rigorista-sorprese-consigli-su-chi-prendere.shtml" TargetMode="External"/><Relationship Id="rId1005" Type="http://schemas.openxmlformats.org/officeDocument/2006/relationships/hyperlink" Target="https://www.fantacalcio.it/serie-a/squadre/udinese/unai-gomez/6783/2026-27/italia" TargetMode="External"/><Relationship Id="rId1006" Type="http://schemas.openxmlformats.org/officeDocument/2006/relationships/hyperlink" Target="https://www.gazzetta.it/calcio/fantanews/03-08-2026/udinese-fantacalcio-2026-27-titolari-rigorista-sorprese-consigli-su-chi-prendere.shtml" TargetMode="External"/><Relationship Id="rId1007" Type="http://schemas.openxmlformats.org/officeDocument/2006/relationships/hyperlink" Target="https://www.gazzetta.it/calcio/giocatori/vasilije-adzic/585201/" TargetMode="External"/><Relationship Id="rId1008" Type="http://schemas.openxmlformats.org/officeDocument/2006/relationships/hyperlink" Target="https://www.fantacalcio.it/serie-a/squadre/sassuolo/adzic/6677/2026-27/italia" TargetMode="External"/><Relationship Id="rId1009" Type="http://schemas.openxmlformats.org/officeDocument/2006/relationships/hyperlink" Target="https://www.gazzetta.it/calcio/fantanews/04-08-2026/sassuolo-fantacalcio-2026-27-titolari-rigorista-sorprese-consigli-su-chi-prendere.shtml" TargetMode="External"/><Relationship Id="rId1010" Type="http://schemas.openxmlformats.org/officeDocument/2006/relationships/hyperlink" Target="https://www.gazzetta.it/calcio/giocatori/ivan-ilic/430848/" TargetMode="External"/><Relationship Id="rId1011" Type="http://schemas.openxmlformats.org/officeDocument/2006/relationships/hyperlink" Target="https://www.fantacalcio.it/serie-a/squadre/lecce/ilic/5007/2026-27/italia" TargetMode="External"/><Relationship Id="rId1012" Type="http://schemas.openxmlformats.org/officeDocument/2006/relationships/hyperlink" Target="https://www.gazzetta.it/calcio/fantanews/04-08-2026/lecce-fantacalcio-2026-27-titolari-rigorista-sorprese-consigli-su-chi-prendere.shtml" TargetMode="External"/><Relationship Id="rId1013" Type="http://schemas.openxmlformats.org/officeDocument/2006/relationships/hyperlink" Target="https://www.gazzetta.it/calcio/giocatori/patrizio-masini/588118/" TargetMode="External"/><Relationship Id="rId1014" Type="http://schemas.openxmlformats.org/officeDocument/2006/relationships/hyperlink" Target="https://www.fantacalcio.it/serie-a/squadre/frosinone/masini/6917/2026-27/italia" TargetMode="External"/><Relationship Id="rId1015" Type="http://schemas.openxmlformats.org/officeDocument/2006/relationships/hyperlink" Target="https://www.gazzetta.it/calcio/fantanews/02-08-2026/frosinone-al-fantacalcio-2026-27-titolari-rigorista-sorprese-e-consigli-su-chi-prendere.shtml" TargetMode="External"/><Relationship Id="rId1016" Type="http://schemas.openxmlformats.org/officeDocument/2006/relationships/hyperlink" Target="https://www.fantacalcio.it/serie-a/squadre/genoa/sow/5946/2026-27/italia" TargetMode="External"/><Relationship Id="rId1017" Type="http://schemas.openxmlformats.org/officeDocument/2006/relationships/hyperlink" Target="https://www.gazzetta.it/calcio/fantanews/04-08-2026/genoa-al-fantacalcio-2026-27-titolari-rigorista-sorprese-consigli-su-chi-prendere.shtml" TargetMode="External"/><Relationship Id="rId1018" Type="http://schemas.openxmlformats.org/officeDocument/2006/relationships/hyperlink" Target="https://www.gazzetta.it/calcio/giocatori/edon-zhegrova/431128/" TargetMode="External"/><Relationship Id="rId1019" Type="http://schemas.openxmlformats.org/officeDocument/2006/relationships/hyperlink" Target="https://www.fantacalcio.it/serie-a/squadre/juventus/zhegrova/5761/2026-27/italia" TargetMode="External"/><Relationship Id="rId1020" Type="http://schemas.openxmlformats.org/officeDocument/2006/relationships/hyperlink" Target="https://www.gazzetta.it/calcio/fantanews/03-08-2026/juve-al-fantacalcio-2026-27-titolari-rigorista-sorprese-consigli-su-chi-prendere.shtml" TargetMode="External"/><Relationship Id="rId1021" Type="http://schemas.openxmlformats.org/officeDocument/2006/relationships/hyperlink" Target="https://www.fantacalcio.it/serie-a/squadre/frosinone/grillitsch/7550/2026-27/italia" TargetMode="External"/><Relationship Id="rId1022" Type="http://schemas.openxmlformats.org/officeDocument/2006/relationships/hyperlink" Target="https://www.gazzetta.it/calcio/fantanews/02-08-2026/frosinone-al-fantacalcio-2026-27-titolari-rigorista-sorprese-e-consigli-su-chi-prendere.shtml" TargetMode="External"/><Relationship Id="rId1023" Type="http://schemas.openxmlformats.org/officeDocument/2006/relationships/hyperlink" Target="https://www.fantacalcio.it/serie-a/squadre/inter/stankovic-a/6503/2026-27/italia" TargetMode="External"/><Relationship Id="rId1024" Type="http://schemas.openxmlformats.org/officeDocument/2006/relationships/hyperlink" Target="https://www.gazzetta.it/calcio/fantanews/05-08-2026/inter-al-fantacalcio-2026-27-titolari-rigorista-sorprese-consigli-su-chi-prendere.shtml" TargetMode="External"/><Relationship Id="rId1025" Type="http://schemas.openxmlformats.org/officeDocument/2006/relationships/hyperlink" Target="https://www.gazzetta.it/calcio/giocatori/emirhan-ilkhan/551286/" TargetMode="External"/><Relationship Id="rId1026" Type="http://schemas.openxmlformats.org/officeDocument/2006/relationships/hyperlink" Target="https://www.fantacalcio.it/serie-a/squadre/torino/ilkhan/6005/2026-27/italia" TargetMode="External"/><Relationship Id="rId1027" Type="http://schemas.openxmlformats.org/officeDocument/2006/relationships/hyperlink" Target="https://www.gazzetta.it/calcio/fantanews/03-08-2026/torino-fantacalcio-2026-27-titolari-rigorista-sorprese-consigli-su-chi-prendere.shtml" TargetMode="External"/><Relationship Id="rId1028" Type="http://schemas.openxmlformats.org/officeDocument/2006/relationships/hyperlink" Target="https://www.gazzetta.it/calcio/giocatori/simon-sohm/449790/" TargetMode="External"/><Relationship Id="rId1029" Type="http://schemas.openxmlformats.org/officeDocument/2006/relationships/hyperlink" Target="https://www.fantacalcio.it/serie-a/squadre/venezia/sohm/5319/2026-27/italia" TargetMode="External"/><Relationship Id="rId1030" Type="http://schemas.openxmlformats.org/officeDocument/2006/relationships/hyperlink" Target="https://www.gazzetta.it/calcio/fantanews/04-08-2026/venezia-al-fantacalcio-2026-27-titolari-rigorista-sorprese-consigli-su-chi-prendere.shtml" TargetMode="External"/><Relationship Id="rId1031" Type="http://schemas.openxmlformats.org/officeDocument/2006/relationships/hyperlink" Target="https://www.fantacalcio.it/serie-a/squadre/torino/fitz-jim/7535/2026-27/italia" TargetMode="External"/><Relationship Id="rId1032" Type="http://schemas.openxmlformats.org/officeDocument/2006/relationships/hyperlink" Target="https://www.gazzetta.it/calcio/fantanews/03-08-2026/torino-fantacalcio-2026-27-titolari-rigorista-sorprese-consigli-su-chi-prendere.shtml" TargetMode="External"/><Relationship Id="rId1033" Type="http://schemas.openxmlformats.org/officeDocument/2006/relationships/hyperlink" Target="https://www.fantacalcio.it/serie-a/squadre/monza/pessina/2741/2026-27/italia" TargetMode="External"/><Relationship Id="rId1034" Type="http://schemas.openxmlformats.org/officeDocument/2006/relationships/hyperlink" Target="https://www.gazzetta.it/calcio/fantanews/05-08-2026/monza-al-fantacalcio-2026-27-titolari-rigorista-sorprese-consigli-su-chi-prendere.shtml" TargetMode="External"/><Relationship Id="rId1035" Type="http://schemas.openxmlformats.org/officeDocument/2006/relationships/hyperlink" Target="https://www.gazzetta.it/calcio/giocatori/christian-ordonez/575886/" TargetMode="External"/><Relationship Id="rId1036" Type="http://schemas.openxmlformats.org/officeDocument/2006/relationships/hyperlink" Target="https://www.fantacalcio.it/serie-a/squadre/parma/ordonez-c/7138/2026-27/italia" TargetMode="External"/><Relationship Id="rId1037" Type="http://schemas.openxmlformats.org/officeDocument/2006/relationships/hyperlink" Target="https://www.gazzetta.it/calcio/fantanews/03-08-2026/parma-al-fantacalcio-2026-27-titolari-rigorista-sorprese-consigli-su-chi-prendere.shtml" TargetMode="External"/><Relationship Id="rId1038" Type="http://schemas.openxmlformats.org/officeDocument/2006/relationships/hyperlink" Target="https://www.gazzetta.it/calcio/giocatori/gaetano-oristanio/465628/" TargetMode="External"/><Relationship Id="rId1039" Type="http://schemas.openxmlformats.org/officeDocument/2006/relationships/hyperlink" Target="https://www.fantacalcio.it/serie-a/squadre/torino/oristanio/6218/2026-27/italia" TargetMode="External"/><Relationship Id="rId1040" Type="http://schemas.openxmlformats.org/officeDocument/2006/relationships/hyperlink" Target="https://www.gazzetta.it/calcio/fantanews/03-08-2026/torino-fantacalcio-2026-27-titolari-rigorista-sorprese-consigli-su-chi-prendere.shtml" TargetMode="External"/><Relationship Id="rId1041" Type="http://schemas.openxmlformats.org/officeDocument/2006/relationships/hyperlink" Target="https://www.gazzetta.it/calcio/giocatori/yunus-musah/244847/" TargetMode="External"/><Relationship Id="rId1042" Type="http://schemas.openxmlformats.org/officeDocument/2006/relationships/hyperlink" Target="https://www.fantacalcio.it/serie-a/squadre/milan/musah/5295/2026-27/italia" TargetMode="External"/><Relationship Id="rId1043" Type="http://schemas.openxmlformats.org/officeDocument/2006/relationships/hyperlink" Target="https://www.gazzetta.it/calcio/fantanews/02-08-2026/milan-al-fantacalcio-2026-27-titolari-rigorista-sorprese-e-consigli-su-chi-prendere.shtml" TargetMode="External"/><Relationship Id="rId1044" Type="http://schemas.openxmlformats.org/officeDocument/2006/relationships/hyperlink" Target="https://www.gazzetta.it/calcio/giocatori/darryl-bakola/634416/" TargetMode="External"/><Relationship Id="rId1045" Type="http://schemas.openxmlformats.org/officeDocument/2006/relationships/hyperlink" Target="https://www.fantacalcio.it/serie-a/squadre/sassuolo/bakola/7036/2026-27/italia" TargetMode="External"/><Relationship Id="rId1046" Type="http://schemas.openxmlformats.org/officeDocument/2006/relationships/hyperlink" Target="https://www.gazzetta.it/calcio/fantanews/04-08-2026/sassuolo-fantacalcio-2026-27-titolari-rigorista-sorprese-consigli-su-chi-prendere.shtml" TargetMode="External"/><Relationship Id="rId1047" Type="http://schemas.openxmlformats.org/officeDocument/2006/relationships/hyperlink" Target="https://www.gazzetta.it/calcio/giocatori/luca-lipani/578990/" TargetMode="External"/><Relationship Id="rId1048" Type="http://schemas.openxmlformats.org/officeDocument/2006/relationships/hyperlink" Target="https://www.fantacalcio.it/serie-a/squadre/sassuolo/lipani/6246/2026-27/italia" TargetMode="External"/><Relationship Id="rId1049" Type="http://schemas.openxmlformats.org/officeDocument/2006/relationships/hyperlink" Target="https://www.gazzetta.it/calcio/fantanews/04-08-2026/sassuolo-fantacalcio-2026-27-titolari-rigorista-sorprese-consigli-su-chi-prendere.shtml" TargetMode="External"/><Relationship Id="rId1050" Type="http://schemas.openxmlformats.org/officeDocument/2006/relationships/hyperlink" Target="https://www.gazzetta.it/calcio/giocatori/fisayo-dele-bashiru/215814/" TargetMode="External"/><Relationship Id="rId1051" Type="http://schemas.openxmlformats.org/officeDocument/2006/relationships/hyperlink" Target="https://www.fantacalcio.it/serie-a/squadre/lazio/dele-bashiru/6629/2026-27/italia" TargetMode="External"/><Relationship Id="rId1052" Type="http://schemas.openxmlformats.org/officeDocument/2006/relationships/hyperlink" Target="https://www.gazzetta.it/calcio/fantanews/02-08-2026/lazio-al-fantacalcio-2026-27-titolari-rigorista-sorprese-e-consigli-su-chi-prendere.shtml" TargetMode="External"/><Relationship Id="rId1053" Type="http://schemas.openxmlformats.org/officeDocument/2006/relationships/hyperlink" Target="https://www.gazzetta.it/calcio/giocatori/reda-belahyane/585579/" TargetMode="External"/><Relationship Id="rId1054" Type="http://schemas.openxmlformats.org/officeDocument/2006/relationships/hyperlink" Target="https://www.fantacalcio.it/serie-a/squadre/lazio/belahyane/6191/2026-27/italia" TargetMode="External"/><Relationship Id="rId1055" Type="http://schemas.openxmlformats.org/officeDocument/2006/relationships/hyperlink" Target="https://www.gazzetta.it/calcio/fantanews/02-08-2026/lazio-al-fantacalcio-2026-27-titolari-rigorista-sorprese-e-consigli-su-chi-prendere.shtml" TargetMode="External"/><Relationship Id="rId1056" Type="http://schemas.openxmlformats.org/officeDocument/2006/relationships/hyperlink" Target="https://www.gazzetta.it/calcio/giocatori/ebenezer-akinsanmiro/621432/" TargetMode="External"/><Relationship Id="rId1057" Type="http://schemas.openxmlformats.org/officeDocument/2006/relationships/hyperlink" Target="https://www.fantacalcio.it/serie-a/squadre/monza/akinsanmiro/6593/2026-27/italia" TargetMode="External"/><Relationship Id="rId1058" Type="http://schemas.openxmlformats.org/officeDocument/2006/relationships/hyperlink" Target="https://www.gazzetta.it/calcio/fantanews/05-08-2026/monza-al-fantacalcio-2026-27-titolari-rigorista-sorprese-consigli-su-chi-prendere.shtml" TargetMode="External"/><Relationship Id="rId1059" Type="http://schemas.openxmlformats.org/officeDocument/2006/relationships/hyperlink" Target="https://www.fantacalcio.it/serie-a/squadre/frosinone/cichella/7473/2026-27/italia" TargetMode="External"/><Relationship Id="rId1060" Type="http://schemas.openxmlformats.org/officeDocument/2006/relationships/hyperlink" Target="https://www.gazzetta.it/calcio/fantanews/02-08-2026/frosinone-al-fantacalcio-2026-27-titolari-rigorista-sorprese-e-consigli-su-chi-prendere.shtml" TargetMode="External"/><Relationship Id="rId1061" Type="http://schemas.openxmlformats.org/officeDocument/2006/relationships/hyperlink" Target="https://www.gazzetta.it/calcio/giocatori/alessandro-deiola/162330/" TargetMode="External"/><Relationship Id="rId1062" Type="http://schemas.openxmlformats.org/officeDocument/2006/relationships/hyperlink" Target="https://www.fantacalcio.it/serie-a/squadre/cagliari/deiola/1871/2026-27/italia" TargetMode="External"/><Relationship Id="rId1063" Type="http://schemas.openxmlformats.org/officeDocument/2006/relationships/hyperlink" Target="https://www.gazzetta.it/calcio/fantanews/04-08-2026/cagliari-fantacalcio-2026-27-titolari-rigorista-sorprese-consigli-su-chi-prendere.shtml" TargetMode="External"/><Relationship Id="rId1064" Type="http://schemas.openxmlformats.org/officeDocument/2006/relationships/hyperlink" Target="https://www.gazzetta.it/calcio/giocatori/oumar-ngom/566980/" TargetMode="External"/><Relationship Id="rId1065" Type="http://schemas.openxmlformats.org/officeDocument/2006/relationships/hyperlink" Target="https://www.fantacalcio.it/serie-a/squadre/lecce/ngom/7322/2026-27/italia" TargetMode="External"/><Relationship Id="rId1066" Type="http://schemas.openxmlformats.org/officeDocument/2006/relationships/hyperlink" Target="https://www.gazzetta.it/calcio/fantanews/04-08-2026/lecce-fantacalcio-2026-27-titolari-rigorista-sorprese-consigli-su-chi-prendere.shtml" TargetMode="External"/><Relationship Id="rId1067" Type="http://schemas.openxmlformats.org/officeDocument/2006/relationships/hyperlink" Target="https://www.gazzetta.it/calcio/giocatori/hans-nicolussi-caviglia/437784/" TargetMode="External"/><Relationship Id="rId1068" Type="http://schemas.openxmlformats.org/officeDocument/2006/relationships/hyperlink" Target="https://www.fantacalcio.it/serie-a/squadre/parma/nicolussi-caviglia/4349/2026-27/italia" TargetMode="External"/><Relationship Id="rId1069" Type="http://schemas.openxmlformats.org/officeDocument/2006/relationships/hyperlink" Target="https://www.gazzetta.it/calcio/fantanews/03-08-2026/parma-al-fantacalcio-2026-27-titolari-rigorista-sorprese-consigli-su-chi-prendere.shtml" TargetMode="External"/><Relationship Id="rId1070" Type="http://schemas.openxmlformats.org/officeDocument/2006/relationships/hyperlink" Target="https://www.gazzetta.it/calcio/giocatori/idrissa-toure/224336/" TargetMode="External"/><Relationship Id="rId1071" Type="http://schemas.openxmlformats.org/officeDocument/2006/relationships/hyperlink" Target="https://www.fantacalcio.it/serie-a/squadre/monza/tour%C3%A8-i/7146/2026-27/italia" TargetMode="External"/><Relationship Id="rId1072" Type="http://schemas.openxmlformats.org/officeDocument/2006/relationships/hyperlink" Target="https://www.gazzetta.it/calcio/fantanews/05-08-2026/monza-al-fantacalcio-2026-27-titolari-rigorista-sorprese-consigli-su-chi-prendere.shtml" TargetMode="External"/><Relationship Id="rId1073" Type="http://schemas.openxmlformats.org/officeDocument/2006/relationships/hyperlink" Target="https://www.fantacalcio.it/serie-a/squadre/genoa/meichtry/7409/2026-27/italia" TargetMode="External"/><Relationship Id="rId1074" Type="http://schemas.openxmlformats.org/officeDocument/2006/relationships/hyperlink" Target="https://www.gazzetta.it/calcio/fantanews/04-08-2026/genoa-al-fantacalcio-2026-27-titolari-rigorista-sorprese-consigli-su-chi-prendere.shtml" TargetMode="External"/><Relationship Id="rId1075" Type="http://schemas.openxmlformats.org/officeDocument/2006/relationships/hyperlink" Target="https://www.fantacalcio.it/serie-a/squadre/genoa/traor%C3%A8-hj/2857/2026-27/italia" TargetMode="External"/><Relationship Id="rId1076" Type="http://schemas.openxmlformats.org/officeDocument/2006/relationships/hyperlink" Target="https://www.gazzetta.it/calcio/fantanews/04-08-2026/genoa-al-fantacalcio-2026-27-titolari-rigorista-sorprese-consigli-su-chi-prendere.shtml" TargetMode="External"/><Relationship Id="rId1077" Type="http://schemas.openxmlformats.org/officeDocument/2006/relationships/hyperlink" Target="https://www.gazzetta.it/calcio/giocatori/oier-zarraga/245018/" TargetMode="External"/><Relationship Id="rId1078" Type="http://schemas.openxmlformats.org/officeDocument/2006/relationships/hyperlink" Target="https://www.fantacalcio.it/serie-a/squadre/udinese/zarraga/6212/2026-27/italia" TargetMode="External"/><Relationship Id="rId1079" Type="http://schemas.openxmlformats.org/officeDocument/2006/relationships/hyperlink" Target="https://www.gazzetta.it/calcio/fantanews/03-08-2026/udinese-fantacalcio-2026-27-titolari-rigorista-sorprese-consigli-su-chi-prendere.shtml" TargetMode="External"/><Relationship Id="rId1080" Type="http://schemas.openxmlformats.org/officeDocument/2006/relationships/hyperlink" Target="https://www.gazzetta.it/calcio/giocatori/riccardo-sottil/235454/" TargetMode="External"/><Relationship Id="rId1081" Type="http://schemas.openxmlformats.org/officeDocument/2006/relationships/hyperlink" Target="https://www.fantacalcio.it/serie-a/squadre/cagliari/ciervo/5462/2026-27/italia" TargetMode="External"/><Relationship Id="rId1082" Type="http://schemas.openxmlformats.org/officeDocument/2006/relationships/hyperlink" Target="https://www.gazzetta.it/calcio/fantanews/04-08-2026/cagliari-fantacalcio-2026-27-titolari-rigorista-sorprese-consigli-su-chi-prendere.shtml" TargetMode="External"/><Relationship Id="rId1083" Type="http://schemas.openxmlformats.org/officeDocument/2006/relationships/hyperlink" Target="https://www.fantacalcio.it/serie-a/squadre/venezia/fernandez-t/7232/2026-27/italia" TargetMode="External"/><Relationship Id="rId1084" Type="http://schemas.openxmlformats.org/officeDocument/2006/relationships/hyperlink" Target="https://www.gazzetta.it/calcio/fantanews/04-08-2026/venezia-al-fantacalcio-2026-27-titolari-rigorista-sorprese-consigli-su-chi-prendere.shtml" TargetMode="External"/><Relationship Id="rId1085" Type="http://schemas.openxmlformats.org/officeDocument/2006/relationships/hyperlink" Target="https://www.gazzetta.it/calcio/giocatori/ibrahim-sulemana/588753/" TargetMode="External"/><Relationship Id="rId1086" Type="http://schemas.openxmlformats.org/officeDocument/2006/relationships/hyperlink" Target="https://www.fantacalcio.it/serie-a/squadre/sassuolo/sulemana-i/6024/2026-27/italia" TargetMode="External"/><Relationship Id="rId1087" Type="http://schemas.openxmlformats.org/officeDocument/2006/relationships/hyperlink" Target="https://www.gazzetta.it/calcio/fantanews/04-08-2026/sassuolo-fantacalcio-2026-27-titolari-rigorista-sorprese-consigli-su-chi-prendere.shtml" TargetMode="External"/><Relationship Id="rId1088" Type="http://schemas.openxmlformats.org/officeDocument/2006/relationships/hyperlink" Target="https://www.gazzetta.it/calcio/giocatori/lorenzo-venturino/606418/" TargetMode="External"/><Relationship Id="rId1089" Type="http://schemas.openxmlformats.org/officeDocument/2006/relationships/hyperlink" Target="https://www.fantacalcio.it/serie-a/squadre/genoa/venturino/6980/2026-27/italia" TargetMode="External"/><Relationship Id="rId1090" Type="http://schemas.openxmlformats.org/officeDocument/2006/relationships/hyperlink" Target="https://www.gazzetta.it/calcio/fantanews/04-08-2026/genoa-al-fantacalcio-2026-27-titolari-rigorista-sorprese-consigli-su-chi-prendere.shtml" TargetMode="External"/><Relationship Id="rId1091" Type="http://schemas.openxmlformats.org/officeDocument/2006/relationships/hyperlink" Target="https://www.gazzetta.it/calcio/giocatori/youssef-maleh/232066/" TargetMode="External"/><Relationship Id="rId1092" Type="http://schemas.openxmlformats.org/officeDocument/2006/relationships/hyperlink" Target="https://www.fantacalcio.it/serie-a/squadre/lecce/maleh/5457/2026-27/italia" TargetMode="External"/><Relationship Id="rId1093" Type="http://schemas.openxmlformats.org/officeDocument/2006/relationships/hyperlink" Target="https://www.gazzetta.it/calcio/fantanews/04-08-2026/lecce-fantacalcio-2026-27-titolari-rigorista-sorprese-consigli-su-chi-prendere.shtml" TargetMode="External"/><Relationship Id="rId1094" Type="http://schemas.openxmlformats.org/officeDocument/2006/relationships/hyperlink" Target="https://www.gazzetta.it/calcio/giocatori/stephan-el-shaarawy/58928/" TargetMode="External"/><Relationship Id="rId1095" Type="http://schemas.openxmlformats.org/officeDocument/2006/relationships/hyperlink" Target="https://www.fantacalcio.it/serie-a/squadre/genoa/el-shaarawy/795/2026-27/italia" TargetMode="External"/><Relationship Id="rId1096" Type="http://schemas.openxmlformats.org/officeDocument/2006/relationships/hyperlink" Target="https://www.gazzetta.it/calcio/fantanews/04-08-2026/genoa-al-fantacalcio-2026-27-titolari-rigorista-sorprese-consigli-su-chi-prendere.shtml" TargetMode="External"/><Relationship Id="rId1097" Type="http://schemas.openxmlformats.org/officeDocument/2006/relationships/hyperlink" Target="https://www.gazzetta.it/calcio/giocatori/alex-amorim/610163/" TargetMode="External"/><Relationship Id="rId1098" Type="http://schemas.openxmlformats.org/officeDocument/2006/relationships/hyperlink" Target="https://www.fantacalcio.it/serie-a/squadre/genoa/amorim/7341/2026-27/italia" TargetMode="External"/><Relationship Id="rId1099" Type="http://schemas.openxmlformats.org/officeDocument/2006/relationships/hyperlink" Target="https://www.gazzetta.it/calcio/fantanews/04-08-2026/genoa-al-fantacalcio-2026-27-titolari-rigorista-sorprese-consigli-su-chi-prendere.shtml" TargetMode="External"/><Relationship Id="rId1100" Type="http://schemas.openxmlformats.org/officeDocument/2006/relationships/hyperlink" Target="https://www.gazzetta.it/calcio/giocatori/warren-bondo/511368/" TargetMode="External"/><Relationship Id="rId1101" Type="http://schemas.openxmlformats.org/officeDocument/2006/relationships/hyperlink" Target="https://www.fantacalcio.it/serie-a/squadre/frosinone/hasa/6903/2026-27/italia" TargetMode="External"/><Relationship Id="rId1102" Type="http://schemas.openxmlformats.org/officeDocument/2006/relationships/hyperlink" Target="https://www.gazzetta.it/calcio/fantanews/02-08-2026/frosinone-al-fantacalcio-2026-27-titolari-rigorista-sorprese-e-consigli-su-chi-prendere.shtml" TargetMode="External"/><Relationship Id="rId1103" Type="http://schemas.openxmlformats.org/officeDocument/2006/relationships/hyperlink" Target="https://www.fantacalcio.it/serie-a/squadre/bologna/amondarain/7528/2026-27/italia" TargetMode="External"/><Relationship Id="rId1104" Type="http://schemas.openxmlformats.org/officeDocument/2006/relationships/hyperlink" Target="https://www.gazzetta.it/calcio/fantanews/03-08-2026/bologna-fantacalcio-2026-27-titolari-rigorista-sorprese-consigli-su-chi-prendere.shtml" TargetMode="External"/><Relationship Id="rId1105" Type="http://schemas.openxmlformats.org/officeDocument/2006/relationships/hyperlink" Target="https://www.gazzetta.it/calcio/giocatori/benjamin-cremaschi/541690/" TargetMode="External"/><Relationship Id="rId1106" Type="http://schemas.openxmlformats.org/officeDocument/2006/relationships/hyperlink" Target="https://www.fantacalcio.it/serie-a/squadre/parma/cremaschi/7276/2026-27/italia" TargetMode="External"/><Relationship Id="rId1107" Type="http://schemas.openxmlformats.org/officeDocument/2006/relationships/hyperlink" Target="https://www.gazzetta.it/calcio/fantanews/03-08-2026/parma-al-fantacalcio-2026-27-titolari-rigorista-sorprese-consigli-su-chi-prendere.shtml" TargetMode="External"/><Relationship Id="rId1108" Type="http://schemas.openxmlformats.org/officeDocument/2006/relationships/hyperlink" Target="https://www.gazzetta.it/calcio/giocatori/roberto-gagliardini/171152/" TargetMode="External"/><Relationship Id="rId1109" Type="http://schemas.openxmlformats.org/officeDocument/2006/relationships/hyperlink" Target="https://www.fantacalcio.it/serie-a/squadre/cagliari/gagliardini/801/2026-27/italia" TargetMode="External"/><Relationship Id="rId1110" Type="http://schemas.openxmlformats.org/officeDocument/2006/relationships/hyperlink" Target="https://www.gazzetta.it/calcio/fantanews/04-08-2026/cagliari-fantacalcio-2026-27-titolari-rigorista-sorprese-consigli-su-chi-prendere.shtml" TargetMode="External"/><Relationship Id="rId1111" Type="http://schemas.openxmlformats.org/officeDocument/2006/relationships/hyperlink" Target="https://www.gazzetta.it/calcio/giocatori/tino-anjorin/223332/" TargetMode="External"/><Relationship Id="rId1112" Type="http://schemas.openxmlformats.org/officeDocument/2006/relationships/hyperlink" Target="https://www.fantacalcio.it/serie-a/squadre/torino/anjorin/6889/2026-27/italia" TargetMode="External"/><Relationship Id="rId1113" Type="http://schemas.openxmlformats.org/officeDocument/2006/relationships/hyperlink" Target="https://www.gazzetta.it/calcio/fantanews/03-08-2026/torino-fantacalcio-2026-27-titolari-rigorista-sorprese-consigli-su-chi-prendere.shtml" TargetMode="External"/><Relationship Id="rId1114" Type="http://schemas.openxmlformats.org/officeDocument/2006/relationships/hyperlink" Target="https://www.fantacalcio.it/serie-a/squadre/udinese/chakvetadze/7418/2026-27/italia" TargetMode="External"/><Relationship Id="rId1115" Type="http://schemas.openxmlformats.org/officeDocument/2006/relationships/hyperlink" Target="https://www.gazzetta.it/calcio/fantanews/03-08-2026/udinese-fantacalcio-2026-27-titolari-rigorista-sorprese-consigli-su-chi-prendere.shtml" TargetMode="External"/><Relationship Id="rId1116" Type="http://schemas.openxmlformats.org/officeDocument/2006/relationships/hyperlink" Target="https://www.fantacalcio.it/serie-a/squadre/monza/colombo-l/7477/2026-27/italia" TargetMode="External"/><Relationship Id="rId1117" Type="http://schemas.openxmlformats.org/officeDocument/2006/relationships/hyperlink" Target="https://www.gazzetta.it/calcio/fantanews/05-08-2026/monza-al-fantacalcio-2026-27-titolari-rigorista-sorprese-consigli-su-chi-prendere.shtml" TargetMode="External"/><Relationship Id="rId1118" Type="http://schemas.openxmlformats.org/officeDocument/2006/relationships/hyperlink" Target="https://www.gazzetta.it/calcio/giocatori/sandi-lovric/191794/" TargetMode="External"/><Relationship Id="rId1119" Type="http://schemas.openxmlformats.org/officeDocument/2006/relationships/hyperlink" Target="https://www.gazzetta.it/calcio/giocatori/thorir-helgason/449122/" TargetMode="External"/><Relationship Id="rId1120" Type="http://schemas.openxmlformats.org/officeDocument/2006/relationships/hyperlink" Target="https://www.fantacalcio.it/serie-a/squadre/venezia/helgason/5872/2026-27/italia" TargetMode="External"/><Relationship Id="rId1121" Type="http://schemas.openxmlformats.org/officeDocument/2006/relationships/hyperlink" Target="https://www.gazzetta.it/calcio/fantanews/04-08-2026/venezia-al-fantacalcio-2026-27-titolari-rigorista-sorprese-consigli-su-chi-prendere.shtml" TargetMode="External"/><Relationship Id="rId1122" Type="http://schemas.openxmlformats.org/officeDocument/2006/relationships/hyperlink" Target="https://www.gazzetta.it/calcio/giocatori/billy-gilmour/243568/" TargetMode="External"/><Relationship Id="rId1123" Type="http://schemas.openxmlformats.org/officeDocument/2006/relationships/hyperlink" Target="https://www.fantacalcio.it/serie-a/squadre/napoli/gilmour/5131/2026-27/italia" TargetMode="External"/><Relationship Id="rId1124" Type="http://schemas.openxmlformats.org/officeDocument/2006/relationships/hyperlink" Target="https://www.gazzetta.it/calcio/fantanews/02-08-2026/napoli-fantacalcio-2026-27-titolari-rigorista-sorprese-consigli-su-chi-prendere.shtml" TargetMode="External"/><Relationship Id="rId1125" Type="http://schemas.openxmlformats.org/officeDocument/2006/relationships/hyperlink" Target="https://www.gazzetta.it/calcio/giocatori/alphadjo-cisse/578315/" TargetMode="External"/><Relationship Id="rId1126" Type="http://schemas.openxmlformats.org/officeDocument/2006/relationships/hyperlink" Target="https://www.fantacalcio.it/serie-a/squadre/milan/ciss%C3%A8-a/6618/2026-27/italia" TargetMode="External"/><Relationship Id="rId1127" Type="http://schemas.openxmlformats.org/officeDocument/2006/relationships/hyperlink" Target="https://www.gazzetta.it/calcio/fantanews/02-08-2026/milan-al-fantacalcio-2026-27-titolari-rigorista-sorprese-e-consigli-su-chi-prendere.shtml" TargetMode="External"/><Relationship Id="rId1128" Type="http://schemas.openxmlformats.org/officeDocument/2006/relationships/hyperlink" Target="https://www.fantacalcio.it/serie-a/squadre/venezia/duncan/526/2026-27/italia" TargetMode="External"/><Relationship Id="rId1129" Type="http://schemas.openxmlformats.org/officeDocument/2006/relationships/hyperlink" Target="https://www.gazzetta.it/calcio/fantanews/04-08-2026/venezia-al-fantacalcio-2026-27-titolari-rigorista-sorprese-consigli-su-chi-prendere.shtml" TargetMode="External"/><Relationship Id="rId1130" Type="http://schemas.openxmlformats.org/officeDocument/2006/relationships/hyperlink" Target="https://www.fantacalcio.it/serie-a/squadre/frosinone/gelli-f/6241/2026-27/italia" TargetMode="External"/><Relationship Id="rId1131" Type="http://schemas.openxmlformats.org/officeDocument/2006/relationships/hyperlink" Target="https://www.gazzetta.it/calcio/fantanews/02-08-2026/frosinone-al-fantacalcio-2026-27-titolari-rigorista-sorprese-e-consigli-su-chi-prendere.shtml" TargetMode="External"/><Relationship Id="rId1132" Type="http://schemas.openxmlformats.org/officeDocument/2006/relationships/hyperlink" Target="https://www.fantacalcio.it/serie-a/squadre/frosinone/kone-b/5725/2026-27/italia" TargetMode="External"/><Relationship Id="rId1133" Type="http://schemas.openxmlformats.org/officeDocument/2006/relationships/hyperlink" Target="https://www.gazzetta.it/calcio/fantanews/02-08-2026/frosinone-al-fantacalcio-2026-27-titolari-rigorista-sorprese-e-consigli-su-chi-prendere.shtml" TargetMode="External"/><Relationship Id="rId1134" Type="http://schemas.openxmlformats.org/officeDocument/2006/relationships/hyperlink" Target="https://www.gazzetta.it/calcio/giocatori/olaf-gorter/551214/" TargetMode="External"/><Relationship Id="rId1135" Type="http://schemas.openxmlformats.org/officeDocument/2006/relationships/hyperlink" Target="https://www.fantacalcio.it/serie-a/squadre/lecce/gorter/7248/2026-27/italia" TargetMode="External"/><Relationship Id="rId1136" Type="http://schemas.openxmlformats.org/officeDocument/2006/relationships/hyperlink" Target="https://www.gazzetta.it/calcio/fantanews/04-08-2026/lecce-fantacalcio-2026-27-titolari-rigorista-sorprese-consigli-su-chi-prendere.shtml" TargetMode="External"/><Relationship Id="rId1137" Type="http://schemas.openxmlformats.org/officeDocument/2006/relationships/hyperlink" Target="https://www.fantacalcio.it/serie-a/squadre/udinese/jovanovic/7092/2026-27/italia" TargetMode="External"/><Relationship Id="rId1138" Type="http://schemas.openxmlformats.org/officeDocument/2006/relationships/hyperlink" Target="https://www.gazzetta.it/calcio/fantanews/03-08-2026/udinese-fantacalcio-2026-27-titolari-rigorista-sorprese-consigli-su-chi-prendere.shtml" TargetMode="External"/><Relationship Id="rId1139" Type="http://schemas.openxmlformats.org/officeDocument/2006/relationships/hyperlink" Target="https://www.fantacalcio.it/serie-a/squadre/torino/cacciamani/7060/2026-27/italia" TargetMode="External"/><Relationship Id="rId1140" Type="http://schemas.openxmlformats.org/officeDocument/2006/relationships/hyperlink" Target="https://www.gazzetta.it/calcio/fantanews/03-08-2026/torino-fantacalcio-2026-27-titolari-rigorista-sorprese-consigli-su-chi-prendere.shtml" TargetMode="External"/><Relationship Id="rId1141" Type="http://schemas.openxmlformats.org/officeDocument/2006/relationships/hyperlink" Target="https://www.fantacalcio.it/serie-a/squadre/monza/ciurria/5880/2026-27/italia" TargetMode="External"/><Relationship Id="rId1142" Type="http://schemas.openxmlformats.org/officeDocument/2006/relationships/hyperlink" Target="https://www.gazzetta.it/calcio/fantanews/05-08-2026/monza-al-fantacalcio-2026-27-titolari-rigorista-sorprese-consigli-su-chi-prendere.shtml" TargetMode="External"/><Relationship Id="rId1143" Type="http://schemas.openxmlformats.org/officeDocument/2006/relationships/hyperlink" Target="https://www.gazzetta.it/calcio/giocatori/mohamed-kaba/545711/" TargetMode="External"/><Relationship Id="rId1144" Type="http://schemas.openxmlformats.org/officeDocument/2006/relationships/hyperlink" Target="https://www.fantacalcio.it/serie-a/squadre/lecce/kaba/6410/2026-27/italia" TargetMode="External"/><Relationship Id="rId1145" Type="http://schemas.openxmlformats.org/officeDocument/2006/relationships/hyperlink" Target="https://www.gazzetta.it/calcio/fantanews/04-08-2026/lecce-fantacalcio-2026-27-titolari-rigorista-sorprese-consigli-su-chi-prendere.shtml" TargetMode="External"/><Relationship Id="rId1146" Type="http://schemas.openxmlformats.org/officeDocument/2006/relationships/hyperlink" Target="https://www.fantacalcio.it/serie-a/squadre/monza/foe-ondoa/7574/2026-27/italia" TargetMode="External"/><Relationship Id="rId1147" Type="http://schemas.openxmlformats.org/officeDocument/2006/relationships/hyperlink" Target="https://www.gazzetta.it/calcio/fantanews/05-08-2026/monza-al-fantacalcio-2026-27-titolari-rigorista-sorprese-consigli-su-chi-prendere.shtml" TargetMode="External"/><Relationship Id="rId1148" Type="http://schemas.openxmlformats.org/officeDocument/2006/relationships/hyperlink" Target="https://www.fantacalcio.it/serie-a/squadre/venezia/dagasso/7481/2026-27/italia" TargetMode="External"/><Relationship Id="rId1149" Type="http://schemas.openxmlformats.org/officeDocument/2006/relationships/hyperlink" Target="https://www.gazzetta.it/calcio/fantanews/04-08-2026/venezia-al-fantacalcio-2026-27-titolari-rigorista-sorprese-consigli-su-chi-prendere.shtml" TargetMode="External"/><Relationship Id="rId1150" Type="http://schemas.openxmlformats.org/officeDocument/2006/relationships/hyperlink" Target="https://www.gazzetta.it/calcio/giocatori/adrien-przyborek/609683/" TargetMode="External"/><Relationship Id="rId1151" Type="http://schemas.openxmlformats.org/officeDocument/2006/relationships/hyperlink" Target="https://www.fantacalcio.it/serie-a/squadre/lazio/przyborek/7345/2026-27/italia" TargetMode="External"/><Relationship Id="rId1152" Type="http://schemas.openxmlformats.org/officeDocument/2006/relationships/hyperlink" Target="https://www.gazzetta.it/calcio/fantanews/02-08-2026/lazio-al-fantacalcio-2026-27-titolari-rigorista-sorprese-e-consigli-su-chi-prendere.shtml" TargetMode="External"/><Relationship Id="rId1153" Type="http://schemas.openxmlformats.org/officeDocument/2006/relationships/hyperlink" Target="https://www.fantacalcio.it/serie-a/squadre/parma/sierro/7628/2026-27/italia" TargetMode="External"/><Relationship Id="rId1154" Type="http://schemas.openxmlformats.org/officeDocument/2006/relationships/hyperlink" Target="https://www.gazzetta.it/calcio/fantanews/03-08-2026/parma-al-fantacalcio-2026-27-titolari-rigorista-sorprese-consigli-su-chi-prendere.shtml" TargetMode="External"/><Relationship Id="rId1155" Type="http://schemas.openxmlformats.org/officeDocument/2006/relationships/hyperlink" Target="https://www.gazzetta.it/calcio/giocatori/joseph-liteta/618927/" TargetMode="External"/><Relationship Id="rId1156" Type="http://schemas.openxmlformats.org/officeDocument/2006/relationships/hyperlink" Target="https://www.fantacalcio.it/serie-a/squadre/cagliari/liteta/7165/2026-27/italia" TargetMode="External"/><Relationship Id="rId1157" Type="http://schemas.openxmlformats.org/officeDocument/2006/relationships/hyperlink" Target="https://www.gazzetta.it/calcio/fantanews/04-08-2026/cagliari-fantacalcio-2026-27-titolari-rigorista-sorprese-consigli-su-chi-prendere.shtml" TargetMode="External"/><Relationship Id="rId1158" Type="http://schemas.openxmlformats.org/officeDocument/2006/relationships/hyperlink" Target="https://www.gazzetta.it/calcio/giocatori/sadik-fofana/546761/" TargetMode="External"/><Relationship Id="rId1159" Type="http://schemas.openxmlformats.org/officeDocument/2006/relationships/hyperlink" Target="https://www.fantacalcio.it/serie-a/squadre/lecce/fofana-sa/7319/2026-27/italia" TargetMode="External"/><Relationship Id="rId1160" Type="http://schemas.openxmlformats.org/officeDocument/2006/relationships/hyperlink" Target="https://www.gazzetta.it/calcio/fantanews/04-08-2026/lecce-fantacalcio-2026-27-titolari-rigorista-sorprese-consigli-su-chi-prendere.shtml" TargetMode="External"/><Relationship Id="rId1161" Type="http://schemas.openxmlformats.org/officeDocument/2006/relationships/hyperlink" Target="https://www.fantacalcio.it/serie-a/squadre/sassuolo/cinquegrano/7573/2026-27/italia" TargetMode="External"/><Relationship Id="rId1162" Type="http://schemas.openxmlformats.org/officeDocument/2006/relationships/hyperlink" Target="https://www.gazzetta.it/calcio/fantanews/04-08-2026/sassuolo-fantacalcio-2026-27-titolari-rigorista-sorprese-consigli-su-chi-prendere.shtml" TargetMode="External"/><Relationship Id="rId1163" Type="http://schemas.openxmlformats.org/officeDocument/2006/relationships/hyperlink" Target="https://www.gazzetta.it/calcio/giocatori/lorenzo-berardi/703653/" TargetMode="External"/><Relationship Id="rId1164" Type="http://schemas.openxmlformats.org/officeDocument/2006/relationships/hyperlink" Target="https://www.gazzetta.it/calcio/giocatori/oussama-el-azzouzi/543215/" TargetMode="External"/><Relationship Id="rId1165" Type="http://schemas.openxmlformats.org/officeDocument/2006/relationships/hyperlink" Target="https://www.fantacalcio.it/serie-a/squadre/bologna/el-azzouzi-o/6225/2026-27/italia" TargetMode="External"/><Relationship Id="rId1166" Type="http://schemas.openxmlformats.org/officeDocument/2006/relationships/hyperlink" Target="https://www.gazzetta.it/calcio/fantanews/03-08-2026/bologna-fantacalcio-2026-27-titolari-rigorista-sorprese-consigli-su-chi-prendere.shtml" TargetMode="External"/><Relationship Id="rId1167" Type="http://schemas.openxmlformats.org/officeDocument/2006/relationships/hyperlink" Target="https://www.gazzetta.it/calcio/giocatori/daniel-boloca/430724/" TargetMode="External"/><Relationship Id="rId1168" Type="http://schemas.openxmlformats.org/officeDocument/2006/relationships/hyperlink" Target="https://www.fantacalcio.it/serie-a/squadre/sassuolo/boloca/6219/2026-27/italia" TargetMode="External"/><Relationship Id="rId1169" Type="http://schemas.openxmlformats.org/officeDocument/2006/relationships/hyperlink" Target="https://www.gazzetta.it/calcio/fantanews/04-08-2026/sassuolo-fantacalcio-2026-27-titolari-rigorista-sorprese-consigli-su-chi-prendere.shtml" TargetMode="External"/><Relationship Id="rId1170" Type="http://schemas.openxmlformats.org/officeDocument/2006/relationships/hyperlink" Target="https://www.gazzetta.it/calcio/giocatori/david-pejicic/577947/" TargetMode="External"/><Relationship Id="rId1171" Type="http://schemas.openxmlformats.org/officeDocument/2006/relationships/hyperlink" Target="https://www.fantacalcio.it/serie-a/squadre/monza/mout/7575/2026-27/italia" TargetMode="External"/><Relationship Id="rId1172" Type="http://schemas.openxmlformats.org/officeDocument/2006/relationships/hyperlink" Target="https://www.gazzetta.it/calcio/fantanews/05-08-2026/monza-al-fantacalcio-2026-27-titolari-rigorista-sorprese-consigli-su-chi-prendere.shtml" TargetMode="External"/><Relationship Id="rId1173" Type="http://schemas.openxmlformats.org/officeDocument/2006/relationships/hyperlink" Target="https://www.fantacalcio.it/serie-a/squadre/cagliari/massolin/7579/2026-27/italia" TargetMode="External"/><Relationship Id="rId1174" Type="http://schemas.openxmlformats.org/officeDocument/2006/relationships/hyperlink" Target="https://www.gazzetta.it/calcio/fantanews/04-08-2026/cagliari-fantacalcio-2026-27-titolari-rigorista-sorprese-consigli-su-chi-prendere.shtml" TargetMode="External"/><Relationship Id="rId1175" Type="http://schemas.openxmlformats.org/officeDocument/2006/relationships/hyperlink" Target="https://www.gazzetta.it/calcio/giocatori/valerio-farcomeni/638709/" TargetMode="External"/><Relationship Id="rId1176" Type="http://schemas.openxmlformats.org/officeDocument/2006/relationships/hyperlink" Target="https://www.gazzetta.it/calcio/giocatori/adrian-lahdo/649948/" TargetMode="External"/><Relationship Id="rId1177" Type="http://schemas.openxmlformats.org/officeDocument/2006/relationships/hyperlink" Target="https://www.fantacalcio.it/serie-a/squadre/como/lahdo/7357/2026-27/italia" TargetMode="External"/><Relationship Id="rId1178" Type="http://schemas.openxmlformats.org/officeDocument/2006/relationships/hyperlink" Target="https://www.gazzetta.it/calcio/fantanews/04-08-2026/como-fantacalcio-2026-27-titolari-rigorista-sorprese-consigli-su-chi-prendere.shtml" TargetMode="External"/><Relationship Id="rId1179" Type="http://schemas.openxmlformats.org/officeDocument/2006/relationships/hyperlink" Target="https://www.gazzetta.it/calcio/giocatori/andrea-ghion/485264/" TargetMode="External"/><Relationship Id="rId1180" Type="http://schemas.openxmlformats.org/officeDocument/2006/relationships/hyperlink" Target="https://www.fantacalcio.it/serie-a/squadre/milan/comotto/7572/2026-27/italia" TargetMode="External"/><Relationship Id="rId1181" Type="http://schemas.openxmlformats.org/officeDocument/2006/relationships/hyperlink" Target="https://www.gazzetta.it/calcio/fantanews/02-08-2026/milan-al-fantacalcio-2026-27-titolari-rigorista-sorprese-e-consigli-su-chi-prendere.shtml" TargetMode="External"/><Relationship Id="rId1182" Type="http://schemas.openxmlformats.org/officeDocument/2006/relationships/hyperlink" Target="https://www.gazzetta.it/calcio/giocatori/donyell-malen/204646/" TargetMode="External"/><Relationship Id="rId1183" Type="http://schemas.openxmlformats.org/officeDocument/2006/relationships/hyperlink" Target="https://www.fantacalcio.it/serie-a/squadre/roma/malen/5585/2026-27/italia" TargetMode="External"/><Relationship Id="rId1184" Type="http://schemas.openxmlformats.org/officeDocument/2006/relationships/hyperlink" Target="https://www.gazzetta.it/calcio/fantanews/03-08-2026/roma-al-fantacalcio-2026-27-titolari-rigorista-sorprese-consigli-su-chi-prendere.shtml" TargetMode="External"/><Relationship Id="rId1185" Type="http://schemas.openxmlformats.org/officeDocument/2006/relationships/hyperlink" Target="https://www.gazzetta.it/calcio/giocatori/lautaro-martinez/209737/" TargetMode="External"/><Relationship Id="rId1186" Type="http://schemas.openxmlformats.org/officeDocument/2006/relationships/hyperlink" Target="https://www.fantacalcio.it/serie-a/squadre/inter/martinez-l/2764/2026-27/italia" TargetMode="External"/><Relationship Id="rId1187" Type="http://schemas.openxmlformats.org/officeDocument/2006/relationships/hyperlink" Target="https://www.gazzetta.it/calcio/fantanews/05-08-2026/inter-al-fantacalcio-2026-27-titolari-rigorista-sorprese-consigli-su-chi-prendere.shtml" TargetMode="External"/><Relationship Id="rId1188" Type="http://schemas.openxmlformats.org/officeDocument/2006/relationships/hyperlink" Target="https://www.gazzetta.it/calcio/giocatori/rasmus-hojlund/497894/" TargetMode="External"/><Relationship Id="rId1189" Type="http://schemas.openxmlformats.org/officeDocument/2006/relationships/hyperlink" Target="https://www.fantacalcio.it/serie-a/squadre/napoli/hojlund/6052/2026-27/italia" TargetMode="External"/><Relationship Id="rId1190" Type="http://schemas.openxmlformats.org/officeDocument/2006/relationships/hyperlink" Target="https://www.gazzetta.it/calcio/fantanews/02-08-2026/napoli-fantacalcio-2026-27-titolari-rigorista-sorprese-consigli-su-chi-prendere.shtml" TargetMode="External"/><Relationship Id="rId1191" Type="http://schemas.openxmlformats.org/officeDocument/2006/relationships/hyperlink" Target="https://www.gazzetta.it/calcio/giocatori/marcus-thuram/205880/" TargetMode="External"/><Relationship Id="rId1192" Type="http://schemas.openxmlformats.org/officeDocument/2006/relationships/hyperlink" Target="https://www.fantacalcio.it/serie-a/squadre/inter/thuram/4871/2026-27/italia" TargetMode="External"/><Relationship Id="rId1193" Type="http://schemas.openxmlformats.org/officeDocument/2006/relationships/hyperlink" Target="https://www.gazzetta.it/calcio/fantanews/05-08-2026/inter-al-fantacalcio-2026-27-titolari-rigorista-sorprese-consigli-su-chi-prendere.shtml" TargetMode="External"/><Relationship Id="rId1194" Type="http://schemas.openxmlformats.org/officeDocument/2006/relationships/hyperlink" Target="https://www.fantacalcio.it/serie-a/squadre/milan/ramos-g/6397/2026-27/italia" TargetMode="External"/><Relationship Id="rId1195" Type="http://schemas.openxmlformats.org/officeDocument/2006/relationships/hyperlink" Target="https://www.gazzetta.it/calcio/fantanews/02-08-2026/milan-al-fantacalcio-2026-27-titolari-rigorista-sorprese-e-consigli-su-chi-prendere.shtml" TargetMode="External"/><Relationship Id="rId1196" Type="http://schemas.openxmlformats.org/officeDocument/2006/relationships/hyperlink" Target="https://www.gazzetta.it/calcio/giocatori/keinan-davis/221239/" TargetMode="External"/><Relationship Id="rId1197" Type="http://schemas.openxmlformats.org/officeDocument/2006/relationships/hyperlink" Target="https://www.fantacalcio.it/serie-a/squadre/udinese/davis-k/5637/2026-27/italia" TargetMode="External"/><Relationship Id="rId1198" Type="http://schemas.openxmlformats.org/officeDocument/2006/relationships/hyperlink" Target="https://www.gazzetta.it/calcio/fantanews/03-08-2026/udinese-fantacalcio-2026-27-titolari-rigorista-sorprese-consigli-su-chi-prendere.shtml" TargetMode="External"/><Relationship Id="rId1199" Type="http://schemas.openxmlformats.org/officeDocument/2006/relationships/hyperlink" Target="https://www.gazzetta.it/calcio/giocatori/moise-kean/242058/" TargetMode="External"/><Relationship Id="rId1200" Type="http://schemas.openxmlformats.org/officeDocument/2006/relationships/hyperlink" Target="https://www.fantacalcio.it/serie-a/squadre/como/kean/2097/2026-27/italia" TargetMode="External"/><Relationship Id="rId1201" Type="http://schemas.openxmlformats.org/officeDocument/2006/relationships/hyperlink" Target="https://www.gazzetta.it/calcio/fantanews/04-08-2026/como-fantacalcio-2026-27-titolari-rigorista-sorprese-consigli-su-chi-prendere.shtml" TargetMode="External"/><Relationship Id="rId1202" Type="http://schemas.openxmlformats.org/officeDocument/2006/relationships/hyperlink" Target="https://www.fantacalcio.it/serie-a/squadre/juventus/kolo-muani/5951/2026-27/italia" TargetMode="External"/><Relationship Id="rId1203" Type="http://schemas.openxmlformats.org/officeDocument/2006/relationships/hyperlink" Target="https://www.gazzetta.it/calcio/fantanews/03-08-2026/juve-al-fantacalcio-2026-27-titolari-rigorista-sorprese-consigli-su-chi-prendere.shtml" TargetMode="External"/><Relationship Id="rId1204" Type="http://schemas.openxmlformats.org/officeDocument/2006/relationships/hyperlink" Target="https://www.gazzetta.it/calcio/giocatori/gianluca-scamacca/195899/" TargetMode="External"/><Relationship Id="rId1205" Type="http://schemas.openxmlformats.org/officeDocument/2006/relationships/hyperlink" Target="https://www.fantacalcio.it/serie-a/squadre/atalanta/scamacca/2137/2026-27/italia" TargetMode="External"/><Relationship Id="rId1206" Type="http://schemas.openxmlformats.org/officeDocument/2006/relationships/hyperlink" Target="https://www.gazzetta.it/calcio/fantanews/02-08-2026/atalanta-fantacalcio-2026-27-titolari-rigorista-sorprese-consigli-su-chi-prendere.shtml" TargetMode="External"/><Relationship Id="rId1207" Type="http://schemas.openxmlformats.org/officeDocument/2006/relationships/hyperlink" Target="https://www.gazzetta.it/calcio/giocatori/paulo-dybala/120638/" TargetMode="External"/><Relationship Id="rId1208" Type="http://schemas.openxmlformats.org/officeDocument/2006/relationships/hyperlink" Target="https://www.fantacalcio.it/serie-a/squadre/roma/dybala/309/2026-27/italia" TargetMode="External"/><Relationship Id="rId1209" Type="http://schemas.openxmlformats.org/officeDocument/2006/relationships/hyperlink" Target="https://www.gazzetta.it/calcio/fantanews/03-08-2026/roma-al-fantacalcio-2026-27-titolari-rigorista-sorprese-consigli-su-chi-prendere.shtml" TargetMode="External"/><Relationship Id="rId1210" Type="http://schemas.openxmlformats.org/officeDocument/2006/relationships/hyperlink" Target="https://www.gazzetta.it/calcio/giocatori/giovanni-simeone/166016/" TargetMode="External"/><Relationship Id="rId1211" Type="http://schemas.openxmlformats.org/officeDocument/2006/relationships/hyperlink" Target="https://www.fantacalcio.it/serie-a/squadre/torino/simeone/2061/2026-27/italia" TargetMode="External"/><Relationship Id="rId1212" Type="http://schemas.openxmlformats.org/officeDocument/2006/relationships/hyperlink" Target="https://www.gazzetta.it/calcio/fantanews/03-08-2026/torino-fantacalcio-2026-27-titolari-rigorista-sorprese-consigli-su-chi-prendere.shtml" TargetMode="External"/><Relationship Id="rId1213" Type="http://schemas.openxmlformats.org/officeDocument/2006/relationships/hyperlink" Target="https://www.gazzetta.it/calcio/giocatori/armand-lauriente/449431/" TargetMode="External"/><Relationship Id="rId1214" Type="http://schemas.openxmlformats.org/officeDocument/2006/relationships/hyperlink" Target="https://www.fantacalcio.it/serie-a/squadre/sassuolo/laurient%C3%A8/6060/2026-27/italia" TargetMode="External"/><Relationship Id="rId1215" Type="http://schemas.openxmlformats.org/officeDocument/2006/relationships/hyperlink" Target="https://www.gazzetta.it/calcio/fantanews/04-08-2026/sassuolo-fantacalcio-2026-27-titolari-rigorista-sorprese-consigli-su-chi-prendere.shtml" TargetMode="External"/><Relationship Id="rId1216" Type="http://schemas.openxmlformats.org/officeDocument/2006/relationships/hyperlink" Target="https://www.gazzetta.it/calcio/giocatori/domenico-berardi/116796/" TargetMode="External"/><Relationship Id="rId1217" Type="http://schemas.openxmlformats.org/officeDocument/2006/relationships/hyperlink" Target="https://www.fantacalcio.it/serie-a/squadre/sassuolo/berardi/531/2026-27/italia" TargetMode="External"/><Relationship Id="rId1218" Type="http://schemas.openxmlformats.org/officeDocument/2006/relationships/hyperlink" Target="https://www.gazzetta.it/calcio/fantanews/04-08-2026/sassuolo-fantacalcio-2026-27-titolari-rigorista-sorprese-consigli-su-chi-prendere.shtml" TargetMode="External"/><Relationship Id="rId1219" Type="http://schemas.openxmlformats.org/officeDocument/2006/relationships/hyperlink" Target="https://www.gazzetta.it/calcio/giocatori/kenan-yildiz/547103/" TargetMode="External"/><Relationship Id="rId1220" Type="http://schemas.openxmlformats.org/officeDocument/2006/relationships/hyperlink" Target="https://www.fantacalcio.it/serie-a/squadre/juventus/yildiz/6434/2026-27/italia" TargetMode="External"/><Relationship Id="rId1221" Type="http://schemas.openxmlformats.org/officeDocument/2006/relationships/hyperlink" Target="https://www.gazzetta.it/calcio/fantanews/03-08-2026/juve-al-fantacalcio-2026-27-titolari-rigorista-sorprese-consigli-su-chi-prendere.shtml" TargetMode="External"/><Relationship Id="rId1222" Type="http://schemas.openxmlformats.org/officeDocument/2006/relationships/hyperlink" Target="https://www.gazzetta.it/calcio/giocatori/tasos-douvikas/433634/" TargetMode="External"/><Relationship Id="rId1223" Type="http://schemas.openxmlformats.org/officeDocument/2006/relationships/hyperlink" Target="https://www.fantacalcio.it/serie-a/squadre/como/douvikas/7017/2026-27/italia" TargetMode="External"/><Relationship Id="rId1224" Type="http://schemas.openxmlformats.org/officeDocument/2006/relationships/hyperlink" Target="https://www.gazzetta.it/calcio/fantanews/04-08-2026/como-fantacalcio-2026-27-titolari-rigorista-sorprese-consigli-su-chi-prendere.shtml" TargetMode="External"/><Relationship Id="rId1225" Type="http://schemas.openxmlformats.org/officeDocument/2006/relationships/hyperlink" Target="https://www.gazzetta.it/calcio/giocatori/andrea-pinamonti/216040/" TargetMode="External"/><Relationship Id="rId1226" Type="http://schemas.openxmlformats.org/officeDocument/2006/relationships/hyperlink" Target="https://www.fantacalcio.it/serie-a/squadre/lazio/pinamonti/2038/2026-27/italia" TargetMode="External"/><Relationship Id="rId1227" Type="http://schemas.openxmlformats.org/officeDocument/2006/relationships/hyperlink" Target="https://www.gazzetta.it/calcio/fantanews/02-08-2026/lazio-al-fantacalcio-2026-27-titolari-rigorista-sorprese-e-consigli-su-chi-prendere.shtml" TargetMode="External"/><Relationship Id="rId1228" Type="http://schemas.openxmlformats.org/officeDocument/2006/relationships/hyperlink" Target="https://www.gazzetta.it/calcio/giocatori/che-adams/200439/" TargetMode="External"/><Relationship Id="rId1229" Type="http://schemas.openxmlformats.org/officeDocument/2006/relationships/hyperlink" Target="https://www.fantacalcio.it/serie-a/squadre/torino/adams-c/6646/2026-27/italia" TargetMode="External"/><Relationship Id="rId1230" Type="http://schemas.openxmlformats.org/officeDocument/2006/relationships/hyperlink" Target="https://www.gazzetta.it/calcio/fantanews/03-08-2026/torino-fantacalcio-2026-27-titolari-rigorista-sorprese-consigli-su-chi-prendere.shtml" TargetMode="External"/><Relationship Id="rId1231" Type="http://schemas.openxmlformats.org/officeDocument/2006/relationships/hyperlink" Target="https://www.gazzetta.it/calcio/giocatori/nikola-krstovic/233723/" TargetMode="External"/><Relationship Id="rId1232" Type="http://schemas.openxmlformats.org/officeDocument/2006/relationships/hyperlink" Target="https://www.fantacalcio.it/serie-a/squadre/atalanta/krstovic/6435/2026-27/italia" TargetMode="External"/><Relationship Id="rId1233" Type="http://schemas.openxmlformats.org/officeDocument/2006/relationships/hyperlink" Target="https://www.gazzetta.it/calcio/fantanews/02-08-2026/atalanta-fantacalcio-2026-27-titolari-rigorista-sorprese-consigli-su-chi-prendere.shtml" TargetMode="External"/><Relationship Id="rId1234" Type="http://schemas.openxmlformats.org/officeDocument/2006/relationships/hyperlink" Target="https://www.fantacalcio.it/serie-a/squadre/juventus/woltemade/6752/2026-27/italia" TargetMode="External"/><Relationship Id="rId1235" Type="http://schemas.openxmlformats.org/officeDocument/2006/relationships/hyperlink" Target="https://www.gazzetta.it/calcio/fantanews/03-08-2026/juve-al-fantacalcio-2026-27-titolari-rigorista-sorprese-consigli-su-chi-prendere.shtml" TargetMode="External"/><Relationship Id="rId1236" Type="http://schemas.openxmlformats.org/officeDocument/2006/relationships/hyperlink" Target="https://www.gazzetta.it/calcio/giocatori/lorenzo-colombo/450025/" TargetMode="External"/><Relationship Id="rId1237" Type="http://schemas.openxmlformats.org/officeDocument/2006/relationships/hyperlink" Target="https://www.fantacalcio.it/serie-a/squadre/genoa/colombo/4923/2026-27/italia" TargetMode="External"/><Relationship Id="rId1238" Type="http://schemas.openxmlformats.org/officeDocument/2006/relationships/hyperlink" Target="https://www.gazzetta.it/calcio/fantanews/04-08-2026/genoa-al-fantacalcio-2026-27-titolari-rigorista-sorprese-consigli-su-chi-prendere.shtml" TargetMode="External"/><Relationship Id="rId1239" Type="http://schemas.openxmlformats.org/officeDocument/2006/relationships/hyperlink" Target="https://www.gazzetta.it/calcio/giocatori/santiago-castro/536690/" TargetMode="External"/><Relationship Id="rId1240" Type="http://schemas.openxmlformats.org/officeDocument/2006/relationships/hyperlink" Target="https://www.fantacalcio.it/serie-a/squadre/roma/castro-s/6572/2026-27/italia" TargetMode="External"/><Relationship Id="rId1241" Type="http://schemas.openxmlformats.org/officeDocument/2006/relationships/hyperlink" Target="https://www.gazzetta.it/calcio/fantanews/03-08-2026/roma-al-fantacalcio-2026-27-titolari-rigorista-sorprese-consigli-su-chi-prendere.shtml" TargetMode="External"/><Relationship Id="rId1242" Type="http://schemas.openxmlformats.org/officeDocument/2006/relationships/hyperlink" Target="https://www.gazzetta.it/calcio/giocatori/charles-de-ketelaere/465716/" TargetMode="External"/><Relationship Id="rId1243" Type="http://schemas.openxmlformats.org/officeDocument/2006/relationships/hyperlink" Target="https://www.fantacalcio.it/serie-a/squadre/atalanta/de-ketelaere/5995/2026-27/italia" TargetMode="External"/><Relationship Id="rId1244" Type="http://schemas.openxmlformats.org/officeDocument/2006/relationships/hyperlink" Target="https://www.gazzetta.it/calcio/fantanews/02-08-2026/atalanta-fantacalcio-2026-27-titolari-rigorista-sorprese-consigli-su-chi-prendere.shtml" TargetMode="External"/><Relationship Id="rId1245" Type="http://schemas.openxmlformats.org/officeDocument/2006/relationships/hyperlink" Target="https://www.gazzetta.it/calcio/giocatori/matias-soule/511505/" TargetMode="External"/><Relationship Id="rId1246" Type="http://schemas.openxmlformats.org/officeDocument/2006/relationships/hyperlink" Target="https://www.fantacalcio.it/serie-a/squadre/roma/soul%C3%A8/5734/2026-27/italia" TargetMode="External"/><Relationship Id="rId1247" Type="http://schemas.openxmlformats.org/officeDocument/2006/relationships/hyperlink" Target="https://www.gazzetta.it/calcio/fantanews/03-08-2026/roma-al-fantacalcio-2026-27-titolari-rigorista-sorprese-consigli-su-chi-prendere.shtml" TargetMode="External"/><Relationship Id="rId1248" Type="http://schemas.openxmlformats.org/officeDocument/2006/relationships/hyperlink" Target="https://www.gazzetta.it/calcio/giocatori/sebastiano-esposito/465661/" TargetMode="External"/><Relationship Id="rId1249" Type="http://schemas.openxmlformats.org/officeDocument/2006/relationships/hyperlink" Target="https://www.fantacalcio.it/serie-a/squadre/sassuolo/esposito-se/4463/2026-27/italia" TargetMode="External"/><Relationship Id="rId1250" Type="http://schemas.openxmlformats.org/officeDocument/2006/relationships/hyperlink" Target="https://www.gazzetta.it/calcio/fantanews/04-08-2026/sassuolo-fantacalcio-2026-27-titolari-rigorista-sorprese-consigli-su-chi-prendere.shtml" TargetMode="External"/><Relationship Id="rId1251" Type="http://schemas.openxmlformats.org/officeDocument/2006/relationships/hyperlink" Target="https://www.fantacalcio.it/serie-a/squadre/fiorentina/beto/5694/2026-27/italia" TargetMode="External"/><Relationship Id="rId1252" Type="http://schemas.openxmlformats.org/officeDocument/2006/relationships/hyperlink" Target="https://www.gazzetta.it/calcio/fantanews/02-08-2026/fiorentina-fantacalcio-2026-27-titolari-rigorista-sorprese-consigli-su-chi-prendere.shtml" TargetMode="External"/><Relationship Id="rId1253" Type="http://schemas.openxmlformats.org/officeDocument/2006/relationships/hyperlink" Target="https://www.gazzetta.it/calcio/giocatori/jonathan-rowe/483365/" TargetMode="External"/><Relationship Id="rId1254" Type="http://schemas.openxmlformats.org/officeDocument/2006/relationships/hyperlink" Target="https://www.fantacalcio.it/serie-a/squadre/atalanta/rowe/6844/2026-27/italia" TargetMode="External"/><Relationship Id="rId1255" Type="http://schemas.openxmlformats.org/officeDocument/2006/relationships/hyperlink" Target="https://www.gazzetta.it/calcio/fantanews/02-08-2026/atalanta-fantacalcio-2026-27-titolari-rigorista-sorprese-consigli-su-chi-prendere.shtml" TargetMode="External"/><Relationship Id="rId1256" Type="http://schemas.openxmlformats.org/officeDocument/2006/relationships/hyperlink" Target="https://www.gazzetta.it/calcio/giocatori/vitinha/522479/" TargetMode="External"/><Relationship Id="rId1257" Type="http://schemas.openxmlformats.org/officeDocument/2006/relationships/hyperlink" Target="https://www.fantacalcio.it/serie-a/squadre/genoa/vitinha-o/6164/2026-27/italia" TargetMode="External"/><Relationship Id="rId1258" Type="http://schemas.openxmlformats.org/officeDocument/2006/relationships/hyperlink" Target="https://www.gazzetta.it/calcio/fantanews/04-08-2026/genoa-al-fantacalcio-2026-27-titolari-rigorista-sorprese-consigli-su-chi-prendere.shtml" TargetMode="External"/><Relationship Id="rId1259" Type="http://schemas.openxmlformats.org/officeDocument/2006/relationships/hyperlink" Target="https://www.gazzetta.it/calcio/giocatori/assane-diao/624877/" TargetMode="External"/><Relationship Id="rId1260" Type="http://schemas.openxmlformats.org/officeDocument/2006/relationships/hyperlink" Target="https://www.fantacalcio.it/serie-a/squadre/como/diao/6967/2026-27/italia" TargetMode="External"/><Relationship Id="rId1261" Type="http://schemas.openxmlformats.org/officeDocument/2006/relationships/hyperlink" Target="https://www.gazzetta.it/calcio/fantanews/04-08-2026/como-fantacalcio-2026-27-titolari-rigorista-sorprese-consigli-su-chi-prendere.shtml" TargetMode="External"/><Relationship Id="rId1262" Type="http://schemas.openxmlformats.org/officeDocument/2006/relationships/hyperlink" Target="https://www.gazzetta.it/calcio/giocatori/francesco-pio-esposito/551444/" TargetMode="External"/><Relationship Id="rId1263" Type="http://schemas.openxmlformats.org/officeDocument/2006/relationships/hyperlink" Target="https://www.fantacalcio.it/serie-a/squadre/inter/esposito-f-p/7071/2026-27/italia" TargetMode="External"/><Relationship Id="rId1264" Type="http://schemas.openxmlformats.org/officeDocument/2006/relationships/hyperlink" Target="https://www.gazzetta.it/calcio/fantanews/05-08-2026/inter-al-fantacalcio-2026-27-titolari-rigorista-sorprese-consigli-su-chi-prendere.shtml" TargetMode="External"/><Relationship Id="rId1265" Type="http://schemas.openxmlformats.org/officeDocument/2006/relationships/hyperlink" Target="https://www.gazzetta.it/calcio/giocatori/mateo-pellegrino/524463/" TargetMode="External"/><Relationship Id="rId1266" Type="http://schemas.openxmlformats.org/officeDocument/2006/relationships/hyperlink" Target="https://www.fantacalcio.it/serie-a/squadre/fiorentina/pellegrino-m/7023/2026-27/italia" TargetMode="External"/><Relationship Id="rId1267" Type="http://schemas.openxmlformats.org/officeDocument/2006/relationships/hyperlink" Target="https://www.gazzetta.it/calcio/fantanews/02-08-2026/fiorentina-fantacalcio-2026-27-titolari-rigorista-sorprese-consigli-su-chi-prendere.shtml" TargetMode="External"/><Relationship Id="rId1268" Type="http://schemas.openxmlformats.org/officeDocument/2006/relationships/hyperlink" Target="https://www.gazzetta.it/calcio/giocatori/gustav-isaksen/449896/" TargetMode="External"/><Relationship Id="rId1269" Type="http://schemas.openxmlformats.org/officeDocument/2006/relationships/hyperlink" Target="https://www.fantacalcio.it/serie-a/squadre/lazio/isaksen/6398/2026-27/italia" TargetMode="External"/><Relationship Id="rId1270" Type="http://schemas.openxmlformats.org/officeDocument/2006/relationships/hyperlink" Target="https://www.gazzetta.it/calcio/fantanews/02-08-2026/lazio-al-fantacalcio-2026-27-titolari-rigorista-sorprese-e-consigli-su-chi-prendere.shtml" TargetMode="External"/><Relationship Id="rId1271" Type="http://schemas.openxmlformats.org/officeDocument/2006/relationships/hyperlink" Target="https://www.fantacalcio.it/serie-a/squadre/frosinone/raimondo/5436/2026-27/italia" TargetMode="External"/><Relationship Id="rId1272" Type="http://schemas.openxmlformats.org/officeDocument/2006/relationships/hyperlink" Target="https://www.gazzetta.it/calcio/fantanews/02-08-2026/frosinone-al-fantacalcio-2026-27-titolari-rigorista-sorprese-e-consigli-su-chi-prendere.shtml" TargetMode="External"/><Relationship Id="rId1273" Type="http://schemas.openxmlformats.org/officeDocument/2006/relationships/hyperlink" Target="https://www.gazzetta.it/calcio/giocatori/nicolo-cambiaghi/483264/" TargetMode="External"/><Relationship Id="rId1274" Type="http://schemas.openxmlformats.org/officeDocument/2006/relationships/hyperlink" Target="https://www.fantacalcio.it/serie-a/squadre/bologna/cambiaghi/4436/2026-27/italia" TargetMode="External"/><Relationship Id="rId1275" Type="http://schemas.openxmlformats.org/officeDocument/2006/relationships/hyperlink" Target="https://www.gazzetta.it/calcio/fantanews/03-08-2026/bologna-fantacalcio-2026-27-titolari-rigorista-sorprese-consigli-su-chi-prendere.shtml" TargetMode="External"/><Relationship Id="rId1276" Type="http://schemas.openxmlformats.org/officeDocument/2006/relationships/hyperlink" Target="https://www.gazzetta.it/calcio/giocatori/roberto-piccoli/226267/" TargetMode="External"/><Relationship Id="rId1277" Type="http://schemas.openxmlformats.org/officeDocument/2006/relationships/hyperlink" Target="https://www.fantacalcio.it/serie-a/squadre/bologna/piccoli/4359/2026-27/italia" TargetMode="External"/><Relationship Id="rId1278" Type="http://schemas.openxmlformats.org/officeDocument/2006/relationships/hyperlink" Target="https://www.gazzetta.it/calcio/fantanews/03-08-2026/bologna-fantacalcio-2026-27-titolari-rigorista-sorprese-consigli-su-chi-prendere.shtml" TargetMode="External"/><Relationship Id="rId1279" Type="http://schemas.openxmlformats.org/officeDocument/2006/relationships/hyperlink" Target="https://www.gazzetta.it/calcio/giocatori/giacomo-raspadori/446969/" TargetMode="External"/><Relationship Id="rId1280" Type="http://schemas.openxmlformats.org/officeDocument/2006/relationships/hyperlink" Target="https://www.fantacalcio.it/serie-a/squadre/atalanta/raspadori/4371/2026-27/italia" TargetMode="External"/><Relationship Id="rId1281" Type="http://schemas.openxmlformats.org/officeDocument/2006/relationships/hyperlink" Target="https://www.gazzetta.it/calcio/fantanews/02-08-2026/atalanta-fantacalcio-2026-27-titolari-rigorista-sorprese-consigli-su-chi-prendere.shtml" TargetMode="External"/><Relationship Id="rId1282" Type="http://schemas.openxmlformats.org/officeDocument/2006/relationships/hyperlink" Target="https://www.fantacalcio.it/serie-a/squadre/venezia/yeboah-j/6904/2026-27/italia" TargetMode="External"/><Relationship Id="rId1283" Type="http://schemas.openxmlformats.org/officeDocument/2006/relationships/hyperlink" Target="https://www.gazzetta.it/calcio/fantanews/04-08-2026/venezia-al-fantacalcio-2026-27-titolari-rigorista-sorprese-consigli-su-chi-prendere.shtml" TargetMode="External"/><Relationship Id="rId1284" Type="http://schemas.openxmlformats.org/officeDocument/2006/relationships/hyperlink" Target="https://www.gazzetta.it/calcio/giocatori/david-neres/235887/" TargetMode="External"/><Relationship Id="rId1285" Type="http://schemas.openxmlformats.org/officeDocument/2006/relationships/hyperlink" Target="https://www.fantacalcio.it/serie-a/squadre/napoli/neres/6831/2026-27/italia" TargetMode="External"/><Relationship Id="rId1286" Type="http://schemas.openxmlformats.org/officeDocument/2006/relationships/hyperlink" Target="https://www.gazzetta.it/calcio/fantanews/02-08-2026/napoli-fantacalcio-2026-27-titolari-rigorista-sorprese-consigli-su-chi-prendere.shtml" TargetMode="External"/><Relationship Id="rId1287" Type="http://schemas.openxmlformats.org/officeDocument/2006/relationships/hyperlink" Target="https://www.gazzetta.it/calcio/giocatori/jeremie-boga/135365/" TargetMode="External"/><Relationship Id="rId1288" Type="http://schemas.openxmlformats.org/officeDocument/2006/relationships/hyperlink" Target="https://www.fantacalcio.it/serie-a/squadre/juventus/boga/2832/2026-27/italia" TargetMode="External"/><Relationship Id="rId1289" Type="http://schemas.openxmlformats.org/officeDocument/2006/relationships/hyperlink" Target="https://www.gazzetta.it/calcio/fantanews/03-08-2026/juve-al-fantacalcio-2026-27-titolari-rigorista-sorprese-consigli-su-chi-prendere.shtml" TargetMode="External"/><Relationship Id="rId1290" Type="http://schemas.openxmlformats.org/officeDocument/2006/relationships/hyperlink" Target="https://www.gazzetta.it/calcio/giocatori/duvan-zapata/103086/" TargetMode="External"/><Relationship Id="rId1291" Type="http://schemas.openxmlformats.org/officeDocument/2006/relationships/hyperlink" Target="https://www.fantacalcio.it/serie-a/squadre/torino/zapata-d/608/2026-27/italia" TargetMode="External"/><Relationship Id="rId1292" Type="http://schemas.openxmlformats.org/officeDocument/2006/relationships/hyperlink" Target="https://www.gazzetta.it/calcio/fantanews/03-08-2026/torino-fantacalcio-2026-27-titolari-rigorista-sorprese-consigli-su-chi-prendere.shtml" TargetMode="External"/><Relationship Id="rId1293" Type="http://schemas.openxmlformats.org/officeDocument/2006/relationships/hyperlink" Target="https://www.gazzetta.it/calcio/giocatori/jesus-rodriguez/638374/" TargetMode="External"/><Relationship Id="rId1294" Type="http://schemas.openxmlformats.org/officeDocument/2006/relationships/hyperlink" Target="https://www.fantacalcio.it/serie-a/squadre/como/rodriguez-je/7129/2026-27/italia" TargetMode="External"/><Relationship Id="rId1295" Type="http://schemas.openxmlformats.org/officeDocument/2006/relationships/hyperlink" Target="https://www.gazzetta.it/calcio/fantanews/04-08-2026/como-fantacalcio-2026-27-titolari-rigorista-sorprese-consigli-su-chi-prendere.shtml" TargetMode="External"/><Relationship Id="rId1296" Type="http://schemas.openxmlformats.org/officeDocument/2006/relationships/hyperlink" Target="https://www.gazzetta.it/calcio/giocatori/ange-yoann-bonny/518531/" TargetMode="External"/><Relationship Id="rId1297" Type="http://schemas.openxmlformats.org/officeDocument/2006/relationships/hyperlink" Target="https://www.fantacalcio.it/serie-a/squadre/inter/bonny/6669/2026-27/italia" TargetMode="External"/><Relationship Id="rId1298" Type="http://schemas.openxmlformats.org/officeDocument/2006/relationships/hyperlink" Target="https://www.gazzetta.it/calcio/fantanews/05-08-2026/inter-al-fantacalcio-2026-27-titolari-rigorista-sorprese-consigli-su-chi-prendere.shtml" TargetMode="External"/><Relationship Id="rId1299" Type="http://schemas.openxmlformats.org/officeDocument/2006/relationships/hyperlink" Target="https://www.gazzetta.it/calcio/giocatori/noa-lang/421002/" TargetMode="External"/><Relationship Id="rId1300" Type="http://schemas.openxmlformats.org/officeDocument/2006/relationships/hyperlink" Target="https://www.fantacalcio.it/serie-a/squadre/napoli/lang/7120/2026-27/italia" TargetMode="External"/><Relationship Id="rId1301" Type="http://schemas.openxmlformats.org/officeDocument/2006/relationships/hyperlink" Target="https://www.gazzetta.it/calcio/fantanews/02-08-2026/napoli-fantacalcio-2026-27-titolari-rigorista-sorprese-consigli-su-chi-prendere.shtml" TargetMode="External"/><Relationship Id="rId1302" Type="http://schemas.openxmlformats.org/officeDocument/2006/relationships/hyperlink" Target="https://www.gazzetta.it/calcio/giocatori/nikola-stulic/509685/" TargetMode="External"/><Relationship Id="rId1303" Type="http://schemas.openxmlformats.org/officeDocument/2006/relationships/hyperlink" Target="https://www.fantacalcio.it/serie-a/squadre/lecce/stulic/7252/2026-27/italia" TargetMode="External"/><Relationship Id="rId1304" Type="http://schemas.openxmlformats.org/officeDocument/2006/relationships/hyperlink" Target="https://www.gazzetta.it/calcio/fantanews/04-08-2026/lecce-fantacalcio-2026-27-titolari-rigorista-sorprese-consigli-su-chi-prendere.shtml" TargetMode="External"/><Relationship Id="rId1305" Type="http://schemas.openxmlformats.org/officeDocument/2006/relationships/hyperlink" Target="https://www.fantacalcio.it/serie-a/squadre/juventus/alajbegovic/7436/2026-27/italia" TargetMode="External"/><Relationship Id="rId1306" Type="http://schemas.openxmlformats.org/officeDocument/2006/relationships/hyperlink" Target="https://www.gazzetta.it/calcio/fantanews/03-08-2026/juve-al-fantacalcio-2026-27-titolari-rigorista-sorprese-consigli-su-chi-prendere.shtml" TargetMode="External"/><Relationship Id="rId1307" Type="http://schemas.openxmlformats.org/officeDocument/2006/relationships/hyperlink" Target="https://www.gazzetta.it/calcio/giocatori/kieron-bowie/470692/" TargetMode="External"/><Relationship Id="rId1308" Type="http://schemas.openxmlformats.org/officeDocument/2006/relationships/hyperlink" Target="https://www.fantacalcio.it/serie-a/squadre/sassuolo/bowie/7347/2026-27/italia" TargetMode="External"/><Relationship Id="rId1309" Type="http://schemas.openxmlformats.org/officeDocument/2006/relationships/hyperlink" Target="https://www.gazzetta.it/calcio/fantanews/04-08-2026/sassuolo-fantacalcio-2026-27-titolari-rigorista-sorprese-consigli-su-chi-prendere.shtml" TargetMode="External"/><Relationship Id="rId1310" Type="http://schemas.openxmlformats.org/officeDocument/2006/relationships/hyperlink" Target="https://www.gazzetta.it/calcio/giocatori/patrick-cutrone/209353/" TargetMode="External"/><Relationship Id="rId1311" Type="http://schemas.openxmlformats.org/officeDocument/2006/relationships/hyperlink" Target="https://www.fantacalcio.it/serie-a/squadre/monza/cutrone/2155/2026-27/italia" TargetMode="External"/><Relationship Id="rId1312" Type="http://schemas.openxmlformats.org/officeDocument/2006/relationships/hyperlink" Target="https://www.gazzetta.it/calcio/fantanews/05-08-2026/monza-al-fantacalcio-2026-27-titolari-rigorista-sorprese-consigli-su-chi-prendere.shtml" TargetMode="External"/><Relationship Id="rId1313" Type="http://schemas.openxmlformats.org/officeDocument/2006/relationships/hyperlink" Target="https://www.fantacalcio.it/serie-a/squadre/monza/varela-g/7523/2026-27/italia" TargetMode="External"/><Relationship Id="rId1314" Type="http://schemas.openxmlformats.org/officeDocument/2006/relationships/hyperlink" Target="https://www.gazzetta.it/calcio/fantanews/05-08-2026/monza-al-fantacalcio-2026-27-titolari-rigorista-sorprese-consigli-su-chi-prendere.shtml" TargetMode="External"/><Relationship Id="rId1315" Type="http://schemas.openxmlformats.org/officeDocument/2006/relationships/hyperlink" Target="https://www.gazzetta.it/calcio/giocatori/alieu-njie/629450/" TargetMode="External"/><Relationship Id="rId1316" Type="http://schemas.openxmlformats.org/officeDocument/2006/relationships/hyperlink" Target="https://www.fantacalcio.it/serie-a/squadre/fiorentina/njie/6827/2026-27/italia" TargetMode="External"/><Relationship Id="rId1317" Type="http://schemas.openxmlformats.org/officeDocument/2006/relationships/hyperlink" Target="https://www.gazzetta.it/calcio/fantanews/02-08-2026/fiorentina-fantacalcio-2026-27-titolari-rigorista-sorprese-consigli-su-chi-prendere.shtml" TargetMode="External"/><Relationship Id="rId1318" Type="http://schemas.openxmlformats.org/officeDocument/2006/relationships/hyperlink" Target="https://www.gazzetta.it/calcio/giocatori/lorenzo-lucca/469130/" TargetMode="External"/><Relationship Id="rId1319" Type="http://schemas.openxmlformats.org/officeDocument/2006/relationships/hyperlink" Target="https://www.fantacalcio.it/serie-a/squadre/napoli/lucca/6215/2026-27/italia" TargetMode="External"/><Relationship Id="rId1320" Type="http://schemas.openxmlformats.org/officeDocument/2006/relationships/hyperlink" Target="https://www.gazzetta.it/calcio/fantanews/02-08-2026/napoli-fantacalcio-2026-27-titolari-rigorista-sorprese-consigli-su-chi-prendere.shtml" TargetMode="External"/><Relationship Id="rId1321" Type="http://schemas.openxmlformats.org/officeDocument/2006/relationships/hyperlink" Target="https://www.gazzetta.it/calcio/giocatori/gennaro-borrelli/480374/" TargetMode="External"/><Relationship Id="rId1322" Type="http://schemas.openxmlformats.org/officeDocument/2006/relationships/hyperlink" Target="https://www.fantacalcio.it/serie-a/squadre/cagliari/borrelli/6243/2026-27/italia" TargetMode="External"/><Relationship Id="rId1323" Type="http://schemas.openxmlformats.org/officeDocument/2006/relationships/hyperlink" Target="https://www.gazzetta.it/calcio/fantanews/04-08-2026/cagliari-fantacalcio-2026-27-titolari-rigorista-sorprese-consigli-su-chi-prendere.shtml" TargetMode="External"/><Relationship Id="rId1324" Type="http://schemas.openxmlformats.org/officeDocument/2006/relationships/hyperlink" Target="https://www.fantacalcio.it/serie-a/squadre/frosinone/ghedjemis/6530/2026-27/italia" TargetMode="External"/><Relationship Id="rId1325" Type="http://schemas.openxmlformats.org/officeDocument/2006/relationships/hyperlink" Target="https://www.gazzetta.it/calcio/fantanews/02-08-2026/frosinone-al-fantacalcio-2026-27-titolari-rigorista-sorprese-e-consigli-su-chi-prendere.shtml" TargetMode="External"/><Relationship Id="rId1326" Type="http://schemas.openxmlformats.org/officeDocument/2006/relationships/hyperlink" Target="https://www.fantacalcio.it/serie-a/squadre/fiorentina/gnonto/7623/2026-27/italia" TargetMode="External"/><Relationship Id="rId1327" Type="http://schemas.openxmlformats.org/officeDocument/2006/relationships/hyperlink" Target="https://www.gazzetta.it/calcio/fantanews/02-08-2026/fiorentina-fantacalcio-2026-27-titolari-rigorista-sorprese-consigli-su-chi-prendere.shtml" TargetMode="External"/><Relationship Id="rId1328" Type="http://schemas.openxmlformats.org/officeDocument/2006/relationships/hyperlink" Target="https://www.fantacalcio.it/serie-a/squadre/parma/romero-d/7554/2026-27/italia" TargetMode="External"/><Relationship Id="rId1329" Type="http://schemas.openxmlformats.org/officeDocument/2006/relationships/hyperlink" Target="https://www.gazzetta.it/calcio/fantanews/03-08-2026/parma-al-fantacalcio-2026-27-titolari-rigorista-sorprese-consigli-su-chi-prendere.shtml" TargetMode="External"/><Relationship Id="rId1330" Type="http://schemas.openxmlformats.org/officeDocument/2006/relationships/hyperlink" Target="https://www.fantacalcio.it/serie-a/squadre/venezia/adams-a/7484/2026-27/italia" TargetMode="External"/><Relationship Id="rId1331" Type="http://schemas.openxmlformats.org/officeDocument/2006/relationships/hyperlink" Target="https://www.gazzetta.it/calcio/fantanews/04-08-2026/venezia-al-fantacalcio-2026-27-titolari-rigorista-sorprese-consigli-su-chi-prendere.shtml" TargetMode="External"/><Relationship Id="rId1332" Type="http://schemas.openxmlformats.org/officeDocument/2006/relationships/hyperlink" Target="https://www.gazzetta.it/calcio/giocatori/tijjani-noslin/544865/" TargetMode="External"/><Relationship Id="rId1333" Type="http://schemas.openxmlformats.org/officeDocument/2006/relationships/hyperlink" Target="https://www.fantacalcio.it/serie-a/squadre/lazio/noslin/6556/2026-27/italia" TargetMode="External"/><Relationship Id="rId1334" Type="http://schemas.openxmlformats.org/officeDocument/2006/relationships/hyperlink" Target="https://www.gazzetta.it/calcio/fantanews/02-08-2026/lazio-al-fantacalcio-2026-27-titolari-rigorista-sorprese-e-consigli-su-chi-prendere.shtml" TargetMode="External"/><Relationship Id="rId1335" Type="http://schemas.openxmlformats.org/officeDocument/2006/relationships/hyperlink" Target="https://www.gazzetta.it/calcio/giocatori/artem-dovbyk/213294/" TargetMode="External"/><Relationship Id="rId1336" Type="http://schemas.openxmlformats.org/officeDocument/2006/relationships/hyperlink" Target="https://www.fantacalcio.it/serie-a/squadre/bologna/dovbyk/6675/2026-27/italia" TargetMode="External"/><Relationship Id="rId1337" Type="http://schemas.openxmlformats.org/officeDocument/2006/relationships/hyperlink" Target="https://www.gazzetta.it/calcio/fantanews/03-08-2026/bologna-fantacalcio-2026-27-titolari-rigorista-sorprese-consigli-su-chi-prendere.shtml" TargetMode="External"/><Relationship Id="rId1338" Type="http://schemas.openxmlformats.org/officeDocument/2006/relationships/hyperlink" Target="https://www.gazzetta.it/calcio/giocatori/nesta-elphege/617559/" TargetMode="External"/><Relationship Id="rId1339" Type="http://schemas.openxmlformats.org/officeDocument/2006/relationships/hyperlink" Target="https://www.fantacalcio.it/serie-a/squadre/parma/elphege/7342/2026-27/italia" TargetMode="External"/><Relationship Id="rId1340" Type="http://schemas.openxmlformats.org/officeDocument/2006/relationships/hyperlink" Target="https://www.gazzetta.it/calcio/fantanews/03-08-2026/parma-al-fantacalcio-2026-27-titolari-rigorista-sorprese-consigli-su-chi-prendere.shtml" TargetMode="External"/><Relationship Id="rId1341" Type="http://schemas.openxmlformats.org/officeDocument/2006/relationships/hyperlink" Target="https://www.fantacalcio.it/serie-a/squadre/frosinone/kvernadze/6204/2026-27/italia" TargetMode="External"/><Relationship Id="rId1342" Type="http://schemas.openxmlformats.org/officeDocument/2006/relationships/hyperlink" Target="https://www.gazzetta.it/calcio/fantanews/02-08-2026/frosinone-al-fantacalcio-2026-27-titolari-rigorista-sorprese-e-consigli-su-chi-prendere.shtml" TargetMode="External"/><Relationship Id="rId1343" Type="http://schemas.openxmlformats.org/officeDocument/2006/relationships/hyperlink" Target="https://www.gazzetta.it/calcio/giocatori/nico-gonzalez/231004/" TargetMode="External"/><Relationship Id="rId1344" Type="http://schemas.openxmlformats.org/officeDocument/2006/relationships/hyperlink" Target="https://www.fantacalcio.it/serie-a/squadre/juventus/gonzalez-n/4179/2026-27/italia" TargetMode="External"/><Relationship Id="rId1345" Type="http://schemas.openxmlformats.org/officeDocument/2006/relationships/hyperlink" Target="https://www.gazzetta.it/calcio/fantanews/03-08-2026/juve-al-fantacalcio-2026-27-titolari-rigorista-sorprese-consigli-su-chi-prendere.shtml" TargetMode="External"/><Relationship Id="rId1346" Type="http://schemas.openxmlformats.org/officeDocument/2006/relationships/hyperlink" Target="https://www.gazzetta.it/calcio/giocatori/do-nascimiento-giovane/576812/" TargetMode="External"/><Relationship Id="rId1347" Type="http://schemas.openxmlformats.org/officeDocument/2006/relationships/hyperlink" Target="https://www.fantacalcio.it/serie-a/squadre/napoli/giovane/7162/2026-27/italia" TargetMode="External"/><Relationship Id="rId1348" Type="http://schemas.openxmlformats.org/officeDocument/2006/relationships/hyperlink" Target="https://www.gazzetta.it/calcio/fantanews/02-08-2026/napoli-fantacalcio-2026-27-titolari-rigorista-sorprese-consigli-su-chi-prendere.shtml" TargetMode="External"/><Relationship Id="rId1349" Type="http://schemas.openxmlformats.org/officeDocument/2006/relationships/hyperlink" Target="https://www.gazzetta.it/calcio/giocatori/cyril-ngonge/465199/" TargetMode="External"/><Relationship Id="rId1350" Type="http://schemas.openxmlformats.org/officeDocument/2006/relationships/hyperlink" Target="https://www.fantacalcio.it/serie-a/squadre/monza/ngonge/6145/2026-27/italia" TargetMode="External"/><Relationship Id="rId1351" Type="http://schemas.openxmlformats.org/officeDocument/2006/relationships/hyperlink" Target="https://www.gazzetta.it/calcio/fantanews/05-08-2026/monza-al-fantacalcio-2026-27-titolari-rigorista-sorprese-consigli-su-chi-prendere.shtml" TargetMode="External"/><Relationship Id="rId1352" Type="http://schemas.openxmlformats.org/officeDocument/2006/relationships/hyperlink" Target="https://www.fantacalcio.it/serie-a/squadre/venezia/adorante/4387/2026-27/italia" TargetMode="External"/><Relationship Id="rId1353" Type="http://schemas.openxmlformats.org/officeDocument/2006/relationships/hyperlink" Target="https://www.gazzetta.it/calcio/fantanews/04-08-2026/venezia-al-fantacalcio-2026-27-titolari-rigorista-sorprese-consigli-su-chi-prendere.shtml" TargetMode="External"/><Relationship Id="rId1354" Type="http://schemas.openxmlformats.org/officeDocument/2006/relationships/hyperlink" Target="https://www.gazzetta.it/calcio/giocatori/el-bilal-toure/476489/" TargetMode="External"/><Relationship Id="rId1355" Type="http://schemas.openxmlformats.org/officeDocument/2006/relationships/hyperlink" Target="https://www.fantacalcio.it/serie-a/squadre/parma/tour%C3%A8-e/6229/2026-27/italia" TargetMode="External"/><Relationship Id="rId1356" Type="http://schemas.openxmlformats.org/officeDocument/2006/relationships/hyperlink" Target="https://www.gazzetta.it/calcio/fantanews/03-08-2026/parma-al-fantacalcio-2026-27-titolari-rigorista-sorprese-consigli-su-chi-prendere.shtml" TargetMode="External"/><Relationship Id="rId1357" Type="http://schemas.openxmlformats.org/officeDocument/2006/relationships/hyperlink" Target="https://www.gazzetta.it/calcio/giocatori/matteo-cancellieri/466149/" TargetMode="External"/><Relationship Id="rId1358" Type="http://schemas.openxmlformats.org/officeDocument/2006/relationships/hyperlink" Target="https://www.fantacalcio.it/serie-a/squadre/lazio/cancellieri/5500/2026-27/italia" TargetMode="External"/><Relationship Id="rId1359" Type="http://schemas.openxmlformats.org/officeDocument/2006/relationships/hyperlink" Target="https://www.gazzetta.it/calcio/fantanews/02-08-2026/lazio-al-fantacalcio-2026-27-titolari-rigorista-sorprese-e-consigli-su-chi-prendere.shtml" TargetMode="External"/><Relationship Id="rId1360" Type="http://schemas.openxmlformats.org/officeDocument/2006/relationships/hyperlink" Target="https://www.fantacalcio.it/serie-a/squadre/monza/mota/5882/2026-27/italia" TargetMode="External"/><Relationship Id="rId1361" Type="http://schemas.openxmlformats.org/officeDocument/2006/relationships/hyperlink" Target="https://www.gazzetta.it/calcio/fantanews/05-08-2026/monza-al-fantacalcio-2026-27-titolari-rigorista-sorprese-consigli-su-chi-prendere.shtml" TargetMode="External"/><Relationship Id="rId1362" Type="http://schemas.openxmlformats.org/officeDocument/2006/relationships/hyperlink" Target="https://www.gazzetta.it/calcio/giocatori/mbala-nzola/218707/" TargetMode="External"/><Relationship Id="rId1363" Type="http://schemas.openxmlformats.org/officeDocument/2006/relationships/hyperlink" Target="https://www.fantacalcio.it/serie-a/squadre/cagliari/nzola/5336/2026-27/italia" TargetMode="External"/><Relationship Id="rId1364" Type="http://schemas.openxmlformats.org/officeDocument/2006/relationships/hyperlink" Target="https://www.gazzetta.it/calcio/fantanews/04-08-2026/cagliari-fantacalcio-2026-27-titolari-rigorista-sorprese-consigli-su-chi-prendere.shtml" TargetMode="External"/><Relationship Id="rId1365" Type="http://schemas.openxmlformats.org/officeDocument/2006/relationships/hyperlink" Target="https://www.fantacalcio.it/serie-a/squadre/lecce/geubbels/5029/2026-27/italia" TargetMode="External"/><Relationship Id="rId1366" Type="http://schemas.openxmlformats.org/officeDocument/2006/relationships/hyperlink" Target="https://www.gazzetta.it/calcio/fantanews/04-08-2026/lecce-fantacalcio-2026-27-titolari-rigorista-sorprese-consigli-su-chi-prendere.shtml" TargetMode="External"/><Relationship Id="rId1367" Type="http://schemas.openxmlformats.org/officeDocument/2006/relationships/hyperlink" Target="https://www.fantacalcio.it/serie-a/squadre/frosinone/bobcek/7612/2026-27/italia" TargetMode="External"/><Relationship Id="rId1368" Type="http://schemas.openxmlformats.org/officeDocument/2006/relationships/hyperlink" Target="https://www.gazzetta.it/calcio/fantanews/02-08-2026/frosinone-al-fantacalcio-2026-27-titolari-rigorista-sorprese-e-consigli-su-chi-prendere.shtml" TargetMode="External"/><Relationship Id="rId1369" Type="http://schemas.openxmlformats.org/officeDocument/2006/relationships/hyperlink" Target="https://www.gazzetta.it/calcio/giocatori/kamaldeen-sulemana/504783/" TargetMode="External"/><Relationship Id="rId1370" Type="http://schemas.openxmlformats.org/officeDocument/2006/relationships/hyperlink" Target="https://www.fantacalcio.it/serie-a/squadre/atalanta/sulemana-k/5918/2026-27/italia" TargetMode="External"/><Relationship Id="rId1371" Type="http://schemas.openxmlformats.org/officeDocument/2006/relationships/hyperlink" Target="https://www.gazzetta.it/calcio/fantanews/02-08-2026/atalanta-fantacalcio-2026-27-titolari-rigorista-sorprese-consigli-su-chi-prendere.shtml" TargetMode="External"/><Relationship Id="rId1372" Type="http://schemas.openxmlformats.org/officeDocument/2006/relationships/hyperlink" Target="https://www.fantacalcio.it/serie-a/squadre/cagliari/kevin-carlos/7547/2026-27/italia" TargetMode="External"/><Relationship Id="rId1373" Type="http://schemas.openxmlformats.org/officeDocument/2006/relationships/hyperlink" Target="https://www.gazzetta.it/calcio/fantanews/04-08-2026/cagliari-fantacalcio-2026-27-titolari-rigorista-sorprese-consigli-su-chi-prendere.shtml" TargetMode="External"/><Relationship Id="rId1374" Type="http://schemas.openxmlformats.org/officeDocument/2006/relationships/hyperlink" Target="https://www.gazzetta.it/calcio/giocatori/benjamin-dominguez/561201/" TargetMode="External"/><Relationship Id="rId1375" Type="http://schemas.openxmlformats.org/officeDocument/2006/relationships/hyperlink" Target="https://www.fantacalcio.it/serie-a/squadre/sassuolo/dominguez-b/6895/2026-27/italia" TargetMode="External"/><Relationship Id="rId1376" Type="http://schemas.openxmlformats.org/officeDocument/2006/relationships/hyperlink" Target="https://www.gazzetta.it/calcio/fantanews/04-08-2026/sassuolo-fantacalcio-2026-27-titolari-rigorista-sorprese-consigli-su-chi-prendere.shtml" TargetMode="External"/><Relationship Id="rId1377" Type="http://schemas.openxmlformats.org/officeDocument/2006/relationships/hyperlink" Target="https://www.gazzetta.it/calcio/giocatori/konan-ndri/477240/" TargetMode="External"/><Relationship Id="rId1378" Type="http://schemas.openxmlformats.org/officeDocument/2006/relationships/hyperlink" Target="https://www.fantacalcio.it/serie-a/squadre/lecce/n-dri/7001/2026-27/italia" TargetMode="External"/><Relationship Id="rId1379" Type="http://schemas.openxmlformats.org/officeDocument/2006/relationships/hyperlink" Target="https://www.gazzetta.it/calcio/fantanews/04-08-2026/lecce-fantacalcio-2026-27-titolari-rigorista-sorprese-consigli-su-chi-prendere.shtml" TargetMode="External"/><Relationship Id="rId1380" Type="http://schemas.openxmlformats.org/officeDocument/2006/relationships/hyperlink" Target="https://www.gazzetta.it/calcio/giocatori/zakaria-aboukhlal/219263/" TargetMode="External"/><Relationship Id="rId1381" Type="http://schemas.openxmlformats.org/officeDocument/2006/relationships/hyperlink" Target="https://www.fantacalcio.it/serie-a/squadre/torino/aboukhlal/7183/2026-27/italia" TargetMode="External"/><Relationship Id="rId1382" Type="http://schemas.openxmlformats.org/officeDocument/2006/relationships/hyperlink" Target="https://www.gazzetta.it/calcio/fantanews/03-08-2026/torino-fantacalcio-2026-27-titolari-rigorista-sorprese-consigli-su-chi-prendere.shtml" TargetMode="External"/><Relationship Id="rId1383" Type="http://schemas.openxmlformats.org/officeDocument/2006/relationships/hyperlink" Target="https://www.fantacalcio.it/serie-a/squadre/monza/zeballos/7620/2026-27/italia" TargetMode="External"/><Relationship Id="rId1384" Type="http://schemas.openxmlformats.org/officeDocument/2006/relationships/hyperlink" Target="https://www.gazzetta.it/calcio/fantanews/05-08-2026/monza-al-fantacalcio-2026-27-titolari-rigorista-sorprese-consigli-su-chi-prendere.shtml" TargetMode="External"/><Relationship Id="rId1385" Type="http://schemas.openxmlformats.org/officeDocument/2006/relationships/hyperlink" Target="https://www.gazzetta.it/calcio/giocatori/idrissa-gueye/632811/" TargetMode="External"/><Relationship Id="rId1386" Type="http://schemas.openxmlformats.org/officeDocument/2006/relationships/hyperlink" Target="https://www.fantacalcio.it/serie-a/squadre/udinese/gueye/7272/2026-27/italia" TargetMode="External"/><Relationship Id="rId1387" Type="http://schemas.openxmlformats.org/officeDocument/2006/relationships/hyperlink" Target="https://www.gazzetta.it/calcio/fantanews/03-08-2026/udinese-fantacalcio-2026-27-titolari-rigorista-sorprese-consigli-su-chi-prendere.shtml" TargetMode="External"/><Relationship Id="rId1388" Type="http://schemas.openxmlformats.org/officeDocument/2006/relationships/hyperlink" Target="https://www.gazzetta.it/calcio/giocatori/sandro-kulenovic/235740/" TargetMode="External"/><Relationship Id="rId1389" Type="http://schemas.openxmlformats.org/officeDocument/2006/relationships/hyperlink" Target="https://www.fantacalcio.it/serie-a/squadre/torino/kulenovic/7349/2026-27/italia" TargetMode="External"/><Relationship Id="rId1390" Type="http://schemas.openxmlformats.org/officeDocument/2006/relationships/hyperlink" Target="https://www.gazzetta.it/calcio/fantanews/03-08-2026/torino-fantacalcio-2026-27-titolari-rigorista-sorprese-consigli-su-chi-prendere.shtml" TargetMode="External"/><Relationship Id="rId1391" Type="http://schemas.openxmlformats.org/officeDocument/2006/relationships/hyperlink" Target="https://www.gazzetta.it/calcio/giocatori/pontus-almqvist/248755/" TargetMode="External"/><Relationship Id="rId1392" Type="http://schemas.openxmlformats.org/officeDocument/2006/relationships/hyperlink" Target="https://www.fantacalcio.it/serie-a/squadre/parma/almqvist/6207/2026-27/italia" TargetMode="External"/><Relationship Id="rId1393" Type="http://schemas.openxmlformats.org/officeDocument/2006/relationships/hyperlink" Target="https://www.gazzetta.it/calcio/fantanews/03-08-2026/parma-al-fantacalcio-2026-27-titolari-rigorista-sorprese-consigli-su-chi-prendere.shtml" TargetMode="External"/><Relationship Id="rId1394" Type="http://schemas.openxmlformats.org/officeDocument/2006/relationships/hyperlink" Target="https://www.gazzetta.it/calcio/giocatori/jayden-addai/568185/" TargetMode="External"/><Relationship Id="rId1395" Type="http://schemas.openxmlformats.org/officeDocument/2006/relationships/hyperlink" Target="https://www.fantacalcio.it/serie-a/squadre/como/addai/7127/2026-27/italia" TargetMode="External"/><Relationship Id="rId1396" Type="http://schemas.openxmlformats.org/officeDocument/2006/relationships/hyperlink" Target="https://www.gazzetta.it/calcio/fantanews/04-08-2026/como-fantacalcio-2026-27-titolari-rigorista-sorprese-consigli-su-chi-prendere.shtml" TargetMode="External"/><Relationship Id="rId1397" Type="http://schemas.openxmlformats.org/officeDocument/2006/relationships/hyperlink" Target="https://www.fantacalcio.it/serie-a/squadre/genoa/havel/7453/2026-27/italia" TargetMode="External"/><Relationship Id="rId1398" Type="http://schemas.openxmlformats.org/officeDocument/2006/relationships/hyperlink" Target="https://www.gazzetta.it/calcio/fantanews/04-08-2026/genoa-al-fantacalcio-2026-27-titolari-rigorista-sorprese-consigli-su-chi-prendere.shtml" TargetMode="External"/><Relationship Id="rId1399" Type="http://schemas.openxmlformats.org/officeDocument/2006/relationships/hyperlink" Target="https://www.fantacalcio.it/serie-a/squadre/frosinone/birligea/7610/2026-27/italia" TargetMode="External"/><Relationship Id="rId1400" Type="http://schemas.openxmlformats.org/officeDocument/2006/relationships/hyperlink" Target="https://www.gazzetta.it/calcio/fantanews/02-08-2026/frosinone-al-fantacalcio-2026-27-titolari-rigorista-sorprese-e-consigli-su-chi-prendere.shtml" TargetMode="External"/><Relationship Id="rId1401" Type="http://schemas.openxmlformats.org/officeDocument/2006/relationships/hyperlink" Target="https://www.fantacalcio.it/serie-a/squadre/genoa/osmajic/7600/2026-27/italia" TargetMode="External"/><Relationship Id="rId1402" Type="http://schemas.openxmlformats.org/officeDocument/2006/relationships/hyperlink" Target="https://www.gazzetta.it/calcio/fantanews/04-08-2026/genoa-al-fantacalcio-2026-27-titolari-rigorista-sorprese-consigli-su-chi-prendere.shtml" TargetMode="External"/><Relationship Id="rId1403" Type="http://schemas.openxmlformats.org/officeDocument/2006/relationships/hyperlink" Target="https://www.gazzetta.it/calcio/giocatori/vakoun-bayo/210464/" TargetMode="External"/><Relationship Id="rId1404" Type="http://schemas.openxmlformats.org/officeDocument/2006/relationships/hyperlink" Target="https://www.fantacalcio.it/serie-a/squadre/udinese/bayo-v/7161/2026-27/italia" TargetMode="External"/><Relationship Id="rId1405" Type="http://schemas.openxmlformats.org/officeDocument/2006/relationships/hyperlink" Target="https://www.gazzetta.it/calcio/fantanews/03-08-2026/udinese-fantacalcio-2026-27-titolari-rigorista-sorprese-consigli-su-chi-prendere.shtml" TargetMode="External"/><Relationship Id="rId1406" Type="http://schemas.openxmlformats.org/officeDocument/2006/relationships/hyperlink" Target="https://www.gazzetta.it/calcio/giocatori/jeff-ekhator/606408/" TargetMode="External"/><Relationship Id="rId1407" Type="http://schemas.openxmlformats.org/officeDocument/2006/relationships/hyperlink" Target="https://www.fantacalcio.it/serie-a/squadre/juventus/ekhator/6822/2026-27/italia" TargetMode="External"/><Relationship Id="rId1408" Type="http://schemas.openxmlformats.org/officeDocument/2006/relationships/hyperlink" Target="https://www.gazzetta.it/calcio/fantanews/03-08-2026/juve-al-fantacalcio-2026-27-titolari-rigorista-sorprese-consigli-su-chi-prendere.shtml" TargetMode="External"/><Relationship Id="rId1409" Type="http://schemas.openxmlformats.org/officeDocument/2006/relationships/hyperlink" Target="https://www.gazzetta.it/calcio/giocatori/mattia-felici/476933/" TargetMode="External"/><Relationship Id="rId1410" Type="http://schemas.openxmlformats.org/officeDocument/2006/relationships/hyperlink" Target="https://www.fantacalcio.it/serie-a/squadre/cagliari/felici/6640/2026-27/italia" TargetMode="External"/><Relationship Id="rId1411" Type="http://schemas.openxmlformats.org/officeDocument/2006/relationships/hyperlink" Target="https://www.gazzetta.it/calcio/fantanews/04-08-2026/cagliari-fantacalcio-2026-27-titolari-rigorista-sorprese-consigli-su-chi-prendere.shtml" TargetMode="External"/><Relationship Id="rId1412" Type="http://schemas.openxmlformats.org/officeDocument/2006/relationships/hyperlink" Target="https://www.gazzetta.it/calcio/giocatori/seydou-fini/589998/" TargetMode="External"/><Relationship Id="rId1413" Type="http://schemas.openxmlformats.org/officeDocument/2006/relationships/hyperlink" Target="https://www.fantacalcio.it/serie-a/squadre/frosinone/fini/6506/2026-27/italia" TargetMode="External"/><Relationship Id="rId1414" Type="http://schemas.openxmlformats.org/officeDocument/2006/relationships/hyperlink" Target="https://www.gazzetta.it/calcio/fantanews/02-08-2026/frosinone-al-fantacalcio-2026-27-titolari-rigorista-sorprese-e-consigli-su-chi-prendere.shtml" TargetMode="External"/><Relationship Id="rId1415" Type="http://schemas.openxmlformats.org/officeDocument/2006/relationships/hyperlink" Target="https://www.gazzetta.it/calcio/giocatori/francesco-camarda/633952/" TargetMode="External"/><Relationship Id="rId1416" Type="http://schemas.openxmlformats.org/officeDocument/2006/relationships/hyperlink" Target="https://www.fantacalcio.it/serie-a/squadre/milan/camarda/6519/2026-27/italia" TargetMode="External"/><Relationship Id="rId1417" Type="http://schemas.openxmlformats.org/officeDocument/2006/relationships/hyperlink" Target="https://www.gazzetta.it/calcio/fantanews/02-08-2026/milan-al-fantacalcio-2026-27-titolari-rigorista-sorprese-e-consigli-su-chi-prendere.shtml" TargetMode="External"/><Relationship Id="rId1418" Type="http://schemas.openxmlformats.org/officeDocument/2006/relationships/hyperlink" Target="https://www.fantacalcio.it/serie-a/squadre/bologna/enem/7627/2026-27/italia" TargetMode="External"/><Relationship Id="rId1419" Type="http://schemas.openxmlformats.org/officeDocument/2006/relationships/hyperlink" Target="https://www.gazzetta.it/calcio/fantanews/03-08-2026/bologna-fantacalcio-2026-27-titolari-rigorista-sorprese-consigli-su-chi-prendere.shtml" TargetMode="External"/><Relationship Id="rId1420" Type="http://schemas.openxmlformats.org/officeDocument/2006/relationships/hyperlink" Target="https://www.gazzetta.it/calcio/giocatori/albion-rrahmani/543173/" TargetMode="External"/><Relationship Id="rId1421" Type="http://schemas.openxmlformats.org/officeDocument/2006/relationships/hyperlink" Target="https://www.fantacalcio.it/serie-a/squadre/venezia/rrahmani-al/7449/2026-27/italia" TargetMode="External"/><Relationship Id="rId1422" Type="http://schemas.openxmlformats.org/officeDocument/2006/relationships/hyperlink" Target="https://www.gazzetta.it/calcio/fantanews/04-08-2026/venezia-al-fantacalcio-2026-27-titolari-rigorista-sorprese-consigli-su-chi-prendere.shtml" TargetMode="External"/><Relationship Id="rId1423" Type="http://schemas.openxmlformats.org/officeDocument/2006/relationships/hyperlink" Target="https://www.fantacalcio.it/serie-a/squadre/parma/lontani/7561/2026-27/italia" TargetMode="External"/><Relationship Id="rId1424" Type="http://schemas.openxmlformats.org/officeDocument/2006/relationships/hyperlink" Target="https://www.gazzetta.it/calcio/fantanews/03-08-2026/parma-al-fantacalcio-2026-27-titolari-rigorista-sorprese-consigli-su-chi-prendere.shtml" TargetMode="External"/><Relationship Id="rId1425" Type="http://schemas.openxmlformats.org/officeDocument/2006/relationships/hyperlink" Target="https://www.gazzetta.it/calcio/giocatori/arek-milik/103076/" TargetMode="External"/><Relationship Id="rId1426" Type="http://schemas.openxmlformats.org/officeDocument/2006/relationships/hyperlink" Target="https://www.fantacalcio.it/serie-a/squadre/juventus/milik/2012/2026-27/italia" TargetMode="External"/><Relationship Id="rId1427" Type="http://schemas.openxmlformats.org/officeDocument/2006/relationships/hyperlink" Target="https://www.gazzetta.it/calcio/fantanews/03-08-2026/juve-al-fantacalcio-2026-27-titolari-rigorista-sorprese-consigli-su-chi-prendere.shtml" TargetMode="External"/><Relationship Id="rId1428" Type="http://schemas.openxmlformats.org/officeDocument/2006/relationships/hyperlink" Target="https://www.fantacalcio.it/serie-a/squadre/lecce/fatah/7602/2026-27/italia" TargetMode="External"/><Relationship Id="rId1429" Type="http://schemas.openxmlformats.org/officeDocument/2006/relationships/hyperlink" Target="https://www.gazzetta.it/calcio/fantanews/04-08-2026/lecce-fantacalcio-2026-27-titolari-rigorista-sorprese-consigli-su-chi-prendere.shtml" TargetMode="External"/><Relationship Id="rId1430" Type="http://schemas.openxmlformats.org/officeDocument/2006/relationships/hyperlink" Target="https://www.gazzetta.it/calcio/giocatori/paul-mendy/687995/" TargetMode="External"/><Relationship Id="rId1431" Type="http://schemas.openxmlformats.org/officeDocument/2006/relationships/hyperlink" Target="https://www.fantacalcio.it/serie-a/squadre/cagliari/mendy-p/7374/2026-27/italia" TargetMode="External"/><Relationship Id="rId1432" Type="http://schemas.openxmlformats.org/officeDocument/2006/relationships/hyperlink" Target="https://www.gazzetta.it/calcio/fantanews/04-08-2026/cagliari-fantacalcio-2026-27-titolari-rigorista-sorprese-consigli-su-chi-prendere.shtml" TargetMode="External"/><Relationship Id="rId1433" Type="http://schemas.openxmlformats.org/officeDocument/2006/relationships/hyperlink" Target="https://www.fantacalcio.it/serie-a/squadre/venezia/lisman/7408/2026-27/italia" TargetMode="External"/><Relationship Id="rId1434" Type="http://schemas.openxmlformats.org/officeDocument/2006/relationships/hyperlink" Target="https://www.gazzetta.it/calcio/fantanews/04-08-2026/venezia-al-fantacalcio-2026-27-titolari-rigorista-sorprese-consigli-su-chi-prendere.shtml" TargetMode="External"/><Relationship Id="rId1435" Type="http://schemas.openxmlformats.org/officeDocument/2006/relationships/hyperlink" Target="https://www.gazzetta.it/calcio/giocatori/matija-frigan/521472/" TargetMode="External"/><Relationship Id="rId1436" Type="http://schemas.openxmlformats.org/officeDocument/2006/relationships/hyperlink" Target="https://www.fantacalcio.it/serie-a/squadre/parma/frigan/7213/2026-27/italia" TargetMode="External"/><Relationship Id="rId1437" Type="http://schemas.openxmlformats.org/officeDocument/2006/relationships/hyperlink" Target="https://www.gazzetta.it/calcio/fantanews/03-08-2026/parma-al-fantacalcio-2026-27-titolari-rigorista-sorprese-consigli-su-chi-prendere.shtml" TargetMode="External"/><Relationship Id="rId1438" Type="http://schemas.openxmlformats.org/officeDocument/2006/relationships/hyperlink" Target="https://www.fantacalcio.it/serie-a/squadre/monza/robinson-j/7546/2026-27/italia" TargetMode="External"/><Relationship Id="rId1439" Type="http://schemas.openxmlformats.org/officeDocument/2006/relationships/hyperlink" Target="https://www.gazzetta.it/calcio/fantanews/05-08-2026/monza-al-fantacalcio-2026-27-titolari-rigorista-sorprese-consigli-su-chi-prendere.shtml" TargetMode="External"/><Relationship Id="rId1440" Type="http://schemas.openxmlformats.org/officeDocument/2006/relationships/hyperlink" Target="https://www.gazzetta.it/calcio/giocatori/jesper-karlsson/205110/" TargetMode="External"/><Relationship Id="rId1441" Type="http://schemas.openxmlformats.org/officeDocument/2006/relationships/hyperlink" Target="https://www.gazzetta.it/calcio/giocatori/ousmane-diallo/633419/" TargetMode="External"/><Relationship Id="rId1442" Type="http://schemas.openxmlformats.org/officeDocument/2006/relationships/hyperlink" Target="https://www.fantacalcio.it/serie-a/squadre/parma/diallo-o/7536/2026-27/italia" TargetMode="External"/><Relationship Id="rId1443" Type="http://schemas.openxmlformats.org/officeDocument/2006/relationships/hyperlink" Target="https://www.gazzetta.it/calcio/fantanews/03-08-2026/parma-al-fantacalcio-2026-27-titolari-rigorista-sorprese-consigli-su-chi-prendere.shtml" TargetMode="External"/><Relationship Id="rId1444" Type="http://schemas.openxmlformats.org/officeDocument/2006/relationships/hyperlink" Target="https://www.gazzetta.it/calcio/giocatori/kevin-martins/605413/" TargetMode="External"/><Relationship Id="rId1445" Type="http://schemas.openxmlformats.org/officeDocument/2006/relationships/hyperlink" Target="https://www.fantacalcio.it/serie-a/squadre/venezia/lauberbach/7482/2026-27/italia" TargetMode="External"/><Relationship Id="rId1446" Type="http://schemas.openxmlformats.org/officeDocument/2006/relationships/hyperlink" Target="https://www.gazzetta.it/calcio/fantanews/04-08-2026/venezia-al-fantacalcio-2026-27-titolari-rigorista-sorprese-consigli-su-chi-prendere.shtml" TargetMode="External"/><Relationship Id="rId1447" Type="http://schemas.openxmlformats.org/officeDocument/2006/relationships/hyperlink" Target="https://www.gazzetta.it/calcio/giocatori/omari-forson/487828/" TargetMode="External"/><Relationship Id="rId1448" Type="http://schemas.openxmlformats.org/officeDocument/2006/relationships/hyperlink" Target="https://www.fantacalcio.it/serie-a/squadre/monza/forson-o/6592/2026-27/italia" TargetMode="External"/><Relationship Id="rId1449" Type="http://schemas.openxmlformats.org/officeDocument/2006/relationships/hyperlink" Target="https://www.gazzetta.it/calcio/fantanews/05-08-2026/monza-al-fantacalcio-2026-27-titolari-rigorista-sorprese-consigli-su-chi-prendere.shtml" TargetMode="External"/><Relationship Id="rId1450" Type="http://schemas.openxmlformats.org/officeDocument/2006/relationships/hyperlink" Target="https://www.fantacalcio.it/serie-a/squadre/parma/de-martis/7568/2026-27/italia" TargetMode="External"/><Relationship Id="rId1451" Type="http://schemas.openxmlformats.org/officeDocument/2006/relationships/hyperlink" Target="https://www.gazzetta.it/calcio/fantanews/03-08-2026/parma-al-fantacalcio-2026-27-titolari-rigorista-sorprese-consigli-su-chi-prendere.shtml" TargetMode="External"/><Relationship Id="rId1452" Type="http://schemas.openxmlformats.org/officeDocument/2006/relationships/hyperlink" Target="https://www.gazzetta.it/calcio/giocatori/antonio-arena/697465/" TargetMode="External"/><Relationship Id="rId1453" Type="http://schemas.openxmlformats.org/officeDocument/2006/relationships/hyperlink" Target="https://www.gazzetta.it/calcio/giocatori/laurs-skjellerup/508870/" TargetMode="External"/><Relationship Id="rId1454" Type="http://schemas.openxmlformats.org/officeDocument/2006/relationships/hyperlink" Target="https://www.gazzetta.it/calcio/giocatori/nicholas-pierini/221800/" TargetMode="External"/><Relationship Id="rId1455" Type="http://schemas.openxmlformats.org/officeDocument/2006/relationships/hyperlink" Target="https://www.gazzetta.it/calcio/giocatori/yael-trepy/612234/" TargetMode="External"/><Relationship Id="rId1456" Type="http://schemas.openxmlformats.org/officeDocument/2006/relationships/hyperlink" Target="https://www.fantacalcio.it/serie-a/squadre/cagliari/trepy/7317/2026-27/italia" TargetMode="External"/><Relationship Id="rId1457" Type="http://schemas.openxmlformats.org/officeDocument/2006/relationships/hyperlink" Target="https://www.gazzetta.it/calcio/fantanews/04-08-2026/cagliari-fantacalcio-2026-27-titolari-rigorista-sorprese-consigli-su-chi-prendere.shtml" TargetMode="External"/><Relationship Id="rId1458" Type="http://schemas.openxmlformats.org/officeDocument/2006/relationships/hyperlink" Target="https://www.gazzetta.it/calcio/giocatori/cheveyo-balentien/703871/" TargetMode="External"/><Relationship Id="rId1459" Type="http://schemas.openxmlformats.org/officeDocument/2006/relationships/hyperlink" Target="https://www.fantacalcio.it/serie-a/squadre/lecce/laerke/7571/2026-27/italia" TargetMode="External"/><Relationship Id="rId1460" Type="http://schemas.openxmlformats.org/officeDocument/2006/relationships/hyperlink" Target="https://www.gazzetta.it/calcio/fantanews/04-08-2026/lecce-fantacalcio-2026-27-titolari-rigorista-sorprese-consigli-su-chi-prendere.shtml" TargetMode="External"/><Relationship Id="rId1461" Type="http://schemas.openxmlformats.org/officeDocument/2006/relationships/hyperlink" Target="https://www.gazzetta.it/calcio/giocatori/mattia-mosconi/577696/" TargetMode="External"/><Relationship Id="rId1462" Type="http://schemas.openxmlformats.org/officeDocument/2006/relationships/drawing" Target="../drawings/drawing1.xml"/><Relationship Id="rId1463" Type="http://schemas.openxmlformats.org/officeDocument/2006/relationships/vmlDrawing" Target="../drawings/vmlDrawing1.vml"/><Relationship Id="rId1464" Type="http://schemas.openxmlformats.org/officeDocument/2006/relationships/comments" Target="../comments1.xml"/></Relationships>

</file>

<file path=xl/worksheets/_rels/sheet5.xml.rels><?xml version="1.0" encoding="UTF-8"?>
<Relationships xmlns="http://schemas.openxmlformats.org/package/2006/relationships"><Relationship Id="rId1" Type="http://schemas.openxmlformats.org/officeDocument/2006/relationships/hyperlink" Target="https://www.gazzetta.it/calcio/giocatori/mile-svilar/228531/" TargetMode="External"/><Relationship Id="rId2" Type="http://schemas.openxmlformats.org/officeDocument/2006/relationships/hyperlink" Target="https://www.fantacalcio.it/serie-a/squadre/roma/svilar/5841/2026-27/italia" TargetMode="External"/><Relationship Id="rId3" Type="http://schemas.openxmlformats.org/officeDocument/2006/relationships/hyperlink" Target="https://www.gazzetta.it/calcio/fantanews/03-08-2026/roma-al-fantacalcio-2026-27-titolari-rigorista-sorprese-consigli-su-chi-prendere.shtml" TargetMode="External"/><Relationship Id="rId4" Type="http://schemas.openxmlformats.org/officeDocument/2006/relationships/hyperlink" Target="https://www.gazzetta.it/calcio/giocatori/marco-carnesecchi/462537/" TargetMode="External"/><Relationship Id="rId5" Type="http://schemas.openxmlformats.org/officeDocument/2006/relationships/hyperlink" Target="https://www.fantacalcio.it/serie-a/squadre/atalanta/carnesecchi/4431/2026-27/italia" TargetMode="External"/><Relationship Id="rId6" Type="http://schemas.openxmlformats.org/officeDocument/2006/relationships/hyperlink" Target="https://www.gazzetta.it/calcio/fantanews/02-08-2026/atalanta-fantacalcio-2026-27-titolari-rigorista-sorprese-consigli-su-chi-prendere.shtml" TargetMode="External"/><Relationship Id="rId7" Type="http://schemas.openxmlformats.org/officeDocument/2006/relationships/hyperlink" Target="https://www.gazzetta.it/calcio/giocatori/mike-maignan/129487/" TargetMode="External"/><Relationship Id="rId8" Type="http://schemas.openxmlformats.org/officeDocument/2006/relationships/hyperlink" Target="https://www.fantacalcio.it/serie-a/squadre/milan/maignan/4312/2026-27/italia" TargetMode="External"/><Relationship Id="rId9" Type="http://schemas.openxmlformats.org/officeDocument/2006/relationships/hyperlink" Target="https://www.gazzetta.it/calcio/fantanews/02-08-2026/milan-al-fantacalcio-2026-27-titolari-rigorista-sorprese-e-consigli-su-chi-prendere.shtml" TargetMode="External"/><Relationship Id="rId10" Type="http://schemas.openxmlformats.org/officeDocument/2006/relationships/hyperlink" Target="https://www.gazzetta.it/calcio/giocatori/josep-martinez/231188/" TargetMode="External"/><Relationship Id="rId11" Type="http://schemas.openxmlformats.org/officeDocument/2006/relationships/hyperlink" Target="https://www.fantacalcio.it/serie-a/squadre/inter/martinez-jo/5116/2026-27/italia" TargetMode="External"/><Relationship Id="rId12" Type="http://schemas.openxmlformats.org/officeDocument/2006/relationships/hyperlink" Target="https://www.gazzetta.it/calcio/fantanews/05-08-2026/inter-al-fantacalcio-2026-27-titolari-rigorista-sorprese-consigli-su-chi-prendere.shtml" TargetMode="External"/><Relationship Id="rId13" Type="http://schemas.openxmlformats.org/officeDocument/2006/relationships/hyperlink" Target="https://www.fantacalcio.it/serie-a/squadre/juventus/vicario/4964/2026-27/italia" TargetMode="External"/><Relationship Id="rId14" Type="http://schemas.openxmlformats.org/officeDocument/2006/relationships/hyperlink" Target="https://www.gazzetta.it/calcio/fantanews/03-08-2026/juve-al-fantacalcio-2026-27-titolari-rigorista-sorprese-consigli-su-chi-prendere.shtml" TargetMode="External"/><Relationship Id="rId15" Type="http://schemas.openxmlformats.org/officeDocument/2006/relationships/hyperlink" Target="https://www.gazzetta.it/calcio/giocatori/jean-butez/201559/" TargetMode="External"/><Relationship Id="rId16" Type="http://schemas.openxmlformats.org/officeDocument/2006/relationships/hyperlink" Target="https://www.fantacalcio.it/serie-a/squadre/como/butez/6966/2026-27/italia" TargetMode="External"/><Relationship Id="rId17" Type="http://schemas.openxmlformats.org/officeDocument/2006/relationships/hyperlink" Target="https://www.gazzetta.it/calcio/fantanews/04-08-2026/como-fantacalcio-2026-27-titolari-rigorista-sorprese-consigli-su-chi-prendere.shtml" TargetMode="External"/><Relationship Id="rId18" Type="http://schemas.openxmlformats.org/officeDocument/2006/relationships/hyperlink" Target="https://www.gazzetta.it/calcio/giocatori/lukasz-skorupski/85288/" TargetMode="External"/><Relationship Id="rId19" Type="http://schemas.openxmlformats.org/officeDocument/2006/relationships/hyperlink" Target="https://www.fantacalcio.it/serie-a/squadre/bologna/skorupski/133/2026-27/italia" TargetMode="External"/><Relationship Id="rId20" Type="http://schemas.openxmlformats.org/officeDocument/2006/relationships/hyperlink" Target="https://www.gazzetta.it/calcio/fantanews/03-08-2026/bologna-fantacalcio-2026-27-titolari-rigorista-sorprese-consigli-su-chi-prendere.shtml" TargetMode="External"/><Relationship Id="rId21" Type="http://schemas.openxmlformats.org/officeDocument/2006/relationships/hyperlink" Target="https://www.gazzetta.it/calcio/giocatori/elia-caprile/463912/" TargetMode="External"/><Relationship Id="rId22" Type="http://schemas.openxmlformats.org/officeDocument/2006/relationships/hyperlink" Target="https://www.fantacalcio.it/serie-a/squadre/cagliari/caprile/4360/2026-27/italia" TargetMode="External"/><Relationship Id="rId23" Type="http://schemas.openxmlformats.org/officeDocument/2006/relationships/hyperlink" Target="https://www.gazzetta.it/calcio/fantanews/04-08-2026/cagliari-fantacalcio-2026-27-titolari-rigorista-sorprese-consigli-su-chi-prendere.shtml" TargetMode="External"/><Relationship Id="rId24" Type="http://schemas.openxmlformats.org/officeDocument/2006/relationships/hyperlink" Target="https://www.gazzetta.it/calcio/giocatori/christos-mandas/436416/" TargetMode="External"/><Relationship Id="rId25" Type="http://schemas.openxmlformats.org/officeDocument/2006/relationships/hyperlink" Target="https://www.fantacalcio.it/serie-a/squadre/lazio/mandas/6482/2026-27/italia" TargetMode="External"/><Relationship Id="rId26" Type="http://schemas.openxmlformats.org/officeDocument/2006/relationships/hyperlink" Target="https://www.gazzetta.it/calcio/fantanews/02-08-2026/lazio-al-fantacalcio-2026-27-titolari-rigorista-sorprese-e-consigli-su-chi-prendere.shtml" TargetMode="External"/><Relationship Id="rId27" Type="http://schemas.openxmlformats.org/officeDocument/2006/relationships/hyperlink" Target="https://www.gazzetta.it/calcio/giocatori/alex-meret/171366/" TargetMode="External"/><Relationship Id="rId28" Type="http://schemas.openxmlformats.org/officeDocument/2006/relationships/hyperlink" Target="https://www.fantacalcio.it/serie-a/squadre/napoli/meret/572/2026-27/italia" TargetMode="External"/><Relationship Id="rId29" Type="http://schemas.openxmlformats.org/officeDocument/2006/relationships/hyperlink" Target="https://www.gazzetta.it/calcio/fantanews/02-08-2026/napoli-fantacalcio-2026-27-titolari-rigorista-sorprese-consigli-su-chi-prendere.shtml" TargetMode="External"/><Relationship Id="rId30" Type="http://schemas.openxmlformats.org/officeDocument/2006/relationships/hyperlink" Target="https://www.gazzetta.it/calcio/giocatori/justin-bijlow/184933/" TargetMode="External"/><Relationship Id="rId31" Type="http://schemas.openxmlformats.org/officeDocument/2006/relationships/hyperlink" Target="https://www.fantacalcio.it/serie-a/squadre/genoa/bijlow/7332/2026-27/italia" TargetMode="External"/><Relationship Id="rId32" Type="http://schemas.openxmlformats.org/officeDocument/2006/relationships/hyperlink" Target="https://www.gazzetta.it/calcio/fantanews/04-08-2026/genoa-al-fantacalcio-2026-27-titolari-rigorista-sorprese-consigli-su-chi-prendere.shtml" TargetMode="External"/><Relationship Id="rId33" Type="http://schemas.openxmlformats.org/officeDocument/2006/relationships/hyperlink" Target="https://www.gazzetta.it/calcio/giocatori/maduka-okoye/492443/" TargetMode="External"/><Relationship Id="rId34" Type="http://schemas.openxmlformats.org/officeDocument/2006/relationships/hyperlink" Target="https://www.fantacalcio.it/serie-a/squadre/udinese/okoye/6462/2026-27/italia" TargetMode="External"/><Relationship Id="rId35" Type="http://schemas.openxmlformats.org/officeDocument/2006/relationships/hyperlink" Target="https://www.gazzetta.it/calcio/fantanews/03-08-2026/udinese-fantacalcio-2026-27-titolari-rigorista-sorprese-consigli-su-chi-prendere.shtml" TargetMode="External"/><Relationship Id="rId36" Type="http://schemas.openxmlformats.org/officeDocument/2006/relationships/hyperlink" Target="https://www.fantacalcio.it/serie-a/squadre/torino/perri/6534/2026-27/italia" TargetMode="External"/><Relationship Id="rId37" Type="http://schemas.openxmlformats.org/officeDocument/2006/relationships/hyperlink" Target="https://www.gazzetta.it/calcio/fantanews/03-08-2026/torino-fantacalcio-2026-27-titolari-rigorista-sorprese-consigli-su-chi-prendere.shtml" TargetMode="External"/><Relationship Id="rId38" Type="http://schemas.openxmlformats.org/officeDocument/2006/relationships/hyperlink" Target="https://www.gazzetta.it/calcio/giocatori/wladimiro-falcone/126486/" TargetMode="External"/><Relationship Id="rId39" Type="http://schemas.openxmlformats.org/officeDocument/2006/relationships/hyperlink" Target="https://www.fantacalcio.it/serie-a/squadre/lecce/falcone/2134/2026-27/italia" TargetMode="External"/><Relationship Id="rId40" Type="http://schemas.openxmlformats.org/officeDocument/2006/relationships/hyperlink" Target="https://www.gazzetta.it/calcio/fantanews/04-08-2026/lecce-fantacalcio-2026-27-titolari-rigorista-sorprese-consigli-su-chi-prendere.shtml" TargetMode="External"/><Relationship Id="rId41" Type="http://schemas.openxmlformats.org/officeDocument/2006/relationships/hyperlink" Target="https://www.gazzetta.it/calcio/giocatori/david-de-gea/51940/" TargetMode="External"/><Relationship Id="rId42" Type="http://schemas.openxmlformats.org/officeDocument/2006/relationships/hyperlink" Target="https://www.fantacalcio.it/serie-a/squadre/fiorentina/de-gea/2521/2026-27/italia" TargetMode="External"/><Relationship Id="rId43" Type="http://schemas.openxmlformats.org/officeDocument/2006/relationships/hyperlink" Target="https://www.gazzetta.it/calcio/fantanews/02-08-2026/fiorentina-fantacalcio-2026-27-titolari-rigorista-sorprese-consigli-su-chi-prendere.shtml" TargetMode="External"/><Relationship Id="rId44" Type="http://schemas.openxmlformats.org/officeDocument/2006/relationships/hyperlink" Target="https://www.gazzetta.it/calcio/giocatori/arijanet-muric/232917/" TargetMode="External"/><Relationship Id="rId45" Type="http://schemas.openxmlformats.org/officeDocument/2006/relationships/hyperlink" Target="https://www.fantacalcio.it/serie-a/squadre/sassuolo/muric/4236/2026-27/italia" TargetMode="External"/><Relationship Id="rId46" Type="http://schemas.openxmlformats.org/officeDocument/2006/relationships/hyperlink" Target="https://www.gazzetta.it/calcio/fantanews/04-08-2026/sassuolo-fantacalcio-2026-27-titolari-rigorista-sorprese-consigli-su-chi-prendere.shtml" TargetMode="External"/><Relationship Id="rId47" Type="http://schemas.openxmlformats.org/officeDocument/2006/relationships/hyperlink" Target="https://www.gazzetta.it/calcio/giocatori/vanja-milinkovic-savic/193773/" TargetMode="External"/><Relationship Id="rId48" Type="http://schemas.openxmlformats.org/officeDocument/2006/relationships/hyperlink" Target="https://www.fantacalcio.it/serie-a/squadre/napoli/milinkovic-savic-v/2170/2026-27/italia" TargetMode="External"/><Relationship Id="rId49" Type="http://schemas.openxmlformats.org/officeDocument/2006/relationships/hyperlink" Target="https://www.gazzetta.it/calcio/fantanews/02-08-2026/napoli-fantacalcio-2026-27-titolari-rigorista-sorprese-consigli-su-chi-prendere.shtml" TargetMode="External"/><Relationship Id="rId50" Type="http://schemas.openxmlformats.org/officeDocument/2006/relationships/hyperlink" Target="https://www.fantacalcio.it/serie-a/squadre/frosinone/palmisani/6415/2026-27/italia" TargetMode="External"/><Relationship Id="rId51" Type="http://schemas.openxmlformats.org/officeDocument/2006/relationships/hyperlink" Target="https://www.gazzetta.it/calcio/fantanews/02-08-2026/frosinone-al-fantacalcio-2026-27-titolari-rigorista-sorprese-e-consigli-su-chi-prendere.shtml" TargetMode="External"/><Relationship Id="rId52" Type="http://schemas.openxmlformats.org/officeDocument/2006/relationships/hyperlink" Target="https://www.fantacalcio.it/serie-a/squadre/venezia/stankovic-f/6248/2026-27/italia" TargetMode="External"/><Relationship Id="rId53" Type="http://schemas.openxmlformats.org/officeDocument/2006/relationships/hyperlink" Target="https://www.gazzetta.it/calcio/fantanews/04-08-2026/venezia-al-fantacalcio-2026-27-titolari-rigorista-sorprese-consigli-su-chi-prendere.shtml" TargetMode="External"/><Relationship Id="rId54" Type="http://schemas.openxmlformats.org/officeDocument/2006/relationships/hyperlink" Target="https://www.gazzetta.it/calcio/giocatori/alberto-paleari/152934/" TargetMode="External"/><Relationship Id="rId55" Type="http://schemas.openxmlformats.org/officeDocument/2006/relationships/hyperlink" Target="https://www.fantacalcio.it/serie-a/squadre/torino/paleari/5320/2026-27/italia" TargetMode="External"/><Relationship Id="rId56" Type="http://schemas.openxmlformats.org/officeDocument/2006/relationships/hyperlink" Target="https://www.gazzetta.it/calcio/fantanews/03-08-2026/torino-fantacalcio-2026-27-titolari-rigorista-sorprese-consigli-su-chi-prendere.shtml" TargetMode="External"/><Relationship Id="rId57" Type="http://schemas.openxmlformats.org/officeDocument/2006/relationships/hyperlink" Target="https://www.fantacalcio.it/serie-a/squadre/monza/thiam/4485/2026-27/italia" TargetMode="External"/><Relationship Id="rId58" Type="http://schemas.openxmlformats.org/officeDocument/2006/relationships/hyperlink" Target="https://www.gazzetta.it/calcio/fantanews/05-08-2026/monza-al-fantacalcio-2026-27-titolari-rigorista-sorprese-consigli-su-chi-prendere.shtml" TargetMode="External"/><Relationship Id="rId59" Type="http://schemas.openxmlformats.org/officeDocument/2006/relationships/hyperlink" Target="https://www.fantacalcio.it/serie-a/squadre/parma/daffara/7411/2026-27/italia" TargetMode="External"/><Relationship Id="rId60" Type="http://schemas.openxmlformats.org/officeDocument/2006/relationships/hyperlink" Target="https://www.gazzetta.it/calcio/fantanews/03-08-2026/parma-al-fantacalcio-2026-27-titolari-rigorista-sorprese-consigli-su-chi-prendere.shtml" TargetMode="External"/><Relationship Id="rId61" Type="http://schemas.openxmlformats.org/officeDocument/2006/relationships/hyperlink" Target="https://www.gazzetta.it/calcio/giocatori/noel-tornqvist/501567/" TargetMode="External"/><Relationship Id="rId62" Type="http://schemas.openxmlformats.org/officeDocument/2006/relationships/hyperlink" Target="https://www.fantacalcio.it/serie-a/squadre/monza/tornqvist/7301/2026-27/italia" TargetMode="External"/><Relationship Id="rId63" Type="http://schemas.openxmlformats.org/officeDocument/2006/relationships/hyperlink" Target="https://www.gazzetta.it/calcio/fantanews/05-08-2026/monza-al-fantacalcio-2026-27-titolari-rigorista-sorprese-consigli-su-chi-prendere.shtml" TargetMode="External"/><Relationship Id="rId64" Type="http://schemas.openxmlformats.org/officeDocument/2006/relationships/hyperlink" Target="https://www.gazzetta.it/calcio/giocatori/edoardo-corvi/488616/" TargetMode="External"/><Relationship Id="rId65" Type="http://schemas.openxmlformats.org/officeDocument/2006/relationships/hyperlink" Target="https://www.fantacalcio.it/serie-a/squadre/parma/corvi/6662/2026-27/italia" TargetMode="External"/><Relationship Id="rId66" Type="http://schemas.openxmlformats.org/officeDocument/2006/relationships/hyperlink" Target="https://www.gazzetta.it/calcio/fantanews/03-08-2026/parma-al-fantacalcio-2026-27-titolari-rigorista-sorprese-consigli-su-chi-prendere.shtml" TargetMode="External"/><Relationship Id="rId67" Type="http://schemas.openxmlformats.org/officeDocument/2006/relationships/hyperlink" Target="https://www.gazzetta.it/calcio/giocatori/lorenzo-montipo/156245/" TargetMode="External"/><Relationship Id="rId68" Type="http://schemas.openxmlformats.org/officeDocument/2006/relationships/hyperlink" Target="https://www.fantacalcio.it/serie-a/squadre/venezia/montip%C3%B2/4957/2026-27/italia" TargetMode="External"/><Relationship Id="rId69" Type="http://schemas.openxmlformats.org/officeDocument/2006/relationships/hyperlink" Target="https://www.gazzetta.it/calcio/fantanews/04-08-2026/venezia-al-fantacalcio-2026-27-titolari-rigorista-sorprese-consigli-su-chi-prendere.shtml" TargetMode="External"/><Relationship Id="rId70" Type="http://schemas.openxmlformats.org/officeDocument/2006/relationships/hyperlink" Target="https://www.gazzetta.it/calcio/giocatori/ivan-provedel/151923/" TargetMode="External"/><Relationship Id="rId71" Type="http://schemas.openxmlformats.org/officeDocument/2006/relationships/hyperlink" Target="https://www.fantacalcio.it/serie-a/squadre/inter/provedel/2814/2026-27/italia" TargetMode="External"/><Relationship Id="rId72" Type="http://schemas.openxmlformats.org/officeDocument/2006/relationships/hyperlink" Target="https://www.gazzetta.it/calcio/fantanews/05-08-2026/inter-al-fantacalcio-2026-27-titolari-rigorista-sorprese-consigli-su-chi-prendere.shtml" TargetMode="External"/><Relationship Id="rId73" Type="http://schemas.openxmlformats.org/officeDocument/2006/relationships/hyperlink" Target="https://www.gazzetta.it/calcio/giocatori/alessandro-mazzocchi/711788/" TargetMode="External"/><Relationship Id="rId74" Type="http://schemas.openxmlformats.org/officeDocument/2006/relationships/hyperlink" Target="https://www.gazzetta.it/calcio/giocatori/oliver-christensen/243349/" TargetMode="External"/><Relationship Id="rId75" Type="http://schemas.openxmlformats.org/officeDocument/2006/relationships/hyperlink" Target="https://www.fantacalcio.it/serie-a/squadre/fiorentina/christensen-o/6403/2026-27/italia" TargetMode="External"/><Relationship Id="rId76" Type="http://schemas.openxmlformats.org/officeDocument/2006/relationships/hyperlink" Target="https://www.gazzetta.it/calcio/fantanews/02-08-2026/fiorentina-fantacalcio-2026-27-titolari-rigorista-sorprese-consigli-su-chi-prendere.shtml" TargetMode="External"/><Relationship Id="rId77" Type="http://schemas.openxmlformats.org/officeDocument/2006/relationships/hyperlink" Target="https://www.gazzetta.it/calcio/giocatori/pietro-terracciano/79583/" TargetMode="External"/><Relationship Id="rId78" Type="http://schemas.openxmlformats.org/officeDocument/2006/relationships/hyperlink" Target="https://www.fantacalcio.it/serie-a/squadre/milan/terracciano/2815/2026-27/italia" TargetMode="External"/><Relationship Id="rId79" Type="http://schemas.openxmlformats.org/officeDocument/2006/relationships/hyperlink" Target="https://www.gazzetta.it/calcio/fantanews/02-08-2026/milan-al-fantacalcio-2026-27-titolari-rigorista-sorprese-e-consigli-su-chi-prendere.shtml" TargetMode="External"/><Relationship Id="rId80" Type="http://schemas.openxmlformats.org/officeDocument/2006/relationships/hyperlink" Target="https://www.fantacalcio.it/serie-a/squadre/torino/mascardi/7457/2026-27/italia" TargetMode="External"/><Relationship Id="rId81" Type="http://schemas.openxmlformats.org/officeDocument/2006/relationships/hyperlink" Target="https://www.gazzetta.it/calcio/fantanews/03-08-2026/torino-fantacalcio-2026-27-titolari-rigorista-sorprese-consigli-su-chi-prendere.shtml" TargetMode="External"/><Relationship Id="rId82" Type="http://schemas.openxmlformats.org/officeDocument/2006/relationships/hyperlink" Target="https://www.gazzetta.it/calcio/giocatori/edoardo-motta/596827/" TargetMode="External"/><Relationship Id="rId83" Type="http://schemas.openxmlformats.org/officeDocument/2006/relationships/hyperlink" Target="https://www.fantacalcio.it/serie-a/squadre/lazio/motta/7337/2026-27/italia" TargetMode="External"/><Relationship Id="rId84" Type="http://schemas.openxmlformats.org/officeDocument/2006/relationships/hyperlink" Target="https://www.gazzetta.it/calcio/fantanews/02-08-2026/lazio-al-fantacalcio-2026-27-titolari-rigorista-sorprese-e-consigli-su-chi-prendere.shtml" TargetMode="External"/><Relationship Id="rId85" Type="http://schemas.openxmlformats.org/officeDocument/2006/relationships/hyperlink" Target="https://www.gazzetta.it/calcio/giocatori/massimo-pessina/636715/" TargetMode="External"/><Relationship Id="rId86" Type="http://schemas.openxmlformats.org/officeDocument/2006/relationships/hyperlink" Target="https://www.fantacalcio.it/serie-a/squadre/bologna/pessina-mas/7172/2026-27/italia" TargetMode="External"/><Relationship Id="rId87" Type="http://schemas.openxmlformats.org/officeDocument/2006/relationships/hyperlink" Target="https://www.gazzetta.it/calcio/fantanews/03-08-2026/bologna-fantacalcio-2026-27-titolari-rigorista-sorprese-consigli-su-chi-prendere.shtml" TargetMode="External"/><Relationship Id="rId88" Type="http://schemas.openxmlformats.org/officeDocument/2006/relationships/hyperlink" Target="https://www.gazzetta.it/calcio/giocatori/stefano-turati/433128/" TargetMode="External"/><Relationship Id="rId89" Type="http://schemas.openxmlformats.org/officeDocument/2006/relationships/hyperlink" Target="https://www.fantacalcio.it/serie-a/squadre/sassuolo/turati/4867/2026-27/italia" TargetMode="External"/><Relationship Id="rId90" Type="http://schemas.openxmlformats.org/officeDocument/2006/relationships/hyperlink" Target="https://www.gazzetta.it/calcio/fantanews/04-08-2026/sassuolo-fantacalcio-2026-27-titolari-rigorista-sorprese-consigli-su-chi-prendere.shtml" TargetMode="External"/><Relationship Id="rId91" Type="http://schemas.openxmlformats.org/officeDocument/2006/relationships/hyperlink" Target="https://www.gazzetta.it/calcio/giocatori/daniele-padelli/18377/" TargetMode="External"/><Relationship Id="rId92" Type="http://schemas.openxmlformats.org/officeDocument/2006/relationships/hyperlink" Target="https://www.fantacalcio.it/serie-a/squadre/udinese/padelli/543/2026-27/italia" TargetMode="External"/><Relationship Id="rId93" Type="http://schemas.openxmlformats.org/officeDocument/2006/relationships/hyperlink" Target="https://www.gazzetta.it/calcio/fantanews/03-08-2026/udinese-fantacalcio-2026-27-titolari-rigorista-sorprese-consigli-su-chi-prendere.shtml" TargetMode="External"/><Relationship Id="rId94" Type="http://schemas.openxmlformats.org/officeDocument/2006/relationships/hyperlink" Target="https://www.gazzetta.it/calcio/giocatori/alessio-furlanetto/484471/" TargetMode="External"/><Relationship Id="rId95" Type="http://schemas.openxmlformats.org/officeDocument/2006/relationships/hyperlink" Target="https://www.gazzetta.it/calcio/giocatori/daniele-sommariva/195561/" TargetMode="External"/><Relationship Id="rId96" Type="http://schemas.openxmlformats.org/officeDocument/2006/relationships/hyperlink" Target="https://www.fantacalcio.it/serie-a/squadre/genoa/sommariva/219/2026-27/italia" TargetMode="External"/><Relationship Id="rId97" Type="http://schemas.openxmlformats.org/officeDocument/2006/relationships/hyperlink" Target="https://www.gazzetta.it/calcio/fantanews/04-08-2026/genoa-al-fantacalcio-2026-27-titolari-rigorista-sorprese-consigli-su-chi-prendere.shtml" TargetMode="External"/><Relationship Id="rId98" Type="http://schemas.openxmlformats.org/officeDocument/2006/relationships/hyperlink" Target="https://www.gazzetta.it/calcio/giocatori/marco-sportiello/55083/" TargetMode="External"/><Relationship Id="rId99" Type="http://schemas.openxmlformats.org/officeDocument/2006/relationships/hyperlink" Target="https://www.fantacalcio.it/serie-a/squadre/atalanta/sportiello/4/2026-27/italia" TargetMode="External"/><Relationship Id="rId100" Type="http://schemas.openxmlformats.org/officeDocument/2006/relationships/hyperlink" Target="https://www.gazzetta.it/calcio/fantanews/02-08-2026/atalanta-fantacalcio-2026-27-titolari-rigorista-sorprese-consigli-su-chi-prendere.shtml" TargetMode="External"/><Relationship Id="rId101" Type="http://schemas.openxmlformats.org/officeDocument/2006/relationships/hyperlink" Target="https://www.gazzetta.it/calcio/giocatori/raffaele-di-gennaro/149261/" TargetMode="External"/><Relationship Id="rId102" Type="http://schemas.openxmlformats.org/officeDocument/2006/relationships/hyperlink" Target="https://www.fantacalcio.it/serie-a/squadre/inter/di-gennaro/1926/2026-27/italia" TargetMode="External"/><Relationship Id="rId103" Type="http://schemas.openxmlformats.org/officeDocument/2006/relationships/hyperlink" Target="https://www.gazzetta.it/calcio/fantanews/05-08-2026/inter-al-fantacalcio-2026-27-titolari-rigorista-sorprese-consigli-su-chi-prendere.shtml" TargetMode="External"/><Relationship Id="rId104" Type="http://schemas.openxmlformats.org/officeDocument/2006/relationships/hyperlink" Target="https://www.fantacalcio.it/serie-a/squadre/frosinone/desplanches/7463/2026-27/italia" TargetMode="External"/><Relationship Id="rId105" Type="http://schemas.openxmlformats.org/officeDocument/2006/relationships/hyperlink" Target="https://www.gazzetta.it/calcio/fantanews/02-08-2026/frosinone-al-fantacalcio-2026-27-titolari-rigorista-sorprese-e-consigli-su-chi-prendere.shtml" TargetMode="External"/><Relationship Id="rId106" Type="http://schemas.openxmlformats.org/officeDocument/2006/relationships/hyperlink" Target="https://www.gazzetta.it/calcio/giocatori/alen-sherri/210284/" TargetMode="External"/><Relationship Id="rId107" Type="http://schemas.openxmlformats.org/officeDocument/2006/relationships/hyperlink" Target="https://www.fantacalcio.it/serie-a/squadre/cagliari/sherri/6650/2026-27/italia" TargetMode="External"/><Relationship Id="rId108" Type="http://schemas.openxmlformats.org/officeDocument/2006/relationships/hyperlink" Target="https://www.gazzetta.it/calcio/fantanews/04-08-2026/cagliari-fantacalcio-2026-27-titolari-rigorista-sorprese-consigli-su-chi-prendere.shtml" TargetMode="External"/><Relationship Id="rId109" Type="http://schemas.openxmlformats.org/officeDocument/2006/relationships/hyperlink" Target="https://www.fantacalcio.it/serie-a/squadre/venezia/pozzi/7531/2026-27/italia" TargetMode="External"/><Relationship Id="rId110" Type="http://schemas.openxmlformats.org/officeDocument/2006/relationships/hyperlink" Target="https://www.gazzetta.it/calcio/fantanews/04-08-2026/venezia-al-fantacalcio-2026-27-titolari-rigorista-sorprese-consigli-su-chi-prendere.shtml" TargetMode="External"/><Relationship Id="rId111" Type="http://schemas.openxmlformats.org/officeDocument/2006/relationships/hyperlink" Target="https://www.fantacalcio.it/serie-a/squadre/monza/strajnar/7475/2026-27/italia" TargetMode="External"/><Relationship Id="rId112" Type="http://schemas.openxmlformats.org/officeDocument/2006/relationships/hyperlink" Target="https://www.gazzetta.it/calcio/fantanews/05-08-2026/monza-al-fantacalcio-2026-27-titolari-rigorista-sorprese-consigli-su-chi-prendere.shtml" TargetMode="External"/><Relationship Id="rId113" Type="http://schemas.openxmlformats.org/officeDocument/2006/relationships/hyperlink" Target="https://www.fantacalcio.it/serie-a/squadre/udinese/mrozek/7611/2026-27/italia" TargetMode="External"/><Relationship Id="rId114" Type="http://schemas.openxmlformats.org/officeDocument/2006/relationships/hyperlink" Target="https://www.gazzetta.it/calcio/fantanews/03-08-2026/udinese-fantacalcio-2026-27-titolari-rigorista-sorprese-consigli-su-chi-prendere.shtml" TargetMode="External"/><Relationship Id="rId115" Type="http://schemas.openxmlformats.org/officeDocument/2006/relationships/hyperlink" Target="https://www.gazzetta.it/calcio/giocatori/boris-radunovic/213535/" TargetMode="External"/><Relationship Id="rId116" Type="http://schemas.openxmlformats.org/officeDocument/2006/relationships/hyperlink" Target="https://www.fantacalcio.it/serie-a/squadre/cagliari/radunovic/3/2026-27/italia" TargetMode="External"/><Relationship Id="rId117" Type="http://schemas.openxmlformats.org/officeDocument/2006/relationships/hyperlink" Target="https://www.gazzetta.it/calcio/fantanews/04-08-2026/cagliari-fantacalcio-2026-27-titolari-rigorista-sorprese-consigli-su-chi-prendere.shtml" TargetMode="External"/><Relationship Id="rId118" Type="http://schemas.openxmlformats.org/officeDocument/2006/relationships/hyperlink" Target="https://www.gazzetta.it/calcio/giocatori/carlo-pinsoglio/59338/" TargetMode="External"/><Relationship Id="rId119" Type="http://schemas.openxmlformats.org/officeDocument/2006/relationships/hyperlink" Target="https://www.fantacalcio.it/serie-a/squadre/juventus/pinsoglio/1930/2026-27/italia" TargetMode="External"/><Relationship Id="rId120" Type="http://schemas.openxmlformats.org/officeDocument/2006/relationships/hyperlink" Target="https://www.gazzetta.it/calcio/fantanews/03-08-2026/juve-al-fantacalcio-2026-27-titolari-rigorista-sorprese-consigli-su-chi-prendere.shtml" TargetMode="External"/><Relationship Id="rId121" Type="http://schemas.openxmlformats.org/officeDocument/2006/relationships/hyperlink" Target="https://www.fantacalcio.it/serie-a/squadre/lazio/renzetti/7534/2026-27/italia" TargetMode="External"/><Relationship Id="rId122" Type="http://schemas.openxmlformats.org/officeDocument/2006/relationships/hyperlink" Target="https://www.gazzetta.it/calcio/fantanews/02-08-2026/lazio-al-fantacalcio-2026-27-titolari-rigorista-sorprese-e-consigli-su-chi-prendere.shtml" TargetMode="External"/><Relationship Id="rId123" Type="http://schemas.openxmlformats.org/officeDocument/2006/relationships/hyperlink" Target="https://www.gazzetta.it/calcio/giocatori/devis-vasquez/223752/" TargetMode="External"/><Relationship Id="rId124" Type="http://schemas.openxmlformats.org/officeDocument/2006/relationships/hyperlink" Target="https://www.fantacalcio.it/serie-a/squadre/udinese/piana/5707/2026-27/italia" TargetMode="External"/><Relationship Id="rId125" Type="http://schemas.openxmlformats.org/officeDocument/2006/relationships/hyperlink" Target="https://www.gazzetta.it/calcio/fantanews/03-08-2026/udinese-fantacalcio-2026-27-titolari-rigorista-sorprese-consigli-su-chi-prendere.shtml" TargetMode="External"/><Relationship Id="rId126" Type="http://schemas.openxmlformats.org/officeDocument/2006/relationships/hyperlink" Target="https://www.fantacalcio.it/serie-a/squadre/frosinone/lolic/7466/2026-27/italia" TargetMode="External"/><Relationship Id="rId127" Type="http://schemas.openxmlformats.org/officeDocument/2006/relationships/hyperlink" Target="https://www.gazzetta.it/calcio/fantanews/02-08-2026/frosinone-al-fantacalcio-2026-27-titolari-rigorista-sorprese-e-consigli-su-chi-prendere.shtml" TargetMode="External"/><Relationship Id="rId128" Type="http://schemas.openxmlformats.org/officeDocument/2006/relationships/hyperlink" Target="https://www.gazzetta.it/calcio/giocatori/francesco-rossi/73709/" TargetMode="External"/><Relationship Id="rId129" Type="http://schemas.openxmlformats.org/officeDocument/2006/relationships/hyperlink" Target="https://www.fantacalcio.it/serie-a/squadre/atalanta/rossi-f/2297/2026-27/italia" TargetMode="External"/><Relationship Id="rId130" Type="http://schemas.openxmlformats.org/officeDocument/2006/relationships/hyperlink" Target="https://www.gazzetta.it/calcio/fantanews/02-08-2026/atalanta-fantacalcio-2026-27-titolari-rigorista-sorprese-consigli-su-chi-prendere.shtml" TargetMode="External"/><Relationship Id="rId131" Type="http://schemas.openxmlformats.org/officeDocument/2006/relationships/hyperlink" Target="https://www.fantacalcio.it/serie-a/squadre/genoa/stolz/6569/2026-27/italia" TargetMode="External"/><Relationship Id="rId132" Type="http://schemas.openxmlformats.org/officeDocument/2006/relationships/hyperlink" Target="https://www.gazzetta.it/calcio/fantanews/04-08-2026/genoa-al-fantacalcio-2026-27-titolari-rigorista-sorprese-consigli-su-chi-prendere.shtml" TargetMode="External"/><Relationship Id="rId133" Type="http://schemas.openxmlformats.org/officeDocument/2006/relationships/hyperlink" Target="https://www.gazzetta.it/calcio/giocatori/giacomo-satalino/223540/" TargetMode="External"/><Relationship Id="rId134" Type="http://schemas.openxmlformats.org/officeDocument/2006/relationships/hyperlink" Target="https://www.fantacalcio.it/serie-a/squadre/sassuolo/satalino/2127/2026-27/italia" TargetMode="External"/><Relationship Id="rId135" Type="http://schemas.openxmlformats.org/officeDocument/2006/relationships/hyperlink" Target="https://www.gazzetta.it/calcio/fantanews/04-08-2026/sassuolo-fantacalcio-2026-27-titolari-rigorista-sorprese-consigli-su-chi-prendere.shtml" TargetMode="External"/><Relationship Id="rId136" Type="http://schemas.openxmlformats.org/officeDocument/2006/relationships/hyperlink" Target="https://www.fantacalcio.it/serie-a/squadre/roma/de-marzi/7048/2026-27/italia" TargetMode="External"/><Relationship Id="rId137" Type="http://schemas.openxmlformats.org/officeDocument/2006/relationships/hyperlink" Target="https://www.gazzetta.it/calcio/fantanews/03-08-2026/roma-al-fantacalcio-2026-27-titolari-rigorista-sorprese-consigli-su-chi-prendere.shtml" TargetMode="External"/><Relationship Id="rId138" Type="http://schemas.openxmlformats.org/officeDocument/2006/relationships/hyperlink" Target="https://www.fantacalcio.it/serie-a/squadre/juventus/grabara/7603/2026-27/italia" TargetMode="External"/><Relationship Id="rId139" Type="http://schemas.openxmlformats.org/officeDocument/2006/relationships/hyperlink" Target="https://www.gazzetta.it/calcio/fantanews/03-08-2026/juve-al-fantacalcio-2026-27-titolari-rigorista-sorprese-consigli-su-chi-prendere.shtml" TargetMode="External"/><Relationship Id="rId140" Type="http://schemas.openxmlformats.org/officeDocument/2006/relationships/hyperlink" Target="https://www.gazzetta.it/calcio/giocatori/lapo-siviero/628553/" TargetMode="External"/><Relationship Id="rId141" Type="http://schemas.openxmlformats.org/officeDocument/2006/relationships/hyperlink" Target="https://www.fantacalcio.it/serie-a/squadre/torino/siviero/7363/2026-27/italia" TargetMode="External"/><Relationship Id="rId142" Type="http://schemas.openxmlformats.org/officeDocument/2006/relationships/hyperlink" Target="https://www.gazzetta.it/calcio/fantanews/03-08-2026/torino-fantacalcio-2026-27-titolari-rigorista-sorprese-consigli-su-chi-prendere.shtml" TargetMode="External"/><Relationship Id="rId143" Type="http://schemas.openxmlformats.org/officeDocument/2006/relationships/hyperlink" Target="https://www.gazzetta.it/calcio/giocatori/lorenzo-torriani/592922/" TargetMode="External"/><Relationship Id="rId144" Type="http://schemas.openxmlformats.org/officeDocument/2006/relationships/hyperlink" Target="https://www.fantacalcio.it/serie-a/squadre/milan/torriani/6813/2026-27/italia" TargetMode="External"/><Relationship Id="rId145" Type="http://schemas.openxmlformats.org/officeDocument/2006/relationships/hyperlink" Target="https://www.gazzetta.it/calcio/fantanews/02-08-2026/milan-al-fantacalcio-2026-27-titolari-rigorista-sorprese-e-consigli-su-chi-prendere.shtml" TargetMode="External"/><Relationship Id="rId146" Type="http://schemas.openxmlformats.org/officeDocument/2006/relationships/hyperlink" Target="https://www.gazzetta.it/calcio/giocatori/luca-lezzerini/105128/" TargetMode="External"/><Relationship Id="rId147" Type="http://schemas.openxmlformats.org/officeDocument/2006/relationships/hyperlink" Target="https://www.fantacalcio.it/serie-a/squadre/fiorentina/lezzerini/158/2026-27/italia" TargetMode="External"/><Relationship Id="rId148" Type="http://schemas.openxmlformats.org/officeDocument/2006/relationships/hyperlink" Target="https://www.gazzetta.it/calcio/fantanews/02-08-2026/fiorentina-fantacalcio-2026-27-titolari-rigorista-sorprese-consigli-su-chi-prendere.shtml" TargetMode="External"/><Relationship Id="rId149" Type="http://schemas.openxmlformats.org/officeDocument/2006/relationships/hyperlink" Target="https://www.fantacalcio.it/serie-a/squadre/lecce/bleve/4468/2026-27/italia" TargetMode="External"/><Relationship Id="rId150" Type="http://schemas.openxmlformats.org/officeDocument/2006/relationships/hyperlink" Target="https://www.gazzetta.it/calcio/fantanews/04-08-2026/lecce-fantacalcio-2026-27-titolari-rigorista-sorprese-consigli-su-chi-prendere.shtml" TargetMode="External"/><Relationship Id="rId151" Type="http://schemas.openxmlformats.org/officeDocument/2006/relationships/hyperlink" Target="https://www.fantacalcio.it/serie-a/squadre/venezia/grandi/6671/2026-27/italia" TargetMode="External"/><Relationship Id="rId152" Type="http://schemas.openxmlformats.org/officeDocument/2006/relationships/hyperlink" Target="https://www.gazzetta.it/calcio/fantanews/04-08-2026/venezia-al-fantacalcio-2026-27-titolari-rigorista-sorprese-consigli-su-chi-prendere.shtml" TargetMode="External"/><Relationship Id="rId153" Type="http://schemas.openxmlformats.org/officeDocument/2006/relationships/hyperlink" Target="https://www.fantacalcio.it/serie-a/squadre/frosinone/pisseri/7560/2026-27/italia" TargetMode="External"/><Relationship Id="rId154" Type="http://schemas.openxmlformats.org/officeDocument/2006/relationships/hyperlink" Target="https://www.gazzetta.it/calcio/fantanews/02-08-2026/frosinone-al-fantacalcio-2026-27-titolari-rigorista-sorprese-e-consigli-su-chi-prendere.shtml" TargetMode="External"/><Relationship Id="rId155" Type="http://schemas.openxmlformats.org/officeDocument/2006/relationships/hyperlink" Target="https://www.gazzetta.it/calcio/giocatori/mauro-vigorito/49719/" TargetMode="External"/><Relationship Id="rId156" Type="http://schemas.openxmlformats.org/officeDocument/2006/relationships/hyperlink" Target="https://www.fantacalcio.it/serie-a/squadre/como/vigorito/2809/2026-27/italia" TargetMode="External"/><Relationship Id="rId157" Type="http://schemas.openxmlformats.org/officeDocument/2006/relationships/hyperlink" Target="https://www.gazzetta.it/calcio/fantanews/04-08-2026/como-fantacalcio-2026-27-titolari-rigorista-sorprese-consigli-su-chi-prendere.shtml" TargetMode="External"/><Relationship Id="rId158" Type="http://schemas.openxmlformats.org/officeDocument/2006/relationships/hyperlink" Target="https://www.gazzetta.it/calcio/giocatori/nikita-contini/177880/" TargetMode="External"/><Relationship Id="rId159" Type="http://schemas.openxmlformats.org/officeDocument/2006/relationships/hyperlink" Target="https://www.fantacalcio.it/serie-a/squadre/napoli/contini/2845/2026-27/italia" TargetMode="External"/><Relationship Id="rId160" Type="http://schemas.openxmlformats.org/officeDocument/2006/relationships/hyperlink" Target="https://www.gazzetta.it/calcio/fantanews/02-08-2026/napoli-fantacalcio-2026-27-titolari-rigorista-sorprese-consigli-su-chi-prendere.shtml" TargetMode="External"/><Relationship Id="rId161" Type="http://schemas.openxmlformats.org/officeDocument/2006/relationships/hyperlink" Target="https://www.gazzetta.it/calcio/giocatori/pierluigi-gollini/156683/" TargetMode="External"/><Relationship Id="rId162" Type="http://schemas.openxmlformats.org/officeDocument/2006/relationships/hyperlink" Target="https://www.fantacalcio.it/serie-a/squadre/roma/gollini/610/2026-27/italia" TargetMode="External"/><Relationship Id="rId163" Type="http://schemas.openxmlformats.org/officeDocument/2006/relationships/hyperlink" Target="https://www.gazzetta.it/calcio/fantanews/03-08-2026/roma-al-fantacalcio-2026-27-titolari-rigorista-sorprese-consigli-su-chi-prendere.shtml" TargetMode="External"/><Relationship Id="rId164" Type="http://schemas.openxmlformats.org/officeDocument/2006/relationships/hyperlink" Target="https://www.fantacalcio.it/serie-a/squadre/lecce/penev/7557/2026-27/italia" TargetMode="External"/><Relationship Id="rId165" Type="http://schemas.openxmlformats.org/officeDocument/2006/relationships/hyperlink" Target="https://www.gazzetta.it/calcio/fantanews/04-08-2026/lecce-fantacalcio-2026-27-titolari-rigorista-sorprese-consigli-su-chi-prendere.shtml" TargetMode="External"/><Relationship Id="rId166" Type="http://schemas.openxmlformats.org/officeDocument/2006/relationships/hyperlink" Target="https://www.gazzetta.it/calcio/giocatori/robert-sanchez/215059/" TargetMode="External"/><Relationship Id="rId167" Type="http://schemas.openxmlformats.org/officeDocument/2006/relationships/hyperlink" Target="https://www.fantacalcio.it/serie-a/squadre/como/sanchez-ro/6344/2026-27/italia" TargetMode="External"/><Relationship Id="rId168" Type="http://schemas.openxmlformats.org/officeDocument/2006/relationships/hyperlink" Target="https://www.gazzetta.it/calcio/fantanews/04-08-2026/como-fantacalcio-2026-27-titolari-rigorista-sorprese-consigli-su-chi-prendere.shtml" TargetMode="External"/><Relationship Id="rId169" Type="http://schemas.openxmlformats.org/officeDocument/2006/relationships/hyperlink" Target="https://www.fantacalcio.it/serie-a/squadre/parma/ghidotti/2874/2026-27/italia" TargetMode="External"/><Relationship Id="rId170" Type="http://schemas.openxmlformats.org/officeDocument/2006/relationships/hyperlink" Target="https://www.gazzetta.it/calcio/fantanews/03-08-2026/parma-al-fantacalcio-2026-27-titolari-rigorista-sorprese-consigli-su-chi-prendere.shtml" TargetMode="External"/><Relationship Id="rId171" Type="http://schemas.openxmlformats.org/officeDocument/2006/relationships/hyperlink" Target="https://www.fantacalcio.it/serie-a/squadre/atalanta/pompei/7626/2026-27/italia" TargetMode="External"/><Relationship Id="rId172" Type="http://schemas.openxmlformats.org/officeDocument/2006/relationships/hyperlink" Target="https://www.gazzetta.it/calcio/fantanews/02-08-2026/atalanta-fantacalcio-2026-27-titolari-rigorista-sorprese-consigli-su-chi-prendere.shtml" TargetMode="External"/><Relationship Id="rId173" Type="http://schemas.openxmlformats.org/officeDocument/2006/relationships/hyperlink" Target="https://www.fantacalcio.it/serie-a/squadre/bologna/happonen/7533/2026-27/italia" TargetMode="External"/><Relationship Id="rId174" Type="http://schemas.openxmlformats.org/officeDocument/2006/relationships/hyperlink" Target="https://www.gazzetta.it/calcio/fantanews/03-08-2026/bologna-fantacalcio-2026-27-titolari-rigorista-sorprese-consigli-su-chi-prendere.shtml" TargetMode="External"/><Relationship Id="rId175" Type="http://schemas.openxmlformats.org/officeDocument/2006/relationships/hyperlink" Target="https://www.gazzetta.it/calcio/giocatori/franco-israel/425703/" TargetMode="External"/><Relationship Id="rId176" Type="http://schemas.openxmlformats.org/officeDocument/2006/relationships/drawing" Target="../drawings/drawing2.xml"/><Relationship Id="rId177" Type="http://schemas.openxmlformats.org/officeDocument/2006/relationships/vmlDrawing" Target="../drawings/vmlDrawing2.vml"/><Relationship Id="rId178" Type="http://schemas.openxmlformats.org/officeDocument/2006/relationships/comments" Target="../comments2.xml"/></Relationships>

</file>

<file path=xl/worksheets/_rels/sheet6.xml.rels><?xml version="1.0" encoding="UTF-8"?>
<Relationships xmlns="http://schemas.openxmlformats.org/package/2006/relationships"><Relationship Id="rId1" Type="http://schemas.openxmlformats.org/officeDocument/2006/relationships/hyperlink" Target="https://www.gazzetta.it/calcio/giocatori/federico-dimarco/161919/" TargetMode="External"/><Relationship Id="rId2" Type="http://schemas.openxmlformats.org/officeDocument/2006/relationships/hyperlink" Target="https://www.fantacalcio.it/serie-a/squadre/inter/dimarco/254/2026-27/italia" TargetMode="External"/><Relationship Id="rId3" Type="http://schemas.openxmlformats.org/officeDocument/2006/relationships/hyperlink" Target="https://www.gazzetta.it/calcio/fantanews/05-08-2026/inter-al-fantacalcio-2026-27-titolari-rigorista-sorprese-consigli-su-chi-prendere.shtml" TargetMode="External"/><Relationship Id="rId4" Type="http://schemas.openxmlformats.org/officeDocument/2006/relationships/hyperlink" Target="https://www.gazzetta.it/calcio/giocatori/gianluca-mancini/198374/" TargetMode="External"/><Relationship Id="rId5" Type="http://schemas.openxmlformats.org/officeDocument/2006/relationships/hyperlink" Target="https://www.fantacalcio.it/serie-a/squadre/roma/mancini/2296/2026-27/italia" TargetMode="External"/><Relationship Id="rId6" Type="http://schemas.openxmlformats.org/officeDocument/2006/relationships/hyperlink" Target="https://www.gazzetta.it/calcio/fantanews/03-08-2026/roma-al-fantacalcio-2026-27-titolari-rigorista-sorprese-consigli-su-chi-prendere.shtml" TargetMode="External"/><Relationship Id="rId7" Type="http://schemas.openxmlformats.org/officeDocument/2006/relationships/hyperlink" Target="https://www.gazzetta.it/calcio/giocatori/bremer/428585/" TargetMode="External"/><Relationship Id="rId8" Type="http://schemas.openxmlformats.org/officeDocument/2006/relationships/hyperlink" Target="https://www.fantacalcio.it/serie-a/squadre/juventus/bremer/2788/2026-27/italia" TargetMode="External"/><Relationship Id="rId9" Type="http://schemas.openxmlformats.org/officeDocument/2006/relationships/hyperlink" Target="https://www.gazzetta.it/calcio/fantanews/03-08-2026/juve-al-fantacalcio-2026-27-titolari-rigorista-sorprese-consigli-su-chi-prendere.shtml" TargetMode="External"/><Relationship Id="rId10" Type="http://schemas.openxmlformats.org/officeDocument/2006/relationships/hyperlink" Target="https://www.gazzetta.it/calcio/giocatori/wesley/563663/" TargetMode="External"/><Relationship Id="rId11" Type="http://schemas.openxmlformats.org/officeDocument/2006/relationships/hyperlink" Target="https://www.fantacalcio.it/serie-a/squadre/roma/wesley/7181/2026-27/italia" TargetMode="External"/><Relationship Id="rId12" Type="http://schemas.openxmlformats.org/officeDocument/2006/relationships/hyperlink" Target="https://www.gazzetta.it/calcio/fantanews/03-08-2026/roma-al-fantacalcio-2026-27-titolari-rigorista-sorprese-consigli-su-chi-prendere.shtml" TargetMode="External"/><Relationship Id="rId13" Type="http://schemas.openxmlformats.org/officeDocument/2006/relationships/hyperlink" Target="https://www.gazzetta.it/calcio/giocatori/alessandro-bastoni/215977/" TargetMode="External"/><Relationship Id="rId14" Type="http://schemas.openxmlformats.org/officeDocument/2006/relationships/hyperlink" Target="https://www.fantacalcio.it/serie-a/squadre/inter/bastoni/2120/2026-27/italia" TargetMode="External"/><Relationship Id="rId15" Type="http://schemas.openxmlformats.org/officeDocument/2006/relationships/hyperlink" Target="https://www.gazzetta.it/calcio/fantanews/05-08-2026/inter-al-fantacalcio-2026-27-titolari-rigorista-sorprese-consigli-su-chi-prendere.shtml" TargetMode="External"/><Relationship Id="rId16" Type="http://schemas.openxmlformats.org/officeDocument/2006/relationships/hyperlink" Target="https://www.gazzetta.it/calcio/giocatori/davide-zappacosta/105700/" TargetMode="External"/><Relationship Id="rId17" Type="http://schemas.openxmlformats.org/officeDocument/2006/relationships/hyperlink" Target="https://www.fantacalcio.it/serie-a/squadre/atalanta/zappacosta/554/2026-27/italia" TargetMode="External"/><Relationship Id="rId18" Type="http://schemas.openxmlformats.org/officeDocument/2006/relationships/hyperlink" Target="https://www.gazzetta.it/calcio/fantanews/02-08-2026/atalanta-fantacalcio-2026-27-titolari-rigorista-sorprese-consigli-su-chi-prendere.shtml" TargetMode="External"/><Relationship Id="rId19" Type="http://schemas.openxmlformats.org/officeDocument/2006/relationships/hyperlink" Target="https://www.gazzetta.it/calcio/giocatori/evan-ndicka/208553/" TargetMode="External"/><Relationship Id="rId20" Type="http://schemas.openxmlformats.org/officeDocument/2006/relationships/hyperlink" Target="https://www.fantacalcio.it/serie-a/squadre/roma/n-dicka/4317/2026-27/italia" TargetMode="External"/><Relationship Id="rId21" Type="http://schemas.openxmlformats.org/officeDocument/2006/relationships/hyperlink" Target="https://www.gazzetta.it/calcio/fantanews/03-08-2026/roma-al-fantacalcio-2026-27-titolari-rigorista-sorprese-consigli-su-chi-prendere.shtml" TargetMode="External"/><Relationship Id="rId22" Type="http://schemas.openxmlformats.org/officeDocument/2006/relationships/hyperlink" Target="https://www.gazzetta.it/calcio/giocatori/pierre-kalulu/466041/" TargetMode="External"/><Relationship Id="rId23" Type="http://schemas.openxmlformats.org/officeDocument/2006/relationships/hyperlink" Target="https://www.fantacalcio.it/serie-a/squadre/juventus/kalulu/4976/2026-27/italia" TargetMode="External"/><Relationship Id="rId24" Type="http://schemas.openxmlformats.org/officeDocument/2006/relationships/hyperlink" Target="https://www.gazzetta.it/calcio/fantanews/03-08-2026/juve-al-fantacalcio-2026-27-titolari-rigorista-sorprese-consigli-su-chi-prendere.shtml" TargetMode="External"/><Relationship Id="rId25" Type="http://schemas.openxmlformats.org/officeDocument/2006/relationships/hyperlink" Target="https://www.gazzetta.it/calcio/giocatori/oumar-solet/432649/" TargetMode="External"/><Relationship Id="rId26" Type="http://schemas.openxmlformats.org/officeDocument/2006/relationships/hyperlink" Target="https://www.fantacalcio.it/serie-a/squadre/udinese/solet/6956/2026-27/italia" TargetMode="External"/><Relationship Id="rId27" Type="http://schemas.openxmlformats.org/officeDocument/2006/relationships/hyperlink" Target="https://www.gazzetta.it/calcio/fantanews/03-08-2026/udinese-fantacalcio-2026-27-titolari-rigorista-sorprese-consigli-su-chi-prendere.shtml" TargetMode="External"/><Relationship Id="rId28" Type="http://schemas.openxmlformats.org/officeDocument/2006/relationships/hyperlink" Target="https://www.gazzetta.it/calcio/giocatori/strahinja-pavlovic/487606/" TargetMode="External"/><Relationship Id="rId29" Type="http://schemas.openxmlformats.org/officeDocument/2006/relationships/hyperlink" Target="https://www.fantacalcio.it/serie-a/squadre/milan/pavlovic/5022/2026-27/italia" TargetMode="External"/><Relationship Id="rId30" Type="http://schemas.openxmlformats.org/officeDocument/2006/relationships/hyperlink" Target="https://www.gazzetta.it/calcio/fantanews/02-08-2026/milan-al-fantacalcio-2026-27-titolari-rigorista-sorprese-e-consigli-su-chi-prendere.shtml" TargetMode="External"/><Relationship Id="rId31" Type="http://schemas.openxmlformats.org/officeDocument/2006/relationships/hyperlink" Target="https://www.gazzetta.it/calcio/giocatori/giovanni-di-lorenzo/93661/" TargetMode="External"/><Relationship Id="rId32" Type="http://schemas.openxmlformats.org/officeDocument/2006/relationships/hyperlink" Target="https://www.fantacalcio.it/serie-a/squadre/napoli/di-lorenzo/2816/2026-27/italia" TargetMode="External"/><Relationship Id="rId33" Type="http://schemas.openxmlformats.org/officeDocument/2006/relationships/hyperlink" Target="https://www.gazzetta.it/calcio/fantanews/02-08-2026/napoli-fantacalcio-2026-27-titolari-rigorista-sorprese-consigli-su-chi-prendere.shtml" TargetMode="External"/><Relationship Id="rId34" Type="http://schemas.openxmlformats.org/officeDocument/2006/relationships/hyperlink" Target="https://www.gazzetta.it/calcio/giocatori/manuel-akanji/211975/" TargetMode="External"/><Relationship Id="rId35" Type="http://schemas.openxmlformats.org/officeDocument/2006/relationships/hyperlink" Target="https://www.fantacalcio.it/serie-a/squadre/inter/akanji/4159/2026-27/italia" TargetMode="External"/><Relationship Id="rId36" Type="http://schemas.openxmlformats.org/officeDocument/2006/relationships/hyperlink" Target="https://www.gazzetta.it/calcio/fantanews/05-08-2026/inter-al-fantacalcio-2026-27-titolari-rigorista-sorprese-consigli-su-chi-prendere.shtml" TargetMode="External"/><Relationship Id="rId37" Type="http://schemas.openxmlformats.org/officeDocument/2006/relationships/hyperlink" Target="https://www.gazzetta.it/calcio/giocatori/mario-hermoso/213431/" TargetMode="External"/><Relationship Id="rId38" Type="http://schemas.openxmlformats.org/officeDocument/2006/relationships/hyperlink" Target="https://www.fantacalcio.it/serie-a/squadre/roma/hermoso/4807/2026-27/italia" TargetMode="External"/><Relationship Id="rId39" Type="http://schemas.openxmlformats.org/officeDocument/2006/relationships/hyperlink" Target="https://www.gazzetta.it/calcio/fantanews/03-08-2026/roma-al-fantacalcio-2026-27-titolari-rigorista-sorprese-consigli-su-chi-prendere.shtml" TargetMode="External"/><Relationship Id="rId40" Type="http://schemas.openxmlformats.org/officeDocument/2006/relationships/hyperlink" Target="https://www.fantacalcio.it/serie-a/squadre/inter/stones/2514/2026-27/italia" TargetMode="External"/><Relationship Id="rId41" Type="http://schemas.openxmlformats.org/officeDocument/2006/relationships/hyperlink" Target="https://www.gazzetta.it/calcio/fantanews/05-08-2026/inter-al-fantacalcio-2026-27-titolari-rigorista-sorprese-consigli-su-chi-prendere.shtml" TargetMode="External"/><Relationship Id="rId42" Type="http://schemas.openxmlformats.org/officeDocument/2006/relationships/hyperlink" Target="https://www.gazzetta.it/calcio/giocatori/leonardo-spinazzola/84161/" TargetMode="External"/><Relationship Id="rId43" Type="http://schemas.openxmlformats.org/officeDocument/2006/relationships/hyperlink" Target="https://www.fantacalcio.it/serie-a/squadre/napoli/spinazzola/1852/2026-27/italia" TargetMode="External"/><Relationship Id="rId44" Type="http://schemas.openxmlformats.org/officeDocument/2006/relationships/hyperlink" Target="https://www.gazzetta.it/calcio/fantanews/02-08-2026/napoli-fantacalcio-2026-27-titolari-rigorista-sorprese-consigli-su-chi-prendere.shtml" TargetMode="External"/><Relationship Id="rId45" Type="http://schemas.openxmlformats.org/officeDocument/2006/relationships/hyperlink" Target="https://www.gazzetta.it/calcio/giocatori/giorgio-scalvini/519394/" TargetMode="External"/><Relationship Id="rId46" Type="http://schemas.openxmlformats.org/officeDocument/2006/relationships/hyperlink" Target="https://www.fantacalcio.it/serie-a/squadre/atalanta/scalvini/5526/2026-27/italia" TargetMode="External"/><Relationship Id="rId47" Type="http://schemas.openxmlformats.org/officeDocument/2006/relationships/hyperlink" Target="https://www.gazzetta.it/calcio/fantanews/02-08-2026/atalanta-fantacalcio-2026-27-titolari-rigorista-sorprese-consigli-su-chi-prendere.shtml" TargetMode="External"/><Relationship Id="rId48" Type="http://schemas.openxmlformats.org/officeDocument/2006/relationships/hyperlink" Target="https://www.gazzetta.it/calcio/giocatori/andrea-cambiaso/515759/" TargetMode="External"/><Relationship Id="rId49" Type="http://schemas.openxmlformats.org/officeDocument/2006/relationships/hyperlink" Target="https://www.fantacalcio.it/serie-a/squadre/juventus/cambiaso/5520/2026-27/italia" TargetMode="External"/><Relationship Id="rId50" Type="http://schemas.openxmlformats.org/officeDocument/2006/relationships/hyperlink" Target="https://www.gazzetta.it/calcio/fantanews/03-08-2026/juve-al-fantacalcio-2026-27-titolari-rigorista-sorprese-consigli-su-chi-prendere.shtml" TargetMode="External"/><Relationship Id="rId51" Type="http://schemas.openxmlformats.org/officeDocument/2006/relationships/hyperlink" Target="https://www.gazzetta.it/calcio/giocatori/leo-ostigard/462026/" TargetMode="External"/><Relationship Id="rId52" Type="http://schemas.openxmlformats.org/officeDocument/2006/relationships/hyperlink" Target="https://www.fantacalcio.it/serie-a/squadre/genoa/ostigard/5750/2026-27/italia" TargetMode="External"/><Relationship Id="rId53" Type="http://schemas.openxmlformats.org/officeDocument/2006/relationships/hyperlink" Target="https://www.gazzetta.it/calcio/fantanews/04-08-2026/genoa-al-fantacalcio-2026-27-titolari-rigorista-sorprese-consigli-su-chi-prendere.shtml" TargetMode="External"/><Relationship Id="rId54" Type="http://schemas.openxmlformats.org/officeDocument/2006/relationships/hyperlink" Target="https://www.fantacalcio.it/serie-a/squadre/roma/molina-n/4998/2026-27/italia" TargetMode="External"/><Relationship Id="rId55" Type="http://schemas.openxmlformats.org/officeDocument/2006/relationships/hyperlink" Target="https://www.gazzetta.it/calcio/fantanews/03-08-2026/roma-al-fantacalcio-2026-27-titolari-rigorista-sorprese-consigli-su-chi-prendere.shtml" TargetMode="External"/><Relationship Id="rId56" Type="http://schemas.openxmlformats.org/officeDocument/2006/relationships/hyperlink" Target="https://www.gazzetta.it/calcio/giocatori/mario-gila/466064/" TargetMode="External"/><Relationship Id="rId57" Type="http://schemas.openxmlformats.org/officeDocument/2006/relationships/hyperlink" Target="https://www.fantacalcio.it/serie-a/squadre/milan/gila/5833/2026-27/italia" TargetMode="External"/><Relationship Id="rId58" Type="http://schemas.openxmlformats.org/officeDocument/2006/relationships/hyperlink" Target="https://www.gazzetta.it/calcio/fantanews/02-08-2026/milan-al-fantacalcio-2026-27-titolari-rigorista-sorprese-e-consigli-su-chi-prendere.shtml" TargetMode="External"/><Relationship Id="rId59" Type="http://schemas.openxmlformats.org/officeDocument/2006/relationships/hyperlink" Target="https://www.gazzetta.it/calcio/giocatori/jacobo-ramon/592991/" TargetMode="External"/><Relationship Id="rId60" Type="http://schemas.openxmlformats.org/officeDocument/2006/relationships/hyperlink" Target="https://www.fantacalcio.it/serie-a/squadre/como/ramon/6869/2026-27/italia" TargetMode="External"/><Relationship Id="rId61" Type="http://schemas.openxmlformats.org/officeDocument/2006/relationships/hyperlink" Target="https://www.gazzetta.it/calcio/fantanews/04-08-2026/como-fantacalcio-2026-27-titolari-rigorista-sorprese-consigli-su-chi-prendere.shtml" TargetMode="External"/><Relationship Id="rId62" Type="http://schemas.openxmlformats.org/officeDocument/2006/relationships/hyperlink" Target="https://www.gazzetta.it/calcio/giocatori/pietro-comuzzo/628413/" TargetMode="External"/><Relationship Id="rId63" Type="http://schemas.openxmlformats.org/officeDocument/2006/relationships/hyperlink" Target="https://www.fantacalcio.it/serie-a/squadre/torino/comuzzo/6495/2026-27/italia" TargetMode="External"/><Relationship Id="rId64" Type="http://schemas.openxmlformats.org/officeDocument/2006/relationships/hyperlink" Target="https://www.gazzetta.it/calcio/fantanews/03-08-2026/torino-fantacalcio-2026-27-titolari-rigorista-sorprese-consigli-su-chi-prendere.shtml" TargetMode="External"/><Relationship Id="rId65" Type="http://schemas.openxmlformats.org/officeDocument/2006/relationships/hyperlink" Target="https://www.gazzetta.it/calcio/giocatori/tiago-gabriel/647210/" TargetMode="External"/><Relationship Id="rId66" Type="http://schemas.openxmlformats.org/officeDocument/2006/relationships/hyperlink" Target="https://www.fantacalcio.it/serie-a/squadre/lecce/tiago-gabriel/6989/2026-27/italia" TargetMode="External"/><Relationship Id="rId67" Type="http://schemas.openxmlformats.org/officeDocument/2006/relationships/hyperlink" Target="https://www.gazzetta.it/calcio/fantanews/04-08-2026/lecce-fantacalcio-2026-27-titolari-rigorista-sorprese-consigli-su-chi-prendere.shtml" TargetMode="External"/><Relationship Id="rId68" Type="http://schemas.openxmlformats.org/officeDocument/2006/relationships/hyperlink" Target="https://www.gazzetta.it/calcio/giocatori/amir-rrahmani/165196/" TargetMode="External"/><Relationship Id="rId69" Type="http://schemas.openxmlformats.org/officeDocument/2006/relationships/hyperlink" Target="https://www.fantacalcio.it/serie-a/squadre/napoli/rrahmani/4409/2026-27/italia" TargetMode="External"/><Relationship Id="rId70" Type="http://schemas.openxmlformats.org/officeDocument/2006/relationships/hyperlink" Target="https://www.gazzetta.it/calcio/fantanews/02-08-2026/napoli-fantacalcio-2026-27-titolari-rigorista-sorprese-consigli-su-chi-prendere.shtml" TargetMode="External"/><Relationship Id="rId71" Type="http://schemas.openxmlformats.org/officeDocument/2006/relationships/hyperlink" Target="https://www.gazzetta.it/calcio/giocatori/juan-miranda/433530/" TargetMode="External"/><Relationship Id="rId72" Type="http://schemas.openxmlformats.org/officeDocument/2006/relationships/hyperlink" Target="https://www.fantacalcio.it/serie-a/squadre/bologna/miranda-j/4734/2026-27/italia" TargetMode="External"/><Relationship Id="rId73" Type="http://schemas.openxmlformats.org/officeDocument/2006/relationships/hyperlink" Target="https://www.gazzetta.it/calcio/fantanews/03-08-2026/bologna-fantacalcio-2026-27-titolari-rigorista-sorprese-consigli-su-chi-prendere.shtml" TargetMode="External"/><Relationship Id="rId74" Type="http://schemas.openxmlformats.org/officeDocument/2006/relationships/hyperlink" Target="https://www.gazzetta.it/calcio/giocatori/emanuele-valeri/430529/" TargetMode="External"/><Relationship Id="rId75" Type="http://schemas.openxmlformats.org/officeDocument/2006/relationships/hyperlink" Target="https://www.fantacalcio.it/serie-a/squadre/parma/valeri/5862/2026-27/italia" TargetMode="External"/><Relationship Id="rId76" Type="http://schemas.openxmlformats.org/officeDocument/2006/relationships/hyperlink" Target="https://www.gazzetta.it/calcio/fantanews/03-08-2026/parma-al-fantacalcio-2026-27-titolari-rigorista-sorprese-consigli-su-chi-prendere.shtml" TargetMode="External"/><Relationship Id="rId77" Type="http://schemas.openxmlformats.org/officeDocument/2006/relationships/hyperlink" Target="https://www.gazzetta.it/calcio/giocatori/hassane-kamara/171099/" TargetMode="External"/><Relationship Id="rId78" Type="http://schemas.openxmlformats.org/officeDocument/2006/relationships/hyperlink" Target="https://www.fantacalcio.it/serie-a/squadre/udinese/kamara-h/5555/2026-27/italia" TargetMode="External"/><Relationship Id="rId79" Type="http://schemas.openxmlformats.org/officeDocument/2006/relationships/hyperlink" Target="https://www.gazzetta.it/calcio/fantanews/03-08-2026/udinese-fantacalcio-2026-27-titolari-rigorista-sorprese-consigli-su-chi-prendere.shtml" TargetMode="External"/><Relationship Id="rId80" Type="http://schemas.openxmlformats.org/officeDocument/2006/relationships/hyperlink" Target="https://www.gazzetta.it/calcio/giocatori/johan-vasquez/431026/" TargetMode="External"/><Relationship Id="rId81" Type="http://schemas.openxmlformats.org/officeDocument/2006/relationships/hyperlink" Target="https://www.fantacalcio.it/serie-a/squadre/genoa/vasquez/5514/2026-27/italia" TargetMode="External"/><Relationship Id="rId82" Type="http://schemas.openxmlformats.org/officeDocument/2006/relationships/hyperlink" Target="https://www.gazzetta.it/calcio/fantanews/04-08-2026/genoa-al-fantacalcio-2026-27-titolari-rigorista-sorprese-consigli-su-chi-prendere.shtml" TargetMode="External"/><Relationship Id="rId83" Type="http://schemas.openxmlformats.org/officeDocument/2006/relationships/hyperlink" Target="https://www.fantacalcio.it/serie-a/squadre/como/chalobah-t/5641/2026-27/italia" TargetMode="External"/><Relationship Id="rId84" Type="http://schemas.openxmlformats.org/officeDocument/2006/relationships/hyperlink" Target="https://www.gazzetta.it/calcio/fantanews/04-08-2026/como-fantacalcio-2026-27-titolari-rigorista-sorprese-consigli-su-chi-prendere.shtml" TargetMode="External"/><Relationship Id="rId85" Type="http://schemas.openxmlformats.org/officeDocument/2006/relationships/hyperlink" Target="https://www.gazzetta.it/calcio/giocatori/yann-bisseck/438261/" TargetMode="External"/><Relationship Id="rId86" Type="http://schemas.openxmlformats.org/officeDocument/2006/relationships/hyperlink" Target="https://www.fantacalcio.it/serie-a/squadre/inter/bisseck/6217/2026-27/italia" TargetMode="External"/><Relationship Id="rId87" Type="http://schemas.openxmlformats.org/officeDocument/2006/relationships/hyperlink" Target="https://www.gazzetta.it/calcio/fantanews/05-08-2026/inter-al-fantacalcio-2026-27-titolari-rigorista-sorprese-consigli-su-chi-prendere.shtml" TargetMode="External"/><Relationship Id="rId88" Type="http://schemas.openxmlformats.org/officeDocument/2006/relationships/hyperlink" Target="https://www.fantacalcio.it/serie-a/squadre/inter/spence/5982/2026-27/italia" TargetMode="External"/><Relationship Id="rId89" Type="http://schemas.openxmlformats.org/officeDocument/2006/relationships/hyperlink" Target="https://www.gazzetta.it/calcio/fantanews/05-08-2026/inter-al-fantacalcio-2026-27-titolari-rigorista-sorprese-consigli-su-chi-prendere.shtml" TargetMode="External"/><Relationship Id="rId90" Type="http://schemas.openxmlformats.org/officeDocument/2006/relationships/hyperlink" Target="https://www.gazzetta.it/calcio/giocatori/emil-holm/479401/" TargetMode="External"/><Relationship Id="rId91" Type="http://schemas.openxmlformats.org/officeDocument/2006/relationships/hyperlink" Target="https://www.fantacalcio.it/serie-a/squadre/bologna/holm/5678/2026-27/italia" TargetMode="External"/><Relationship Id="rId92" Type="http://schemas.openxmlformats.org/officeDocument/2006/relationships/hyperlink" Target="https://www.gazzetta.it/calcio/fantanews/03-08-2026/bologna-fantacalcio-2026-27-titolari-rigorista-sorprese-consigli-su-chi-prendere.shtml" TargetMode="External"/><Relationship Id="rId93" Type="http://schemas.openxmlformats.org/officeDocument/2006/relationships/hyperlink" Target="https://www.gazzetta.it/calcio/giocatori/dodo/218445/" TargetMode="External"/><Relationship Id="rId94" Type="http://schemas.openxmlformats.org/officeDocument/2006/relationships/hyperlink" Target="https://www.fantacalcio.it/serie-a/squadre/fiorentina/dod%C3%B2/5885/2026-27/italia" TargetMode="External"/><Relationship Id="rId95" Type="http://schemas.openxmlformats.org/officeDocument/2006/relationships/hyperlink" Target="https://www.gazzetta.it/calcio/fantanews/02-08-2026/fiorentina-fantacalcio-2026-27-titolari-rigorista-sorprese-consigli-su-chi-prendere.shtml" TargetMode="External"/><Relationship Id="rId96" Type="http://schemas.openxmlformats.org/officeDocument/2006/relationships/hyperlink" Target="https://www.gazzetta.it/calcio/giocatori/antonino-gallo/462484/" TargetMode="External"/><Relationship Id="rId97" Type="http://schemas.openxmlformats.org/officeDocument/2006/relationships/hyperlink" Target="https://www.fantacalcio.it/serie-a/squadre/lecce/gallo/4502/2026-27/italia" TargetMode="External"/><Relationship Id="rId98" Type="http://schemas.openxmlformats.org/officeDocument/2006/relationships/hyperlink" Target="https://www.gazzetta.it/calcio/fantanews/04-08-2026/lecce-fantacalcio-2026-27-titolari-rigorista-sorprese-consigli-su-chi-prendere.shtml" TargetMode="External"/><Relationship Id="rId99" Type="http://schemas.openxmlformats.org/officeDocument/2006/relationships/hyperlink" Target="https://www.gazzetta.it/calcio/giocatori/alex-valle/551074/" TargetMode="External"/><Relationship Id="rId100" Type="http://schemas.openxmlformats.org/officeDocument/2006/relationships/hyperlink" Target="https://www.fantacalcio.it/serie-a/squadre/como/valle/6867/2026-27/italia" TargetMode="External"/><Relationship Id="rId101" Type="http://schemas.openxmlformats.org/officeDocument/2006/relationships/hyperlink" Target="https://www.gazzetta.it/calcio/fantanews/04-08-2026/como-fantacalcio-2026-27-titolari-rigorista-sorprese-consigli-su-chi-prendere.shtml" TargetMode="External"/><Relationship Id="rId102" Type="http://schemas.openxmlformats.org/officeDocument/2006/relationships/hyperlink" Target="https://www.gazzetta.it/calcio/giocatori/marc-oliver-kempf/120670/" TargetMode="External"/><Relationship Id="rId103" Type="http://schemas.openxmlformats.org/officeDocument/2006/relationships/hyperlink" Target="https://www.fantacalcio.it/serie-a/squadre/como/kempf/6893/2026-27/italia" TargetMode="External"/><Relationship Id="rId104" Type="http://schemas.openxmlformats.org/officeDocument/2006/relationships/hyperlink" Target="https://www.gazzetta.it/calcio/fantanews/04-08-2026/como-fantacalcio-2026-27-titolari-rigorista-sorprese-consigli-su-chi-prendere.shtml" TargetMode="External"/><Relationship Id="rId105" Type="http://schemas.openxmlformats.org/officeDocument/2006/relationships/hyperlink" Target="https://www.gazzetta.it/calcio/giocatori/enrico-delprato/449321/" TargetMode="External"/><Relationship Id="rId106" Type="http://schemas.openxmlformats.org/officeDocument/2006/relationships/hyperlink" Target="https://www.fantacalcio.it/serie-a/squadre/parma/delprato/6664/2026-27/italia" TargetMode="External"/><Relationship Id="rId107" Type="http://schemas.openxmlformats.org/officeDocument/2006/relationships/hyperlink" Target="https://www.gazzetta.it/calcio/fantanews/03-08-2026/parma-al-fantacalcio-2026-27-titolari-rigorista-sorprese-consigli-su-chi-prendere.shtml" TargetMode="External"/><Relationship Id="rId108" Type="http://schemas.openxmlformats.org/officeDocument/2006/relationships/hyperlink" Target="https://www.gazzetta.it/calcio/giocatori/jhon-lucumi/217532/" TargetMode="External"/><Relationship Id="rId109" Type="http://schemas.openxmlformats.org/officeDocument/2006/relationships/hyperlink" Target="https://www.fantacalcio.it/serie-a/squadre/juventus/lucum%C3%AC/6042/2026-27/italia" TargetMode="External"/><Relationship Id="rId110" Type="http://schemas.openxmlformats.org/officeDocument/2006/relationships/hyperlink" Target="https://www.gazzetta.it/calcio/fantanews/03-08-2026/juve-al-fantacalcio-2026-27-titolari-rigorista-sorprese-consigli-su-chi-prendere.shtml" TargetMode="External"/><Relationship Id="rId111" Type="http://schemas.openxmlformats.org/officeDocument/2006/relationships/hyperlink" Target="https://www.fantacalcio.it/serie-a/squadre/como/couto/6727/2026-27/italia" TargetMode="External"/><Relationship Id="rId112" Type="http://schemas.openxmlformats.org/officeDocument/2006/relationships/hyperlink" Target="https://www.gazzetta.it/calcio/fantanews/04-08-2026/como-fantacalcio-2026-27-titolari-rigorista-sorprese-consigli-su-chi-prendere.shtml" TargetMode="External"/><Relationship Id="rId113" Type="http://schemas.openxmlformats.org/officeDocument/2006/relationships/hyperlink" Target="https://www.gazzetta.it/calcio/giocatori/yerry-mina/164511/" TargetMode="External"/><Relationship Id="rId114" Type="http://schemas.openxmlformats.org/officeDocument/2006/relationships/hyperlink" Target="https://www.fantacalcio.it/serie-a/squadre/cagliari/mina/4210/2026-27/italia" TargetMode="External"/><Relationship Id="rId115" Type="http://schemas.openxmlformats.org/officeDocument/2006/relationships/hyperlink" Target="https://www.gazzetta.it/calcio/fantanews/04-08-2026/cagliari-fantacalcio-2026-27-titolari-rigorista-sorprese-consigli-su-chi-prendere.shtml" TargetMode="External"/><Relationship Id="rId116" Type="http://schemas.openxmlformats.org/officeDocument/2006/relationships/hyperlink" Target="https://www.gazzetta.it/calcio/giocatori/rafik-belghali/531602/" TargetMode="External"/><Relationship Id="rId117" Type="http://schemas.openxmlformats.org/officeDocument/2006/relationships/hyperlink" Target="https://www.fantacalcio.it/serie-a/squadre/torino/belghali/7220/2026-27/italia" TargetMode="External"/><Relationship Id="rId118" Type="http://schemas.openxmlformats.org/officeDocument/2006/relationships/hyperlink" Target="https://www.gazzetta.it/calcio/fantanews/03-08-2026/torino-fantacalcio-2026-27-titolari-rigorista-sorprese-consigli-su-chi-prendere.shtml" TargetMode="External"/><Relationship Id="rId119" Type="http://schemas.openxmlformats.org/officeDocument/2006/relationships/hyperlink" Target="https://www.gazzetta.it/calcio/giocatori/lloyd-kelly/235530/" TargetMode="External"/><Relationship Id="rId120" Type="http://schemas.openxmlformats.org/officeDocument/2006/relationships/hyperlink" Target="https://www.fantacalcio.it/serie-a/squadre/juventus/kelly-l/6766/2026-27/italia" TargetMode="External"/><Relationship Id="rId121" Type="http://schemas.openxmlformats.org/officeDocument/2006/relationships/hyperlink" Target="https://www.gazzetta.it/calcio/fantanews/03-08-2026/juve-al-fantacalcio-2026-27-titolari-rigorista-sorprese-consigli-su-chi-prendere.shtml" TargetMode="External"/><Relationship Id="rId122" Type="http://schemas.openxmlformats.org/officeDocument/2006/relationships/hyperlink" Target="https://www.gazzetta.it/calcio/giocatori/lorenzo-bernasconi/508878/" TargetMode="External"/><Relationship Id="rId123" Type="http://schemas.openxmlformats.org/officeDocument/2006/relationships/hyperlink" Target="https://www.fantacalcio.it/serie-a/squadre/atalanta/bernasconi/7219/2026-27/italia" TargetMode="External"/><Relationship Id="rId124" Type="http://schemas.openxmlformats.org/officeDocument/2006/relationships/hyperlink" Target="https://www.gazzetta.it/calcio/fantanews/02-08-2026/atalanta-fantacalcio-2026-27-titolari-rigorista-sorprese-consigli-su-chi-prendere.shtml" TargetMode="External"/><Relationship Id="rId125" Type="http://schemas.openxmlformats.org/officeDocument/2006/relationships/hyperlink" Target="https://www.gazzetta.it/calcio/giocatori/alex-jimenez/551483/" TargetMode="External"/><Relationship Id="rId126" Type="http://schemas.openxmlformats.org/officeDocument/2006/relationships/hyperlink" Target="https://www.fantacalcio.it/serie-a/squadre/fiorentina/jimenez-a/6531/2026-27/italia" TargetMode="External"/><Relationship Id="rId127" Type="http://schemas.openxmlformats.org/officeDocument/2006/relationships/hyperlink" Target="https://www.gazzetta.it/calcio/fantanews/02-08-2026/fiorentina-fantacalcio-2026-27-titolari-rigorista-sorprese-consigli-su-chi-prendere.shtml" TargetMode="External"/><Relationship Id="rId128" Type="http://schemas.openxmlformats.org/officeDocument/2006/relationships/hyperlink" Target="https://www.gazzetta.it/calcio/giocatori/matteo-gabbia/215979/" TargetMode="External"/><Relationship Id="rId129" Type="http://schemas.openxmlformats.org/officeDocument/2006/relationships/hyperlink" Target="https://www.fantacalcio.it/serie-a/squadre/milan/gabbia/4401/2026-27/italia" TargetMode="External"/><Relationship Id="rId130" Type="http://schemas.openxmlformats.org/officeDocument/2006/relationships/hyperlink" Target="https://www.gazzetta.it/calcio/fantanews/02-08-2026/milan-al-fantacalcio-2026-27-titolari-rigorista-sorprese-e-consigli-su-chi-prendere.shtml" TargetMode="External"/><Relationship Id="rId131" Type="http://schemas.openxmlformats.org/officeDocument/2006/relationships/hyperlink" Target="https://www.gazzetta.it/calcio/giocatori/adam-marusic/169107/" TargetMode="External"/><Relationship Id="rId132" Type="http://schemas.openxmlformats.org/officeDocument/2006/relationships/hyperlink" Target="https://www.fantacalcio.it/serie-a/squadre/lazio/marusic/2188/2026-27/italia" TargetMode="External"/><Relationship Id="rId133" Type="http://schemas.openxmlformats.org/officeDocument/2006/relationships/hyperlink" Target="https://www.gazzetta.it/calcio/fantanews/02-08-2026/lazio-al-fantacalcio-2026-27-titolari-rigorista-sorprese-e-consigli-su-chi-prendere.shtml" TargetMode="External"/><Relationship Id="rId134" Type="http://schemas.openxmlformats.org/officeDocument/2006/relationships/hyperlink" Target="https://www.gazzetta.it/calcio/giocatori/carlos-augusto/230843/" TargetMode="External"/><Relationship Id="rId135" Type="http://schemas.openxmlformats.org/officeDocument/2006/relationships/hyperlink" Target="https://www.fantacalcio.it/serie-a/squadre/inter/carlos-augusto/5877/2026-27/italia" TargetMode="External"/><Relationship Id="rId136" Type="http://schemas.openxmlformats.org/officeDocument/2006/relationships/hyperlink" Target="https://www.gazzetta.it/calcio/fantanews/05-08-2026/inter-al-fantacalcio-2026-27-titolari-rigorista-sorprese-consigli-su-chi-prendere.shtml" TargetMode="External"/><Relationship Id="rId137" Type="http://schemas.openxmlformats.org/officeDocument/2006/relationships/hyperlink" Target="https://www.gazzetta.it/calcio/giocatori/diego-carlos/165659/" TargetMode="External"/><Relationship Id="rId138" Type="http://schemas.openxmlformats.org/officeDocument/2006/relationships/hyperlink" Target="https://www.fantacalcio.it/serie-a/squadre/parma/diego-carlos/4137/2026-27/italia" TargetMode="External"/><Relationship Id="rId139" Type="http://schemas.openxmlformats.org/officeDocument/2006/relationships/hyperlink" Target="https://www.gazzetta.it/calcio/fantanews/03-08-2026/parma-al-fantacalcio-2026-27-titolari-rigorista-sorprese-consigli-su-chi-prendere.shtml" TargetMode="External"/><Relationship Id="rId140" Type="http://schemas.openxmlformats.org/officeDocument/2006/relationships/hyperlink" Target="https://www.gazzetta.it/calcio/giocatori/raoul-bellanova/209330/" TargetMode="External"/><Relationship Id="rId141" Type="http://schemas.openxmlformats.org/officeDocument/2006/relationships/hyperlink" Target="https://www.fantacalcio.it/serie-a/squadre/atalanta/bellanova/4887/2026-27/italia" TargetMode="External"/><Relationship Id="rId142" Type="http://schemas.openxmlformats.org/officeDocument/2006/relationships/hyperlink" Target="https://www.gazzetta.it/calcio/fantanews/02-08-2026/atalanta-fantacalcio-2026-27-titolari-rigorista-sorprese-consigli-su-chi-prendere.shtml" TargetMode="External"/><Relationship Id="rId143" Type="http://schemas.openxmlformats.org/officeDocument/2006/relationships/hyperlink" Target="https://www.gazzetta.it/calcio/giocatori/mergim-vojvoda/212667/" TargetMode="External"/><Relationship Id="rId144" Type="http://schemas.openxmlformats.org/officeDocument/2006/relationships/hyperlink" Target="https://www.fantacalcio.it/serie-a/squadre/udinese/vojvoda/4994/2026-27/italia" TargetMode="External"/><Relationship Id="rId145" Type="http://schemas.openxmlformats.org/officeDocument/2006/relationships/hyperlink" Target="https://www.gazzetta.it/calcio/fantanews/03-08-2026/udinese-fantacalcio-2026-27-titolari-rigorista-sorprese-consigli-su-chi-prendere.shtml" TargetMode="External"/><Relationship Id="rId146" Type="http://schemas.openxmlformats.org/officeDocument/2006/relationships/hyperlink" Target="https://www.gazzetta.it/calcio/giocatori/thomas-kristensen/513425/" TargetMode="External"/><Relationship Id="rId147" Type="http://schemas.openxmlformats.org/officeDocument/2006/relationships/hyperlink" Target="https://www.fantacalcio.it/serie-a/squadre/atalanta/kristensen-t/6485/2026-27/italia" TargetMode="External"/><Relationship Id="rId148" Type="http://schemas.openxmlformats.org/officeDocument/2006/relationships/hyperlink" Target="https://www.gazzetta.it/calcio/fantanews/02-08-2026/atalanta-fantacalcio-2026-27-titolari-rigorista-sorprese-consigli-su-chi-prendere.shtml" TargetMode="External"/><Relationship Id="rId149" Type="http://schemas.openxmlformats.org/officeDocument/2006/relationships/hyperlink" Target="https://www.gazzetta.it/calcio/giocatori/benjamin-pavard/202675/" TargetMode="External"/><Relationship Id="rId150" Type="http://schemas.openxmlformats.org/officeDocument/2006/relationships/hyperlink" Target="https://www.fantacalcio.it/serie-a/squadre/inter/pavard/4177/2026-27/italia" TargetMode="External"/><Relationship Id="rId151" Type="http://schemas.openxmlformats.org/officeDocument/2006/relationships/hyperlink" Target="https://www.gazzetta.it/calcio/fantanews/05-08-2026/inter-al-fantacalcio-2026-27-titolari-rigorista-sorprese-consigli-su-chi-prendere.shtml" TargetMode="External"/><Relationship Id="rId152" Type="http://schemas.openxmlformats.org/officeDocument/2006/relationships/hyperlink" Target="https://www.gazzetta.it/calcio/giocatori/davide-bartesaghi/586248/" TargetMode="External"/><Relationship Id="rId153" Type="http://schemas.openxmlformats.org/officeDocument/2006/relationships/hyperlink" Target="https://www.fantacalcio.it/serie-a/squadre/milan/bartesaghi/6496/2026-27/italia" TargetMode="External"/><Relationship Id="rId154" Type="http://schemas.openxmlformats.org/officeDocument/2006/relationships/hyperlink" Target="https://www.gazzetta.it/calcio/fantanews/02-08-2026/milan-al-fantacalcio-2026-27-titolari-rigorista-sorprese-e-consigli-su-chi-prendere.shtml" TargetMode="External"/><Relationship Id="rId155" Type="http://schemas.openxmlformats.org/officeDocument/2006/relationships/hyperlink" Target="https://www.fantacalcio.it/serie-a/squadre/lazio/sutalo-j/7580/2026-27/italia" TargetMode="External"/><Relationship Id="rId156" Type="http://schemas.openxmlformats.org/officeDocument/2006/relationships/hyperlink" Target="https://www.gazzetta.it/calcio/fantanews/02-08-2026/lazio-al-fantacalcio-2026-27-titolari-rigorista-sorprese-e-consigli-su-chi-prendere.shtml" TargetMode="External"/><Relationship Id="rId157" Type="http://schemas.openxmlformats.org/officeDocument/2006/relationships/hyperlink" Target="https://www.fantacalcio.it/serie-a/squadre/bologna/theate/5675/2026-27/italia" TargetMode="External"/><Relationship Id="rId158" Type="http://schemas.openxmlformats.org/officeDocument/2006/relationships/hyperlink" Target="https://www.gazzetta.it/calcio/fantanews/03-08-2026/bologna-fantacalcio-2026-27-titolari-rigorista-sorprese-consigli-su-chi-prendere.shtml" TargetMode="External"/><Relationship Id="rId159" Type="http://schemas.openxmlformats.org/officeDocument/2006/relationships/hyperlink" Target="https://www.fantacalcio.it/serie-a/squadre/napoli/badiashile/4664/2026-27/italia" TargetMode="External"/><Relationship Id="rId160" Type="http://schemas.openxmlformats.org/officeDocument/2006/relationships/hyperlink" Target="https://www.gazzetta.it/calcio/fantanews/02-08-2026/napoli-fantacalcio-2026-27-titolari-rigorista-sorprese-consigli-su-chi-prendere.shtml" TargetMode="External"/><Relationship Id="rId161" Type="http://schemas.openxmlformats.org/officeDocument/2006/relationships/hyperlink" Target="https://www.fantacalcio.it/serie-a/squadre/lazio/pedraza/4817/2026-27/italia" TargetMode="External"/><Relationship Id="rId162" Type="http://schemas.openxmlformats.org/officeDocument/2006/relationships/hyperlink" Target="https://www.gazzetta.it/calcio/fantanews/02-08-2026/lazio-al-fantacalcio-2026-27-titolari-rigorista-sorprese-e-consigli-su-chi-prendere.shtml" TargetMode="External"/><Relationship Id="rId163" Type="http://schemas.openxmlformats.org/officeDocument/2006/relationships/hyperlink" Target="https://www.gazzetta.it/calcio/giocatori/saul-coco/451565/" TargetMode="External"/><Relationship Id="rId164" Type="http://schemas.openxmlformats.org/officeDocument/2006/relationships/hyperlink" Target="https://www.fantacalcio.it/serie-a/squadre/torino/coco/6642/2026-27/italia" TargetMode="External"/><Relationship Id="rId165" Type="http://schemas.openxmlformats.org/officeDocument/2006/relationships/hyperlink" Target="https://www.gazzetta.it/calcio/fantanews/03-08-2026/torino-fantacalcio-2026-27-titolari-rigorista-sorprese-consigli-su-chi-prendere.shtml" TargetMode="External"/><Relationship Id="rId166" Type="http://schemas.openxmlformats.org/officeDocument/2006/relationships/hyperlink" Target="https://www.gazzetta.it/calcio/giocatori/adam-obert/484995/" TargetMode="External"/><Relationship Id="rId167" Type="http://schemas.openxmlformats.org/officeDocument/2006/relationships/hyperlink" Target="https://www.fantacalcio.it/serie-a/squadre/cagliari/obert/5701/2026-27/italia" TargetMode="External"/><Relationship Id="rId168" Type="http://schemas.openxmlformats.org/officeDocument/2006/relationships/hyperlink" Target="https://www.gazzetta.it/calcio/fantanews/04-08-2026/cagliari-fantacalcio-2026-27-titolari-rigorista-sorprese-consigli-su-chi-prendere.shtml" TargetMode="External"/><Relationship Id="rId169" Type="http://schemas.openxmlformats.org/officeDocument/2006/relationships/hyperlink" Target="https://www.fantacalcio.it/serie-a/squadre/roma/balerdi/4705/2026-27/italia" TargetMode="External"/><Relationship Id="rId170" Type="http://schemas.openxmlformats.org/officeDocument/2006/relationships/hyperlink" Target="https://www.gazzetta.it/calcio/fantanews/03-08-2026/roma-al-fantacalcio-2026-27-titolari-rigorista-sorprese-consigli-su-chi-prendere.shtml" TargetMode="External"/><Relationship Id="rId171" Type="http://schemas.openxmlformats.org/officeDocument/2006/relationships/hyperlink" Target="https://www.gazzetta.it/calcio/giocatori/isak-hien/523991/" TargetMode="External"/><Relationship Id="rId172" Type="http://schemas.openxmlformats.org/officeDocument/2006/relationships/hyperlink" Target="https://www.fantacalcio.it/serie-a/squadre/atalanta/hien/6046/2026-27/italia" TargetMode="External"/><Relationship Id="rId173" Type="http://schemas.openxmlformats.org/officeDocument/2006/relationships/hyperlink" Target="https://www.gazzetta.it/calcio/fantanews/02-08-2026/atalanta-fantacalcio-2026-27-titolari-rigorista-sorprese-consigli-su-chi-prendere.shtml" TargetMode="External"/><Relationship Id="rId174" Type="http://schemas.openxmlformats.org/officeDocument/2006/relationships/hyperlink" Target="https://www.gazzetta.it/calcio/giocatori/zeki-celik/171435/" TargetMode="External"/><Relationship Id="rId175" Type="http://schemas.openxmlformats.org/officeDocument/2006/relationships/hyperlink" Target="https://www.fantacalcio.it/serie-a/squadre/juventus/celik/4657/2026-27/italia" TargetMode="External"/><Relationship Id="rId176" Type="http://schemas.openxmlformats.org/officeDocument/2006/relationships/hyperlink" Target="https://www.gazzetta.it/calcio/fantanews/03-08-2026/juve-al-fantacalcio-2026-27-titolari-rigorista-sorprese-consigli-su-chi-prendere.shtml" TargetMode="External"/><Relationship Id="rId177" Type="http://schemas.openxmlformats.org/officeDocument/2006/relationships/hyperlink" Target="https://www.gazzetta.it/calcio/giocatori/oliver-provstgaard/497891/" TargetMode="External"/><Relationship Id="rId178" Type="http://schemas.openxmlformats.org/officeDocument/2006/relationships/hyperlink" Target="https://www.fantacalcio.it/serie-a/squadre/lazio/provstgaard/7012/2026-27/italia" TargetMode="External"/><Relationship Id="rId179" Type="http://schemas.openxmlformats.org/officeDocument/2006/relationships/hyperlink" Target="https://www.gazzetta.it/calcio/fantanews/02-08-2026/lazio-al-fantacalcio-2026-27-titolari-rigorista-sorprese-e-consigli-su-chi-prendere.shtml" TargetMode="External"/><Relationship Id="rId180" Type="http://schemas.openxmlformats.org/officeDocument/2006/relationships/hyperlink" Target="https://www.fantacalcio.it/serie-a/squadre/lazio/doekhi/6320/2026-27/italia" TargetMode="External"/><Relationship Id="rId181" Type="http://schemas.openxmlformats.org/officeDocument/2006/relationships/hyperlink" Target="https://www.gazzetta.it/calcio/fantanews/02-08-2026/lazio-al-fantacalcio-2026-27-titolari-rigorista-sorprese-e-consigli-su-chi-prendere.shtml" TargetMode="External"/><Relationship Id="rId182" Type="http://schemas.openxmlformats.org/officeDocument/2006/relationships/hyperlink" Target="https://www.gazzetta.it/calcio/giocatori/ardian-ismajli/229912/" TargetMode="External"/><Relationship Id="rId183" Type="http://schemas.openxmlformats.org/officeDocument/2006/relationships/hyperlink" Target="https://www.fantacalcio.it/serie-a/squadre/torino/ismajli/5010/2026-27/italia" TargetMode="External"/><Relationship Id="rId184" Type="http://schemas.openxmlformats.org/officeDocument/2006/relationships/hyperlink" Target="https://www.gazzetta.it/calcio/fantanews/03-08-2026/torino-fantacalcio-2026-27-titolari-rigorista-sorprese-consigli-su-chi-prendere.shtml" TargetMode="External"/><Relationship Id="rId185" Type="http://schemas.openxmlformats.org/officeDocument/2006/relationships/hyperlink" Target="https://www.gazzetta.it/calcio/giocatori/danilo-veiga/503566/" TargetMode="External"/><Relationship Id="rId186" Type="http://schemas.openxmlformats.org/officeDocument/2006/relationships/hyperlink" Target="https://www.fantacalcio.it/serie-a/squadre/lecce/veiga-d/6990/2026-27/italia" TargetMode="External"/><Relationship Id="rId187" Type="http://schemas.openxmlformats.org/officeDocument/2006/relationships/hyperlink" Target="https://www.gazzetta.it/calcio/fantanews/04-08-2026/lecce-fantacalcio-2026-27-titolari-rigorista-sorprese-consigli-su-chi-prendere.shtml" TargetMode="External"/><Relationship Id="rId188" Type="http://schemas.openxmlformats.org/officeDocument/2006/relationships/hyperlink" Target="https://www.fantacalcio.it/serie-a/squadre/fiorentina/valdepenas/7294/2026-27/italia" TargetMode="External"/><Relationship Id="rId189" Type="http://schemas.openxmlformats.org/officeDocument/2006/relationships/hyperlink" Target="https://www.gazzetta.it/calcio/fantanews/02-08-2026/fiorentina-fantacalcio-2026-27-titolari-rigorista-sorprese-consigli-su-chi-prendere.shtml" TargetMode="External"/><Relationship Id="rId190" Type="http://schemas.openxmlformats.org/officeDocument/2006/relationships/hyperlink" Target="https://www.fantacalcio.it/serie-a/squadre/fiorentina/dragusin/5365/2026-27/italia" TargetMode="External"/><Relationship Id="rId191" Type="http://schemas.openxmlformats.org/officeDocument/2006/relationships/hyperlink" Target="https://www.gazzetta.it/calcio/fantanews/02-08-2026/fiorentina-fantacalcio-2026-27-titolari-rigorista-sorprese-consigli-su-chi-prendere.shtml" TargetMode="External"/><Relationship Id="rId192" Type="http://schemas.openxmlformats.org/officeDocument/2006/relationships/hyperlink" Target="https://www.fantacalcio.it/serie-a/squadre/frosinone/terzic/4375/2026-27/italia" TargetMode="External"/><Relationship Id="rId193" Type="http://schemas.openxmlformats.org/officeDocument/2006/relationships/hyperlink" Target="https://www.gazzetta.it/calcio/fantanews/02-08-2026/frosinone-al-fantacalcio-2026-27-titolari-rigorista-sorprese-e-consigli-su-chi-prendere.shtml" TargetMode="External"/><Relationship Id="rId194" Type="http://schemas.openxmlformats.org/officeDocument/2006/relationships/hyperlink" Target="https://www.gazzetta.it/calcio/giocatori/fikayo-tomori/194794/" TargetMode="External"/><Relationship Id="rId195" Type="http://schemas.openxmlformats.org/officeDocument/2006/relationships/hyperlink" Target="https://www.fantacalcio.it/serie-a/squadre/milan/tomori/4751/2026-27/italia" TargetMode="External"/><Relationship Id="rId196" Type="http://schemas.openxmlformats.org/officeDocument/2006/relationships/hyperlink" Target="https://www.gazzetta.it/calcio/fantanews/02-08-2026/milan-al-fantacalcio-2026-27-titolari-rigorista-sorprese-e-consigli-su-chi-prendere.shtml" TargetMode="External"/><Relationship Id="rId197" Type="http://schemas.openxmlformats.org/officeDocument/2006/relationships/hyperlink" Target="https://www.gazzetta.it/calcio/giocatori/nuno-tavares/437626/" TargetMode="External"/><Relationship Id="rId198" Type="http://schemas.openxmlformats.org/officeDocument/2006/relationships/hyperlink" Target="https://www.fantacalcio.it/serie-a/squadre/lazio/tavares-n/5620/2026-27/italia" TargetMode="External"/><Relationship Id="rId199" Type="http://schemas.openxmlformats.org/officeDocument/2006/relationships/hyperlink" Target="https://www.gazzetta.it/calcio/fantanews/02-08-2026/lazio-al-fantacalcio-2026-27-titolari-rigorista-sorprese-e-consigli-su-chi-prendere.shtml" TargetMode="External"/><Relationship Id="rId200" Type="http://schemas.openxmlformats.org/officeDocument/2006/relationships/hyperlink" Target="https://www.gazzetta.it/calcio/giocatori/mariano-troilo/626942/" TargetMode="External"/><Relationship Id="rId201" Type="http://schemas.openxmlformats.org/officeDocument/2006/relationships/hyperlink" Target="https://www.fantacalcio.it/serie-a/squadre/parma/troilo/7235/2026-27/italia" TargetMode="External"/><Relationship Id="rId202" Type="http://schemas.openxmlformats.org/officeDocument/2006/relationships/hyperlink" Target="https://www.gazzetta.it/calcio/fantanews/03-08-2026/parma-al-fantacalcio-2026-27-titolari-rigorista-sorprese-consigli-su-chi-prendere.shtml" TargetMode="External"/><Relationship Id="rId203" Type="http://schemas.openxmlformats.org/officeDocument/2006/relationships/hyperlink" Target="https://www.gazzetta.it/calcio/giocatori/nadir-zortea/489209/" TargetMode="External"/><Relationship Id="rId204" Type="http://schemas.openxmlformats.org/officeDocument/2006/relationships/hyperlink" Target="https://www.fantacalcio.it/serie-a/squadre/bologna/zortea/4433/2026-27/italia" TargetMode="External"/><Relationship Id="rId205" Type="http://schemas.openxmlformats.org/officeDocument/2006/relationships/hyperlink" Target="https://www.gazzetta.it/calcio/fantanews/03-08-2026/bologna-fantacalcio-2026-27-titolari-rigorista-sorprese-consigli-su-chi-prendere.shtml" TargetMode="External"/><Relationship Id="rId206" Type="http://schemas.openxmlformats.org/officeDocument/2006/relationships/hyperlink" Target="https://www.gazzetta.it/calcio/giocatori/christian-kabasele/85624/" TargetMode="External"/><Relationship Id="rId207" Type="http://schemas.openxmlformats.org/officeDocument/2006/relationships/hyperlink" Target="https://www.fantacalcio.it/serie-a/squadre/udinese/kabasele/4263/2026-27/italia" TargetMode="External"/><Relationship Id="rId208" Type="http://schemas.openxmlformats.org/officeDocument/2006/relationships/hyperlink" Target="https://www.gazzetta.it/calcio/fantanews/03-08-2026/udinese-fantacalcio-2026-27-titolari-rigorista-sorprese-consigli-su-chi-prendere.shtml" TargetMode="External"/><Relationship Id="rId209" Type="http://schemas.openxmlformats.org/officeDocument/2006/relationships/hyperlink" Target="https://www.gazzetta.it/calcio/giocatori/alessandro-marcandalli/624931/" TargetMode="External"/><Relationship Id="rId210" Type="http://schemas.openxmlformats.org/officeDocument/2006/relationships/hyperlink" Target="https://www.fantacalcio.it/serie-a/squadre/genoa/marcandalli/6660/2026-27/italia" TargetMode="External"/><Relationship Id="rId211" Type="http://schemas.openxmlformats.org/officeDocument/2006/relationships/hyperlink" Target="https://www.gazzetta.it/calcio/fantanews/04-08-2026/genoa-al-fantacalcio-2026-27-titolari-rigorista-sorprese-consigli-su-chi-prendere.shtml" TargetMode="External"/><Relationship Id="rId212" Type="http://schemas.openxmlformats.org/officeDocument/2006/relationships/hyperlink" Target="https://www.gazzetta.it/calcio/giocatori/ivan-smolcic/510565/" TargetMode="External"/><Relationship Id="rId213" Type="http://schemas.openxmlformats.org/officeDocument/2006/relationships/hyperlink" Target="https://www.fantacalcio.it/serie-a/squadre/como/smolcic-i/7014/2026-27/italia" TargetMode="External"/><Relationship Id="rId214" Type="http://schemas.openxmlformats.org/officeDocument/2006/relationships/hyperlink" Target="https://www.gazzetta.it/calcio/fantanews/04-08-2026/como-fantacalcio-2026-27-titolari-rigorista-sorprese-consigli-su-chi-prendere.shtml" TargetMode="External"/><Relationship Id="rId215" Type="http://schemas.openxmlformats.org/officeDocument/2006/relationships/hyperlink" Target="https://www.gazzetta.it/calcio/giocatori/ze-pedro/545932/" TargetMode="External"/><Relationship Id="rId216" Type="http://schemas.openxmlformats.org/officeDocument/2006/relationships/hyperlink" Target="https://www.fantacalcio.it/serie-a/squadre/cagliari/z%C3%A8-pedro/7274/2026-27/italia" TargetMode="External"/><Relationship Id="rId217" Type="http://schemas.openxmlformats.org/officeDocument/2006/relationships/hyperlink" Target="https://www.gazzetta.it/calcio/fantanews/04-08-2026/cagliari-fantacalcio-2026-27-titolari-rigorista-sorprese-consigli-su-chi-prendere.shtml" TargetMode="External"/><Relationship Id="rId218" Type="http://schemas.openxmlformats.org/officeDocument/2006/relationships/hyperlink" Target="https://www.gazzetta.it/calcio/giocatori/juan-rodriguez/617160/" TargetMode="External"/><Relationship Id="rId219" Type="http://schemas.openxmlformats.org/officeDocument/2006/relationships/hyperlink" Target="https://www.fantacalcio.it/serie-a/squadre/cagliari/rodriguez-ju/7268/2026-27/italia" TargetMode="External"/><Relationship Id="rId220" Type="http://schemas.openxmlformats.org/officeDocument/2006/relationships/hyperlink" Target="https://www.gazzetta.it/calcio/fantanews/04-08-2026/cagliari-fantacalcio-2026-27-titolari-rigorista-sorprese-consigli-su-chi-prendere.shtml" TargetMode="External"/><Relationship Id="rId221" Type="http://schemas.openxmlformats.org/officeDocument/2006/relationships/hyperlink" Target="https://www.gazzetta.it/calcio/giocatori/luca-ranieri/215983/" TargetMode="External"/><Relationship Id="rId222" Type="http://schemas.openxmlformats.org/officeDocument/2006/relationships/hyperlink" Target="https://www.fantacalcio.it/serie-a/squadre/fiorentina/ranieri-l/4378/2026-27/italia" TargetMode="External"/><Relationship Id="rId223" Type="http://schemas.openxmlformats.org/officeDocument/2006/relationships/hyperlink" Target="https://www.gazzetta.it/calcio/fantanews/02-08-2026/fiorentina-fantacalcio-2026-27-titolari-rigorista-sorprese-consigli-su-chi-prendere.shtml" TargetMode="External"/><Relationship Id="rId224" Type="http://schemas.openxmlformats.org/officeDocument/2006/relationships/hyperlink" Target="https://www.fantacalcio.it/serie-a/squadre/cagliari/sugawara/7621/2026-27/italia" TargetMode="External"/><Relationship Id="rId225" Type="http://schemas.openxmlformats.org/officeDocument/2006/relationships/hyperlink" Target="https://www.gazzetta.it/calcio/fantanews/04-08-2026/cagliari-fantacalcio-2026-27-titolari-rigorista-sorprese-consigli-su-chi-prendere.shtml" TargetMode="External"/><Relationship Id="rId226" Type="http://schemas.openxmlformats.org/officeDocument/2006/relationships/hyperlink" Target="https://www.gazzetta.it/calcio/giocatori/federico-gatti/543612/" TargetMode="External"/><Relationship Id="rId227" Type="http://schemas.openxmlformats.org/officeDocument/2006/relationships/hyperlink" Target="https://www.fantacalcio.it/serie-a/squadre/juventus/gatti/5831/2026-27/italia" TargetMode="External"/><Relationship Id="rId228" Type="http://schemas.openxmlformats.org/officeDocument/2006/relationships/hyperlink" Target="https://www.gazzetta.it/calcio/fantanews/03-08-2026/juve-al-fantacalcio-2026-27-titolari-rigorista-sorprese-consigli-su-chi-prendere.shtml" TargetMode="External"/><Relationship Id="rId229" Type="http://schemas.openxmlformats.org/officeDocument/2006/relationships/hyperlink" Target="https://www.gazzetta.it/calcio/giocatori/rafa-obrador/500047/" TargetMode="External"/><Relationship Id="rId230" Type="http://schemas.openxmlformats.org/officeDocument/2006/relationships/hyperlink" Target="https://www.fantacalcio.it/serie-a/squadre/sassuolo/obrador/7329/2026-27/italia" TargetMode="External"/><Relationship Id="rId231" Type="http://schemas.openxmlformats.org/officeDocument/2006/relationships/hyperlink" Target="https://www.gazzetta.it/calcio/fantanews/04-08-2026/sassuolo-fantacalcio-2026-27-titolari-rigorista-sorprese-consigli-su-chi-prendere.shtml" TargetMode="External"/><Relationship Id="rId232" Type="http://schemas.openxmlformats.org/officeDocument/2006/relationships/hyperlink" Target="https://www.gazzetta.it/calcio/giocatori/alessandro-buongiorno/247359/" TargetMode="External"/><Relationship Id="rId233" Type="http://schemas.openxmlformats.org/officeDocument/2006/relationships/hyperlink" Target="https://www.fantacalcio.it/serie-a/squadre/napoli/buongiorno/2724/2026-27/italia" TargetMode="External"/><Relationship Id="rId234" Type="http://schemas.openxmlformats.org/officeDocument/2006/relationships/hyperlink" Target="https://www.gazzetta.it/calcio/fantanews/02-08-2026/napoli-fantacalcio-2026-27-titolari-rigorista-sorprese-consigli-su-chi-prendere.shtml" TargetMode="External"/><Relationship Id="rId235" Type="http://schemas.openxmlformats.org/officeDocument/2006/relationships/hyperlink" Target="https://www.gazzetta.it/calcio/giocatori/daniele-ghilardi/550093/" TargetMode="External"/><Relationship Id="rId236" Type="http://schemas.openxmlformats.org/officeDocument/2006/relationships/hyperlink" Target="https://www.fantacalcio.it/serie-a/squadre/roma/ghilardi/6631/2026-27/italia" TargetMode="External"/><Relationship Id="rId237" Type="http://schemas.openxmlformats.org/officeDocument/2006/relationships/hyperlink" Target="https://www.gazzetta.it/calcio/fantanews/03-08-2026/roma-al-fantacalcio-2026-27-titolari-rigorista-sorprese-consigli-su-chi-prendere.shtml" TargetMode="External"/><Relationship Id="rId238" Type="http://schemas.openxmlformats.org/officeDocument/2006/relationships/hyperlink" Target="https://www.fantacalcio.it/serie-a/squadre/frosinone/monterisi/4952/2026-27/italia" TargetMode="External"/><Relationship Id="rId239" Type="http://schemas.openxmlformats.org/officeDocument/2006/relationships/hyperlink" Target="https://www.gazzetta.it/calcio/fantanews/02-08-2026/frosinone-al-fantacalcio-2026-27-titolari-rigorista-sorprese-e-consigli-su-chi-prendere.shtml" TargetMode="External"/><Relationship Id="rId240" Type="http://schemas.openxmlformats.org/officeDocument/2006/relationships/hyperlink" Target="https://www.gazzetta.it/calcio/giocatori/devyne-rensch/466002/" TargetMode="External"/><Relationship Id="rId241" Type="http://schemas.openxmlformats.org/officeDocument/2006/relationships/hyperlink" Target="https://www.fantacalcio.it/serie-a/squadre/roma/rensch/6986/2026-27/italia" TargetMode="External"/><Relationship Id="rId242" Type="http://schemas.openxmlformats.org/officeDocument/2006/relationships/hyperlink" Target="https://www.gazzetta.it/calcio/fantanews/03-08-2026/roma-al-fantacalcio-2026-27-titolari-rigorista-sorprese-consigli-su-chi-prendere.shtml" TargetMode="External"/><Relationship Id="rId243" Type="http://schemas.openxmlformats.org/officeDocument/2006/relationships/hyperlink" Target="https://www.gazzetta.it/calcio/giocatori/juan-jesus/91990/" TargetMode="External"/><Relationship Id="rId244" Type="http://schemas.openxmlformats.org/officeDocument/2006/relationships/hyperlink" Target="https://www.fantacalcio.it/serie-a/squadre/venezia/juan-jesus/256/2026-27/italia" TargetMode="External"/><Relationship Id="rId245" Type="http://schemas.openxmlformats.org/officeDocument/2006/relationships/hyperlink" Target="https://www.gazzetta.it/calcio/fantanews/04-08-2026/venezia-al-fantacalcio-2026-27-titolari-rigorista-sorprese-consigli-su-chi-prendere.shtml" TargetMode="External"/><Relationship Id="rId246" Type="http://schemas.openxmlformats.org/officeDocument/2006/relationships/hyperlink" Target="https://www.gazzetta.it/calcio/giocatori/koni-de-winter/248881/" TargetMode="External"/><Relationship Id="rId247" Type="http://schemas.openxmlformats.org/officeDocument/2006/relationships/hyperlink" Target="https://www.fantacalcio.it/serie-a/squadre/milan/de-winter/5739/2026-27/italia" TargetMode="External"/><Relationship Id="rId248" Type="http://schemas.openxmlformats.org/officeDocument/2006/relationships/hyperlink" Target="https://www.gazzetta.it/calcio/fantanews/02-08-2026/milan-al-fantacalcio-2026-27-titolari-rigorista-sorprese-e-consigli-su-chi-prendere.shtml" TargetMode="External"/><Relationship Id="rId249" Type="http://schemas.openxmlformats.org/officeDocument/2006/relationships/hyperlink" Target="https://www.fantacalcio.it/serie-a/squadre/como/kaiki/7414/2026-27/italia" TargetMode="External"/><Relationship Id="rId250" Type="http://schemas.openxmlformats.org/officeDocument/2006/relationships/hyperlink" Target="https://www.gazzetta.it/calcio/fantanews/04-08-2026/como-fantacalcio-2026-27-titolari-rigorista-sorprese-consigli-su-chi-prendere.shtml" TargetMode="External"/><Relationship Id="rId251" Type="http://schemas.openxmlformats.org/officeDocument/2006/relationships/hyperlink" Target="https://www.gazzetta.it/calcio/giocatori/marin-pongracic/421634/" TargetMode="External"/><Relationship Id="rId252" Type="http://schemas.openxmlformats.org/officeDocument/2006/relationships/hyperlink" Target="https://www.fantacalcio.it/serie-a/squadre/fiorentina/pongracic/5603/2026-27/italia" TargetMode="External"/><Relationship Id="rId253" Type="http://schemas.openxmlformats.org/officeDocument/2006/relationships/hyperlink" Target="https://www.gazzetta.it/calcio/fantanews/02-08-2026/fiorentina-fantacalcio-2026-27-titolari-rigorista-sorprese-consigli-su-chi-prendere.shtml" TargetMode="External"/><Relationship Id="rId254" Type="http://schemas.openxmlformats.org/officeDocument/2006/relationships/hyperlink" Target="https://www.gazzetta.it/calcio/giocatori/odilon-kossounou/208540/" TargetMode="External"/><Relationship Id="rId255" Type="http://schemas.openxmlformats.org/officeDocument/2006/relationships/hyperlink" Target="https://www.fantacalcio.it/serie-a/squadre/atalanta/kossounou/5578/2026-27/italia" TargetMode="External"/><Relationship Id="rId256" Type="http://schemas.openxmlformats.org/officeDocument/2006/relationships/hyperlink" Target="https://www.gazzetta.it/calcio/fantanews/02-08-2026/atalanta-fantacalcio-2026-27-titolari-rigorista-sorprese-consigli-su-chi-prendere.shtml" TargetMode="External"/><Relationship Id="rId257" Type="http://schemas.openxmlformats.org/officeDocument/2006/relationships/hyperlink" Target="https://www.fantacalcio.it/serie-a/squadre/monza/mangas/7485/2026-27/italia" TargetMode="External"/><Relationship Id="rId258" Type="http://schemas.openxmlformats.org/officeDocument/2006/relationships/hyperlink" Target="https://www.gazzetta.it/calcio/fantanews/05-08-2026/monza-al-fantacalcio-2026-27-titolari-rigorista-sorprese-consigli-su-chi-prendere.shtml" TargetMode="External"/><Relationship Id="rId259" Type="http://schemas.openxmlformats.org/officeDocument/2006/relationships/hyperlink" Target="https://www.fantacalcio.it/serie-a/squadre/venezia/correia-t/4845/2026-27/italia" TargetMode="External"/><Relationship Id="rId260" Type="http://schemas.openxmlformats.org/officeDocument/2006/relationships/hyperlink" Target="https://www.gazzetta.it/calcio/fantanews/04-08-2026/venezia-al-fantacalcio-2026-27-titolari-rigorista-sorprese-consigli-su-chi-prendere.shtml" TargetMode="External"/><Relationship Id="rId261" Type="http://schemas.openxmlformats.org/officeDocument/2006/relationships/hyperlink" Target="https://www.fantacalcio.it/serie-a/squadre/monza/birindelli/5838/2026-27/italia" TargetMode="External"/><Relationship Id="rId262" Type="http://schemas.openxmlformats.org/officeDocument/2006/relationships/hyperlink" Target="https://www.gazzetta.it/calcio/fantanews/05-08-2026/monza-al-fantacalcio-2026-27-titolari-rigorista-sorprese-consigli-su-chi-prendere.shtml" TargetMode="External"/><Relationship Id="rId263" Type="http://schemas.openxmlformats.org/officeDocument/2006/relationships/hyperlink" Target="https://www.gazzetta.it/calcio/giocatori/mathias-olivera/214966/" TargetMode="External"/><Relationship Id="rId264" Type="http://schemas.openxmlformats.org/officeDocument/2006/relationships/hyperlink" Target="https://www.fantacalcio.it/serie-a/squadre/napoli/olivera/5840/2026-27/italia" TargetMode="External"/><Relationship Id="rId265" Type="http://schemas.openxmlformats.org/officeDocument/2006/relationships/hyperlink" Target="https://www.gazzetta.it/calcio/fantanews/02-08-2026/napoli-fantacalcio-2026-27-titolari-rigorista-sorprese-consigli-su-chi-prendere.shtml" TargetMode="External"/><Relationship Id="rId266" Type="http://schemas.openxmlformats.org/officeDocument/2006/relationships/hyperlink" Target="https://www.fantacalcio.it/serie-a/squadre/genoa/drameh/5742/2026-27/italia" TargetMode="External"/><Relationship Id="rId267" Type="http://schemas.openxmlformats.org/officeDocument/2006/relationships/hyperlink" Target="https://www.gazzetta.it/calcio/fantanews/04-08-2026/genoa-al-fantacalcio-2026-27-titolari-rigorista-sorprese-consigli-su-chi-prendere.shtml" TargetMode="External"/><Relationship Id="rId268" Type="http://schemas.openxmlformats.org/officeDocument/2006/relationships/hyperlink" Target="https://www.gazzetta.it/calcio/giocatori/sam-beukema/433521/" TargetMode="External"/><Relationship Id="rId269" Type="http://schemas.openxmlformats.org/officeDocument/2006/relationships/hyperlink" Target="https://www.fantacalcio.it/serie-a/squadre/napoli/beukema/6202/2026-27/italia" TargetMode="External"/><Relationship Id="rId270" Type="http://schemas.openxmlformats.org/officeDocument/2006/relationships/hyperlink" Target="https://www.gazzetta.it/calcio/fantanews/02-08-2026/napoli-fantacalcio-2026-27-titolari-rigorista-sorprese-consigli-su-chi-prendere.shtml" TargetMode="External"/><Relationship Id="rId271" Type="http://schemas.openxmlformats.org/officeDocument/2006/relationships/hyperlink" Target="https://www.gazzetta.it/calcio/giocatori/torbjorn-heggem/449652/" TargetMode="External"/><Relationship Id="rId272" Type="http://schemas.openxmlformats.org/officeDocument/2006/relationships/hyperlink" Target="https://www.fantacalcio.it/serie-a/squadre/bologna/heggem/7212/2026-27/italia" TargetMode="External"/><Relationship Id="rId273" Type="http://schemas.openxmlformats.org/officeDocument/2006/relationships/hyperlink" Target="https://www.gazzetta.it/calcio/fantanews/03-08-2026/bologna-fantacalcio-2026-27-titolari-rigorista-sorprese-consigli-su-chi-prendere.shtml" TargetMode="External"/><Relationship Id="rId274" Type="http://schemas.openxmlformats.org/officeDocument/2006/relationships/hyperlink" Target="https://www.gazzetta.it/calcio/giocatori/fabiano-parisi/515952/" TargetMode="External"/><Relationship Id="rId275" Type="http://schemas.openxmlformats.org/officeDocument/2006/relationships/hyperlink" Target="https://www.fantacalcio.it/serie-a/squadre/fiorentina/parisi/5449/2026-27/italia" TargetMode="External"/><Relationship Id="rId276" Type="http://schemas.openxmlformats.org/officeDocument/2006/relationships/hyperlink" Target="https://www.gazzetta.it/calcio/fantanews/02-08-2026/fiorentina-fantacalcio-2026-27-titolari-rigorista-sorprese-consigli-su-chi-prendere.shtml" TargetMode="External"/><Relationship Id="rId277" Type="http://schemas.openxmlformats.org/officeDocument/2006/relationships/hyperlink" Target="https://www.gazzetta.it/calcio/giocatori/ignace-van-der-brempt/248882/" TargetMode="External"/><Relationship Id="rId278" Type="http://schemas.openxmlformats.org/officeDocument/2006/relationships/hyperlink" Target="https://www.fantacalcio.it/serie-a/squadre/sassuolo/van-der-brempt/6896/2026-27/italia" TargetMode="External"/><Relationship Id="rId279" Type="http://schemas.openxmlformats.org/officeDocument/2006/relationships/hyperlink" Target="https://www.gazzetta.it/calcio/fantanews/04-08-2026/sassuolo-fantacalcio-2026-27-titolari-rigorista-sorprese-consigli-su-chi-prendere.shtml" TargetMode="External"/><Relationship Id="rId280" Type="http://schemas.openxmlformats.org/officeDocument/2006/relationships/hyperlink" Target="https://www.gazzetta.it/calcio/giocatori/josh-doig/487997/" TargetMode="External"/><Relationship Id="rId281" Type="http://schemas.openxmlformats.org/officeDocument/2006/relationships/hyperlink" Target="https://www.fantacalcio.it/serie-a/squadre/sassuolo/doig/5851/2026-27/italia" TargetMode="External"/><Relationship Id="rId282" Type="http://schemas.openxmlformats.org/officeDocument/2006/relationships/hyperlink" Target="https://www.gazzetta.it/calcio/fantanews/04-08-2026/sassuolo-fantacalcio-2026-27-titolari-rigorista-sorprese-consigli-su-chi-prendere.shtml" TargetMode="External"/><Relationship Id="rId283" Type="http://schemas.openxmlformats.org/officeDocument/2006/relationships/hyperlink" Target="https://www.fantacalcio.it/serie-a/squadre/fiorentina/viery/7410/2026-27/italia" TargetMode="External"/><Relationship Id="rId284" Type="http://schemas.openxmlformats.org/officeDocument/2006/relationships/hyperlink" Target="https://www.gazzetta.it/calcio/fantanews/02-08-2026/fiorentina-fantacalcio-2026-27-titolari-rigorista-sorprese-consigli-su-chi-prendere.shtml" TargetMode="External"/><Relationship Id="rId285" Type="http://schemas.openxmlformats.org/officeDocument/2006/relationships/hyperlink" Target="https://www.gazzetta.it/calcio/giocatori/niccolo-fortini/602122/" TargetMode="External"/><Relationship Id="rId286" Type="http://schemas.openxmlformats.org/officeDocument/2006/relationships/hyperlink" Target="https://www.fantacalcio.it/serie-a/squadre/torino/fortini/7069/2026-27/italia" TargetMode="External"/><Relationship Id="rId287" Type="http://schemas.openxmlformats.org/officeDocument/2006/relationships/hyperlink" Target="https://www.gazzetta.it/calcio/fantanews/03-08-2026/torino-fantacalcio-2026-27-titolari-rigorista-sorprese-consigli-su-chi-prendere.shtml" TargetMode="External"/><Relationship Id="rId288" Type="http://schemas.openxmlformats.org/officeDocument/2006/relationships/hyperlink" Target="https://www.fantacalcio.it/serie-a/squadre/monza/carboni-a/4925/2026-27/italia" TargetMode="External"/><Relationship Id="rId289" Type="http://schemas.openxmlformats.org/officeDocument/2006/relationships/hyperlink" Target="https://www.gazzetta.it/calcio/fantanews/05-08-2026/monza-al-fantacalcio-2026-27-titolari-rigorista-sorprese-consigli-su-chi-prendere.shtml" TargetMode="External"/><Relationship Id="rId290" Type="http://schemas.openxmlformats.org/officeDocument/2006/relationships/hyperlink" Target="https://www.fantacalcio.it/serie-a/squadre/roma/koulierakis/7529/2026-27/italia" TargetMode="External"/><Relationship Id="rId291" Type="http://schemas.openxmlformats.org/officeDocument/2006/relationships/hyperlink" Target="https://www.gazzetta.it/calcio/fantanews/03-08-2026/roma-al-fantacalcio-2026-27-titolari-rigorista-sorprese-consigli-su-chi-prendere.shtml" TargetMode="External"/><Relationship Id="rId292" Type="http://schemas.openxmlformats.org/officeDocument/2006/relationships/hyperlink" Target="https://www.fantacalcio.it/serie-a/squadre/sassuolo/caleta-car/4147/2026-27/italia" TargetMode="External"/><Relationship Id="rId293" Type="http://schemas.openxmlformats.org/officeDocument/2006/relationships/hyperlink" Target="https://www.gazzetta.it/calcio/fantanews/04-08-2026/sassuolo-fantacalcio-2026-27-titolari-rigorista-sorprese-consigli-su-chi-prendere.shtml" TargetMode="External"/><Relationship Id="rId294" Type="http://schemas.openxmlformats.org/officeDocument/2006/relationships/hyperlink" Target="https://www.fantacalcio.it/serie-a/squadre/como/kambwala/6601/2026-27/italia" TargetMode="External"/><Relationship Id="rId295" Type="http://schemas.openxmlformats.org/officeDocument/2006/relationships/hyperlink" Target="https://www.gazzetta.it/calcio/fantanews/04-08-2026/como-fantacalcio-2026-27-titolari-rigorista-sorprese-consigli-su-chi-prendere.shtml" TargetMode="External"/><Relationship Id="rId296" Type="http://schemas.openxmlformats.org/officeDocument/2006/relationships/hyperlink" Target="https://www.fantacalcio.it/serie-a/squadre/venezia/schingtienne/6892/2026-27/italia" TargetMode="External"/><Relationship Id="rId297" Type="http://schemas.openxmlformats.org/officeDocument/2006/relationships/hyperlink" Target="https://www.gazzetta.it/calcio/fantanews/04-08-2026/venezia-al-fantacalcio-2026-27-titolari-rigorista-sorprese-consigli-su-chi-prendere.shtml" TargetMode="External"/><Relationship Id="rId298" Type="http://schemas.openxmlformats.org/officeDocument/2006/relationships/hyperlink" Target="https://www.fantacalcio.it/serie-a/squadre/frosinone/oyono-a/6238/2026-27/italia" TargetMode="External"/><Relationship Id="rId299" Type="http://schemas.openxmlformats.org/officeDocument/2006/relationships/hyperlink" Target="https://www.gazzetta.it/calcio/fantanews/02-08-2026/frosinone-al-fantacalcio-2026-27-titolari-rigorista-sorprese-e-consigli-su-chi-prendere.shtml" TargetMode="External"/><Relationship Id="rId300" Type="http://schemas.openxmlformats.org/officeDocument/2006/relationships/hyperlink" Target="https://www.fantacalcio.it/serie-a/squadre/venezia/haps/5695/2026-27/italia" TargetMode="External"/><Relationship Id="rId301" Type="http://schemas.openxmlformats.org/officeDocument/2006/relationships/hyperlink" Target="https://www.gazzetta.it/calcio/fantanews/04-08-2026/venezia-al-fantacalcio-2026-27-titolari-rigorista-sorprese-consigli-su-chi-prendere.shtml" TargetMode="External"/><Relationship Id="rId302" Type="http://schemas.openxmlformats.org/officeDocument/2006/relationships/hyperlink" Target="https://www.fantacalcio.it/serie-a/squadre/sassuolo/leysen-f/7564/2026-27/italia" TargetMode="External"/><Relationship Id="rId303" Type="http://schemas.openxmlformats.org/officeDocument/2006/relationships/hyperlink" Target="https://www.gazzetta.it/calcio/fantanews/04-08-2026/sassuolo-fantacalcio-2026-27-titolari-rigorista-sorprese-consigli-su-chi-prendere.shtml" TargetMode="External"/><Relationship Id="rId304" Type="http://schemas.openxmlformats.org/officeDocument/2006/relationships/hyperlink" Target="https://www.fantacalcio.it/serie-a/squadre/cagliari/aurelio/7548/2026-27/italia" TargetMode="External"/><Relationship Id="rId305" Type="http://schemas.openxmlformats.org/officeDocument/2006/relationships/hyperlink" Target="https://www.gazzetta.it/calcio/fantanews/04-08-2026/cagliari-fantacalcio-2026-27-titolari-rigorista-sorprese-consigli-su-chi-prendere.shtml" TargetMode="External"/><Relationship Id="rId306" Type="http://schemas.openxmlformats.org/officeDocument/2006/relationships/hyperlink" Target="https://www.fantacalcio.it/serie-a/squadre/torino/patterson/5751/2026-27/italia" TargetMode="External"/><Relationship Id="rId307" Type="http://schemas.openxmlformats.org/officeDocument/2006/relationships/hyperlink" Target="https://www.gazzetta.it/calcio/fantanews/03-08-2026/torino-fantacalcio-2026-27-titolari-rigorista-sorprese-consigli-su-chi-prendere.shtml" TargetMode="External"/><Relationship Id="rId308" Type="http://schemas.openxmlformats.org/officeDocument/2006/relationships/hyperlink" Target="https://www.gazzetta.it/calcio/giocatori/armel-bella-kotchap/477386/" TargetMode="External"/><Relationship Id="rId309" Type="http://schemas.openxmlformats.org/officeDocument/2006/relationships/hyperlink" Target="https://www.fantacalcio.it/serie-a/squadre/venezia/bella-kotchap/7253/2026-27/italia" TargetMode="External"/><Relationship Id="rId310" Type="http://schemas.openxmlformats.org/officeDocument/2006/relationships/hyperlink" Target="https://www.gazzetta.it/calcio/fantanews/04-08-2026/venezia-al-fantacalcio-2026-27-titolari-rigorista-sorprese-consigli-su-chi-prendere.shtml" TargetMode="External"/><Relationship Id="rId311" Type="http://schemas.openxmlformats.org/officeDocument/2006/relationships/hyperlink" Target="https://www.gazzetta.it/calcio/giocatori/sead-kolasinac/111457/" TargetMode="External"/><Relationship Id="rId312" Type="http://schemas.openxmlformats.org/officeDocument/2006/relationships/hyperlink" Target="https://www.fantacalcio.it/serie-a/squadre/atalanta/kolasinac/2640/2026-27/italia" TargetMode="External"/><Relationship Id="rId313" Type="http://schemas.openxmlformats.org/officeDocument/2006/relationships/hyperlink" Target="https://www.gazzetta.it/calcio/fantanews/02-08-2026/atalanta-fantacalcio-2026-27-titolari-rigorista-sorprese-consigli-su-chi-prendere.shtml" TargetMode="External"/><Relationship Id="rId314" Type="http://schemas.openxmlformats.org/officeDocument/2006/relationships/hyperlink" Target="https://www.gazzetta.it/calcio/giocatori/stefano-sabelli/126488/" TargetMode="External"/><Relationship Id="rId315" Type="http://schemas.openxmlformats.org/officeDocument/2006/relationships/hyperlink" Target="https://www.fantacalcio.it/serie-a/squadre/genoa/sabelli/791/2026-27/italia" TargetMode="External"/><Relationship Id="rId316" Type="http://schemas.openxmlformats.org/officeDocument/2006/relationships/hyperlink" Target="https://www.gazzetta.it/calcio/fantanews/04-08-2026/genoa-al-fantacalcio-2026-27-titolari-rigorista-sorprese-consigli-su-chi-prendere.shtml" TargetMode="External"/><Relationship Id="rId317" Type="http://schemas.openxmlformats.org/officeDocument/2006/relationships/hyperlink" Target="https://www.fantacalcio.it/serie-a/squadre/frosinone/bracaglia/7469/2026-27/italia" TargetMode="External"/><Relationship Id="rId318" Type="http://schemas.openxmlformats.org/officeDocument/2006/relationships/hyperlink" Target="https://www.gazzetta.it/calcio/fantanews/02-08-2026/frosinone-al-fantacalcio-2026-27-titolari-rigorista-sorprese-e-consigli-su-chi-prendere.shtml" TargetMode="External"/><Relationship Id="rId319" Type="http://schemas.openxmlformats.org/officeDocument/2006/relationships/hyperlink" Target="https://www.fantacalcio.it/serie-a/squadre/frosinone/calvani/7467/2026-27/italia" TargetMode="External"/><Relationship Id="rId320" Type="http://schemas.openxmlformats.org/officeDocument/2006/relationships/hyperlink" Target="https://www.gazzetta.it/calcio/fantanews/02-08-2026/frosinone-al-fantacalcio-2026-27-titolari-rigorista-sorprese-e-consigli-su-chi-prendere.shtml" TargetMode="External"/><Relationship Id="rId321" Type="http://schemas.openxmlformats.org/officeDocument/2006/relationships/hyperlink" Target="https://www.gazzetta.it/calcio/giocatori/sebastian-walukiewicz/429187/" TargetMode="External"/><Relationship Id="rId322" Type="http://schemas.openxmlformats.org/officeDocument/2006/relationships/hyperlink" Target="https://www.fantacalcio.it/serie-a/squadre/sassuolo/walukiewicz/4374/2026-27/italia" TargetMode="External"/><Relationship Id="rId323" Type="http://schemas.openxmlformats.org/officeDocument/2006/relationships/hyperlink" Target="https://www.gazzetta.it/calcio/fantanews/04-08-2026/sassuolo-fantacalcio-2026-27-titolari-rigorista-sorprese-consigli-su-chi-prendere.shtml" TargetMode="External"/><Relationship Id="rId324" Type="http://schemas.openxmlformats.org/officeDocument/2006/relationships/hyperlink" Target="https://www.gazzetta.it/calcio/giocatori/martin-vitik/485066/" TargetMode="External"/><Relationship Id="rId325" Type="http://schemas.openxmlformats.org/officeDocument/2006/relationships/hyperlink" Target="https://www.fantacalcio.it/serie-a/squadre/bologna/vitik/7068/2026-27/italia" TargetMode="External"/><Relationship Id="rId326" Type="http://schemas.openxmlformats.org/officeDocument/2006/relationships/hyperlink" Target="https://www.gazzetta.it/calcio/fantanews/03-08-2026/bologna-fantacalcio-2026-27-titolari-rigorista-sorprese-consigli-su-chi-prendere.shtml" TargetMode="External"/><Relationship Id="rId327" Type="http://schemas.openxmlformats.org/officeDocument/2006/relationships/hyperlink" Target="https://www.gazzetta.it/calcio/giocatori/nicolo-bertola/539223/" TargetMode="External"/><Relationship Id="rId328" Type="http://schemas.openxmlformats.org/officeDocument/2006/relationships/hyperlink" Target="https://www.fantacalcio.it/serie-a/squadre/udinese/bertola/5820/2026-27/italia" TargetMode="External"/><Relationship Id="rId329" Type="http://schemas.openxmlformats.org/officeDocument/2006/relationships/hyperlink" Target="https://www.gazzetta.it/calcio/fantanews/03-08-2026/udinese-fantacalcio-2026-27-titolari-rigorista-sorprese-consigli-su-chi-prendere.shtml" TargetMode="External"/><Relationship Id="rId330" Type="http://schemas.openxmlformats.org/officeDocument/2006/relationships/hyperlink" Target="https://www.fantacalcio.it/serie-a/squadre/torino/comert/7526/2026-27/italia" TargetMode="External"/><Relationship Id="rId331" Type="http://schemas.openxmlformats.org/officeDocument/2006/relationships/hyperlink" Target="https://www.gazzetta.it/calcio/fantanews/03-08-2026/torino-fantacalcio-2026-27-titolari-rigorista-sorprese-consigli-su-chi-prendere.shtml" TargetMode="External"/><Relationship Id="rId332" Type="http://schemas.openxmlformats.org/officeDocument/2006/relationships/hyperlink" Target="https://www.gazzetta.it/calcio/giocatori/saba-goglichidze/570983/" TargetMode="External"/><Relationship Id="rId333" Type="http://schemas.openxmlformats.org/officeDocument/2006/relationships/hyperlink" Target="https://www.fantacalcio.it/serie-a/squadre/monza/goglichidze/6537/2026-27/italia" TargetMode="External"/><Relationship Id="rId334" Type="http://schemas.openxmlformats.org/officeDocument/2006/relationships/hyperlink" Target="https://www.gazzetta.it/calcio/fantanews/05-08-2026/monza-al-fantacalcio-2026-27-titolari-rigorista-sorprese-consigli-su-chi-prendere.shtml" TargetMode="External"/><Relationship Id="rId335" Type="http://schemas.openxmlformats.org/officeDocument/2006/relationships/hyperlink" Target="https://www.gazzetta.it/calcio/giocatori/juan-cabal/486797/" TargetMode="External"/><Relationship Id="rId336" Type="http://schemas.openxmlformats.org/officeDocument/2006/relationships/hyperlink" Target="https://www.fantacalcio.it/serie-a/squadre/juventus/cabal/6039/2026-27/italia" TargetMode="External"/><Relationship Id="rId337" Type="http://schemas.openxmlformats.org/officeDocument/2006/relationships/hyperlink" Target="https://www.gazzetta.it/calcio/fantanews/03-08-2026/juve-al-fantacalcio-2026-27-titolari-rigorista-sorprese-consigli-su-chi-prendere.shtml" TargetMode="External"/><Relationship Id="rId338" Type="http://schemas.openxmlformats.org/officeDocument/2006/relationships/hyperlink" Target="https://www.gazzetta.it/calcio/giocatori/joao-mario/437860/" TargetMode="External"/><Relationship Id="rId339" Type="http://schemas.openxmlformats.org/officeDocument/2006/relationships/hyperlink" Target="https://www.fantacalcio.it/serie-a/squadre/fiorentina/joao-mario/7175/2026-27/italia" TargetMode="External"/><Relationship Id="rId340" Type="http://schemas.openxmlformats.org/officeDocument/2006/relationships/hyperlink" Target="https://www.gazzetta.it/calcio/fantanews/02-08-2026/fiorentina-fantacalcio-2026-27-titolari-rigorista-sorprese-consigli-su-chi-prendere.shtml" TargetMode="External"/><Relationship Id="rId341" Type="http://schemas.openxmlformats.org/officeDocument/2006/relationships/hyperlink" Target="https://www.gazzetta.it/calcio/giocatori/jay-idzes/449722/" TargetMode="External"/><Relationship Id="rId342" Type="http://schemas.openxmlformats.org/officeDocument/2006/relationships/hyperlink" Target="https://www.fantacalcio.it/serie-a/squadre/sassuolo/idzes/6672/2026-27/italia" TargetMode="External"/><Relationship Id="rId343" Type="http://schemas.openxmlformats.org/officeDocument/2006/relationships/hyperlink" Target="https://www.gazzetta.it/calcio/fantanews/04-08-2026/sassuolo-fantacalcio-2026-27-titolari-rigorista-sorprese-consigli-su-chi-prendere.shtml" TargetMode="External"/><Relationship Id="rId344" Type="http://schemas.openxmlformats.org/officeDocument/2006/relationships/hyperlink" Target="https://www.fantacalcio.it/serie-a/squadre/napoli/marin-r/6638/2026-27/italia" TargetMode="External"/><Relationship Id="rId345" Type="http://schemas.openxmlformats.org/officeDocument/2006/relationships/hyperlink" Target="https://www.gazzetta.it/calcio/fantanews/02-08-2026/napoli-fantacalcio-2026-27-titolari-rigorista-sorprese-consigli-su-chi-prendere.shtml" TargetMode="External"/><Relationship Id="rId346" Type="http://schemas.openxmlformats.org/officeDocument/2006/relationships/hyperlink" Target="https://www.fantacalcio.it/serie-a/squadre/napoli/favasuli/7563/2026-27/italia" TargetMode="External"/><Relationship Id="rId347" Type="http://schemas.openxmlformats.org/officeDocument/2006/relationships/hyperlink" Target="https://www.gazzetta.it/calcio/fantanews/02-08-2026/napoli-fantacalcio-2026-27-titolari-rigorista-sorprese-consigli-su-chi-prendere.shtml" TargetMode="External"/><Relationship Id="rId348" Type="http://schemas.openxmlformats.org/officeDocument/2006/relationships/hyperlink" Target="https://www.gazzetta.it/calcio/giocatori/kialonda-gaspar/520242/" TargetMode="External"/><Relationship Id="rId349" Type="http://schemas.openxmlformats.org/officeDocument/2006/relationships/hyperlink" Target="https://www.fantacalcio.it/serie-a/squadre/lecce/gaspar-k/6632/2026-27/italia" TargetMode="External"/><Relationship Id="rId350" Type="http://schemas.openxmlformats.org/officeDocument/2006/relationships/hyperlink" Target="https://www.gazzetta.it/calcio/fantanews/04-08-2026/lecce-fantacalcio-2026-27-titolari-rigorista-sorprese-consigli-su-chi-prendere.shtml" TargetMode="External"/><Relationship Id="rId351" Type="http://schemas.openxmlformats.org/officeDocument/2006/relationships/hyperlink" Target="https://www.gazzetta.it/calcio/giocatori/jamil-siebert/514410/" TargetMode="External"/><Relationship Id="rId352" Type="http://schemas.openxmlformats.org/officeDocument/2006/relationships/hyperlink" Target="https://www.fantacalcio.it/serie-a/squadre/lecce/siebert/7240/2026-27/italia" TargetMode="External"/><Relationship Id="rId353" Type="http://schemas.openxmlformats.org/officeDocument/2006/relationships/hyperlink" Target="https://www.gazzetta.it/calcio/fantanews/04-08-2026/lecce-fantacalcio-2026-27-titolari-rigorista-sorprese-consigli-su-chi-prendere.shtml" TargetMode="External"/><Relationship Id="rId354" Type="http://schemas.openxmlformats.org/officeDocument/2006/relationships/hyperlink" Target="https://www.gazzetta.it/calcio/giocatori/manuel-lazzari/156323/" TargetMode="External"/><Relationship Id="rId355" Type="http://schemas.openxmlformats.org/officeDocument/2006/relationships/hyperlink" Target="https://www.fantacalcio.it/serie-a/squadre/lazio/lazzari/2263/2026-27/italia" TargetMode="External"/><Relationship Id="rId356" Type="http://schemas.openxmlformats.org/officeDocument/2006/relationships/hyperlink" Target="https://www.gazzetta.it/calcio/fantanews/02-08-2026/lazio-al-fantacalcio-2026-27-titolari-rigorista-sorprese-e-consigli-su-chi-prendere.shtml" TargetMode="External"/><Relationship Id="rId357" Type="http://schemas.openxmlformats.org/officeDocument/2006/relationships/hyperlink" Target="https://www.fantacalcio.it/serie-a/squadre/frosinone/cittadini/5757/2026-27/italia" TargetMode="External"/><Relationship Id="rId358" Type="http://schemas.openxmlformats.org/officeDocument/2006/relationships/hyperlink" Target="https://www.gazzetta.it/calcio/fantanews/02-08-2026/frosinone-al-fantacalcio-2026-27-titolari-rigorista-sorprese-e-consigli-su-chi-prendere.shtml" TargetMode="External"/><Relationship Id="rId359" Type="http://schemas.openxmlformats.org/officeDocument/2006/relationships/hyperlink" Target="https://www.gazzetta.it/calcio/giocatori/jan-ziolkowski/609659/" TargetMode="External"/><Relationship Id="rId360" Type="http://schemas.openxmlformats.org/officeDocument/2006/relationships/hyperlink" Target="https://www.fantacalcio.it/serie-a/squadre/monza/ziolkowski/7260/2026-27/italia" TargetMode="External"/><Relationship Id="rId361" Type="http://schemas.openxmlformats.org/officeDocument/2006/relationships/hyperlink" Target="https://www.gazzetta.it/calcio/fantanews/05-08-2026/monza-al-fantacalcio-2026-27-titolari-rigorista-sorprese-consigli-su-chi-prendere.shtml" TargetMode="External"/><Relationship Id="rId362" Type="http://schemas.openxmlformats.org/officeDocument/2006/relationships/hyperlink" Target="https://www.gazzetta.it/calcio/giocatori/patric/106461/" TargetMode="External"/><Relationship Id="rId363" Type="http://schemas.openxmlformats.org/officeDocument/2006/relationships/hyperlink" Target="https://www.fantacalcio.it/serie-a/squadre/lazio/patric/327/2026-27/italia" TargetMode="External"/><Relationship Id="rId364" Type="http://schemas.openxmlformats.org/officeDocument/2006/relationships/hyperlink" Target="https://www.gazzetta.it/calcio/fantanews/02-08-2026/lazio-al-fantacalcio-2026-27-titolari-rigorista-sorprese-e-consigli-su-chi-prendere.shtml" TargetMode="External"/><Relationship Id="rId365" Type="http://schemas.openxmlformats.org/officeDocument/2006/relationships/hyperlink" Target="https://www.fantacalcio.it/serie-a/squadre/bologna/alhassane/7483/2026-27/italia" TargetMode="External"/><Relationship Id="rId366" Type="http://schemas.openxmlformats.org/officeDocument/2006/relationships/hyperlink" Target="https://www.gazzetta.it/calcio/fantanews/03-08-2026/bologna-fantacalcio-2026-27-titolari-rigorista-sorprese-consigli-su-chi-prendere.shtml" TargetMode="External"/><Relationship Id="rId367" Type="http://schemas.openxmlformats.org/officeDocument/2006/relationships/hyperlink" Target="https://www.gazzetta.it/calcio/giocatori/luca-pellegrini/215981/" TargetMode="External"/><Relationship Id="rId368" Type="http://schemas.openxmlformats.org/officeDocument/2006/relationships/hyperlink" Target="https://www.fantacalcio.it/serie-a/squadre/lazio/pellegrini-lu/2728/2026-27/italia" TargetMode="External"/><Relationship Id="rId369" Type="http://schemas.openxmlformats.org/officeDocument/2006/relationships/hyperlink" Target="https://www.gazzetta.it/calcio/fantanews/02-08-2026/lazio-al-fantacalcio-2026-27-titolari-rigorista-sorprese-e-consigli-su-chi-prendere.shtml" TargetMode="External"/><Relationship Id="rId370" Type="http://schemas.openxmlformats.org/officeDocument/2006/relationships/hyperlink" Target="https://www.gazzetta.it/calcio/giocatori/romano-floriani-m./556998/" TargetMode="External"/><Relationship Id="rId371" Type="http://schemas.openxmlformats.org/officeDocument/2006/relationships/hyperlink" Target="https://www.fantacalcio.it/serie-a/squadre/lazio/floriani-mussolini/7131/2026-27/italia" TargetMode="External"/><Relationship Id="rId372" Type="http://schemas.openxmlformats.org/officeDocument/2006/relationships/hyperlink" Target="https://www.gazzetta.it/calcio/fantanews/02-08-2026/lazio-al-fantacalcio-2026-27-titolari-rigorista-sorprese-e-consigli-su-chi-prendere.shtml" TargetMode="External"/><Relationship Id="rId373" Type="http://schemas.openxmlformats.org/officeDocument/2006/relationships/hyperlink" Target="https://www.fantacalcio.it/serie-a/squadre/frosinone/tchato/7605/2026-27/italia" TargetMode="External"/><Relationship Id="rId374" Type="http://schemas.openxmlformats.org/officeDocument/2006/relationships/hyperlink" Target="https://www.gazzetta.it/calcio/fantanews/02-08-2026/frosinone-al-fantacalcio-2026-27-titolari-rigorista-sorprese-e-consigli-su-chi-prendere.shtml" TargetMode="External"/><Relationship Id="rId375" Type="http://schemas.openxmlformats.org/officeDocument/2006/relationships/hyperlink" Target="https://www.gazzetta.it/calcio/giocatori/filippo-terracciano/508625/" TargetMode="External"/><Relationship Id="rId376" Type="http://schemas.openxmlformats.org/officeDocument/2006/relationships/hyperlink" Target="https://www.fantacalcio.it/serie-a/squadre/milan/terracciano-f/5812/2026-27/italia" TargetMode="External"/><Relationship Id="rId377" Type="http://schemas.openxmlformats.org/officeDocument/2006/relationships/hyperlink" Target="https://www.gazzetta.it/calcio/fantanews/02-08-2026/milan-al-fantacalcio-2026-27-titolari-rigorista-sorprese-e-consigli-su-chi-prendere.shtml" TargetMode="External"/><Relationship Id="rId378" Type="http://schemas.openxmlformats.org/officeDocument/2006/relationships/hyperlink" Target="https://www.gazzetta.it/calcio/giocatori/sascha-britschgi/678583/" TargetMode="External"/><Relationship Id="rId379" Type="http://schemas.openxmlformats.org/officeDocument/2006/relationships/hyperlink" Target="https://www.fantacalcio.it/serie-a/squadre/parma/britschgi/7255/2026-27/italia" TargetMode="External"/><Relationship Id="rId380" Type="http://schemas.openxmlformats.org/officeDocument/2006/relationships/hyperlink" Target="https://www.gazzetta.it/calcio/fantanews/03-08-2026/parma-al-fantacalcio-2026-27-titolari-rigorista-sorprese-consigli-su-chi-prendere.shtml" TargetMode="External"/><Relationship Id="rId381" Type="http://schemas.openxmlformats.org/officeDocument/2006/relationships/hyperlink" Target="https://www.gazzetta.it/calcio/giocatori/pervis-estupinan/204214/" TargetMode="External"/><Relationship Id="rId382" Type="http://schemas.openxmlformats.org/officeDocument/2006/relationships/hyperlink" Target="https://www.fantacalcio.it/serie-a/squadre/milan/estupinan/5273/2026-27/italia" TargetMode="External"/><Relationship Id="rId383" Type="http://schemas.openxmlformats.org/officeDocument/2006/relationships/hyperlink" Target="https://www.gazzetta.it/calcio/fantanews/02-08-2026/milan-al-fantacalcio-2026-27-titolari-rigorista-sorprese-e-consigli-su-chi-prendere.shtml" TargetMode="External"/><Relationship Id="rId384" Type="http://schemas.openxmlformats.org/officeDocument/2006/relationships/hyperlink" Target="https://www.fantacalcio.it/serie-a/squadre/venezia/halhal/7538/2026-27/italia" TargetMode="External"/><Relationship Id="rId385" Type="http://schemas.openxmlformats.org/officeDocument/2006/relationships/hyperlink" Target="https://www.gazzetta.it/calcio/fantanews/04-08-2026/venezia-al-fantacalcio-2026-27-titolari-rigorista-sorprese-consigli-su-chi-prendere.shtml" TargetMode="External"/><Relationship Id="rId386" Type="http://schemas.openxmlformats.org/officeDocument/2006/relationships/hyperlink" Target="https://www.gazzetta.it/calcio/giocatori/lautaro-valenti/462487/" TargetMode="External"/><Relationship Id="rId387" Type="http://schemas.openxmlformats.org/officeDocument/2006/relationships/hyperlink" Target="https://www.fantacalcio.it/serie-a/squadre/parma/valenti/5307/2026-27/italia" TargetMode="External"/><Relationship Id="rId388" Type="http://schemas.openxmlformats.org/officeDocument/2006/relationships/hyperlink" Target="https://www.gazzetta.it/calcio/fantanews/03-08-2026/parma-al-fantacalcio-2026-27-titolari-rigorista-sorprese-consigli-su-chi-prendere.shtml" TargetMode="External"/><Relationship Id="rId389" Type="http://schemas.openxmlformats.org/officeDocument/2006/relationships/hyperlink" Target="https://www.fantacalcio.it/serie-a/squadre/torino/rodriguez-r/2169/2026-27/italia" TargetMode="External"/><Relationship Id="rId390" Type="http://schemas.openxmlformats.org/officeDocument/2006/relationships/hyperlink" Target="https://www.gazzetta.it/calcio/fantanews/03-08-2026/torino-fantacalcio-2026-27-titolari-rigorista-sorprese-consigli-su-chi-prendere.shtml" TargetMode="External"/><Relationship Id="rId391" Type="http://schemas.openxmlformats.org/officeDocument/2006/relationships/hyperlink" Target="https://www.gazzetta.it/calcio/giocatori/riyad-idrissi/660646/" TargetMode="External"/><Relationship Id="rId392" Type="http://schemas.openxmlformats.org/officeDocument/2006/relationships/hyperlink" Target="https://www.fantacalcio.it/serie-a/squadre/cagliari/idrissi-r/7125/2026-27/italia" TargetMode="External"/><Relationship Id="rId393" Type="http://schemas.openxmlformats.org/officeDocument/2006/relationships/hyperlink" Target="https://www.gazzetta.it/calcio/fantanews/04-08-2026/cagliari-fantacalcio-2026-27-titolari-rigorista-sorprese-consigli-su-chi-prendere.shtml" TargetMode="External"/><Relationship Id="rId394" Type="http://schemas.openxmlformats.org/officeDocument/2006/relationships/hyperlink" Target="https://www.gazzetta.it/calcio/giocatori/abdoulaye-ndiaye/484743/" TargetMode="External"/><Relationship Id="rId395" Type="http://schemas.openxmlformats.org/officeDocument/2006/relationships/hyperlink" Target="https://www.fantacalcio.it/serie-a/squadre/parma/ndiaye/7202/2026-27/italia" TargetMode="External"/><Relationship Id="rId396" Type="http://schemas.openxmlformats.org/officeDocument/2006/relationships/hyperlink" Target="https://www.gazzetta.it/calcio/fantanews/03-08-2026/parma-al-fantacalcio-2026-27-titolari-rigorista-sorprese-consigli-su-chi-prendere.shtml" TargetMode="External"/><Relationship Id="rId397" Type="http://schemas.openxmlformats.org/officeDocument/2006/relationships/hyperlink" Target="https://www.gazzetta.it/calcio/giocatori/luca-marianucci/629364/" TargetMode="External"/><Relationship Id="rId398" Type="http://schemas.openxmlformats.org/officeDocument/2006/relationships/hyperlink" Target="https://www.fantacalcio.it/serie-a/squadre/napoli/marianucci/6809/2026-27/italia" TargetMode="External"/><Relationship Id="rId399" Type="http://schemas.openxmlformats.org/officeDocument/2006/relationships/hyperlink" Target="https://www.gazzetta.it/calcio/fantanews/02-08-2026/napoli-fantacalcio-2026-27-titolari-rigorista-sorprese-consigli-su-chi-prendere.shtml" TargetMode="External"/><Relationship Id="rId400" Type="http://schemas.openxmlformats.org/officeDocument/2006/relationships/hyperlink" Target="https://www.gazzetta.it/calcio/giocatori/eivind-helland/617551/" TargetMode="External"/><Relationship Id="rId401" Type="http://schemas.openxmlformats.org/officeDocument/2006/relationships/hyperlink" Target="https://www.fantacalcio.it/serie-a/squadre/bologna/helland/7326/2026-27/italia" TargetMode="External"/><Relationship Id="rId402" Type="http://schemas.openxmlformats.org/officeDocument/2006/relationships/hyperlink" Target="https://www.gazzetta.it/calcio/fantanews/03-08-2026/bologna-fantacalcio-2026-27-titolari-rigorista-sorprese-consigli-su-chi-prendere.shtml" TargetMode="External"/><Relationship Id="rId403" Type="http://schemas.openxmlformats.org/officeDocument/2006/relationships/hyperlink" Target="https://www.fantacalcio.it/serie-a/squadre/venezia/franjic/7478/2026-27/italia" TargetMode="External"/><Relationship Id="rId404" Type="http://schemas.openxmlformats.org/officeDocument/2006/relationships/hyperlink" Target="https://www.gazzetta.it/calcio/fantanews/04-08-2026/venezia-al-fantacalcio-2026-27-titolari-rigorista-sorprese-consigli-su-chi-prendere.shtml" TargetMode="External"/><Relationship Id="rId405" Type="http://schemas.openxmlformats.org/officeDocument/2006/relationships/hyperlink" Target="https://www.gazzetta.it/calcio/giocatori/alberto-dossena/247014/" TargetMode="External"/><Relationship Id="rId406" Type="http://schemas.openxmlformats.org/officeDocument/2006/relationships/hyperlink" Target="https://www.gazzetta.it/calcio/giocatori/cristiano-biraghi/88432/" TargetMode="External"/><Relationship Id="rId407" Type="http://schemas.openxmlformats.org/officeDocument/2006/relationships/hyperlink" Target="https://www.fantacalcio.it/serie-a/squadre/torino/biraghi/252/2026-27/italia" TargetMode="External"/><Relationship Id="rId408" Type="http://schemas.openxmlformats.org/officeDocument/2006/relationships/hyperlink" Target="https://www.gazzetta.it/calcio/fantanews/03-08-2026/torino-fantacalcio-2026-27-titolari-rigorista-sorprese-consigli-su-chi-prendere.shtml" TargetMode="External"/><Relationship Id="rId409" Type="http://schemas.openxmlformats.org/officeDocument/2006/relationships/hyperlink" Target="https://www.gazzetta.it/calcio/giocatori/enzo-ebosse/208554/" TargetMode="External"/><Relationship Id="rId410" Type="http://schemas.openxmlformats.org/officeDocument/2006/relationships/hyperlink" Target="https://www.fantacalcio.it/serie-a/squadre/udinese/ebosse/5994/2026-27/italia" TargetMode="External"/><Relationship Id="rId411" Type="http://schemas.openxmlformats.org/officeDocument/2006/relationships/hyperlink" Target="https://www.gazzetta.it/calcio/fantanews/03-08-2026/udinese-fantacalcio-2026-27-titolari-rigorista-sorprese-consigli-su-chi-prendere.shtml" TargetMode="External"/><Relationship Id="rId412" Type="http://schemas.openxmlformats.org/officeDocument/2006/relationships/hyperlink" Target="https://www.gazzetta.it/calcio/giocatori/cas-odenthal/219252/" TargetMode="External"/><Relationship Id="rId413" Type="http://schemas.openxmlformats.org/officeDocument/2006/relationships/hyperlink" Target="https://www.fantacalcio.it/serie-a/squadre/sassuolo/odenthal/7154/2026-27/italia" TargetMode="External"/><Relationship Id="rId414" Type="http://schemas.openxmlformats.org/officeDocument/2006/relationships/hyperlink" Target="https://www.gazzetta.it/calcio/fantanews/04-08-2026/sassuolo-fantacalcio-2026-27-titolari-rigorista-sorprese-consigli-su-chi-prendere.shtml" TargetMode="External"/><Relationship Id="rId415" Type="http://schemas.openxmlformats.org/officeDocument/2006/relationships/hyperlink" Target="https://www.fantacalcio.it/serie-a/squadre/genoa/puczka/7413/2026-27/italia" TargetMode="External"/><Relationship Id="rId416" Type="http://schemas.openxmlformats.org/officeDocument/2006/relationships/hyperlink" Target="https://www.gazzetta.it/calcio/fantanews/04-08-2026/genoa-al-fantacalcio-2026-27-titolari-rigorista-sorprese-consigli-su-chi-prendere.shtml" TargetMode="External"/><Relationship Id="rId417" Type="http://schemas.openxmlformats.org/officeDocument/2006/relationships/hyperlink" Target="https://www.gazzetta.it/calcio/giocatori/edoardo-goldaniga/147614/" TargetMode="External"/><Relationship Id="rId418" Type="http://schemas.openxmlformats.org/officeDocument/2006/relationships/hyperlink" Target="https://www.fantacalcio.it/serie-a/squadre/como/goldaniga/418/2026-27/italia" TargetMode="External"/><Relationship Id="rId419" Type="http://schemas.openxmlformats.org/officeDocument/2006/relationships/hyperlink" Target="https://www.gazzetta.it/calcio/fantanews/04-08-2026/como-fantacalcio-2026-27-titolari-rigorista-sorprese-consigli-su-chi-prendere.shtml" TargetMode="External"/><Relationship Id="rId420" Type="http://schemas.openxmlformats.org/officeDocument/2006/relationships/hyperlink" Target="https://www.fantacalcio.it/serie-a/squadre/frosinone/akpoguma/7540/2026-27/italia" TargetMode="External"/><Relationship Id="rId421" Type="http://schemas.openxmlformats.org/officeDocument/2006/relationships/hyperlink" Target="https://www.gazzetta.it/calcio/fantanews/02-08-2026/frosinone-al-fantacalcio-2026-27-titolari-rigorista-sorprese-e-consigli-su-chi-prendere.shtml" TargetMode="External"/><Relationship Id="rId422" Type="http://schemas.openxmlformats.org/officeDocument/2006/relationships/hyperlink" Target="https://www.fantacalcio.it/serie-a/squadre/venezia/sagrado/6681/2026-27/italia" TargetMode="External"/><Relationship Id="rId423" Type="http://schemas.openxmlformats.org/officeDocument/2006/relationships/hyperlink" Target="https://www.gazzetta.it/calcio/fantanews/04-08-2026/venezia-al-fantacalcio-2026-27-titolari-rigorista-sorprese-consigli-su-chi-prendere.shtml" TargetMode="External"/><Relationship Id="rId424" Type="http://schemas.openxmlformats.org/officeDocument/2006/relationships/hyperlink" Target="https://www.fantacalcio.it/serie-a/squadre/roma/lulli/7599/2026-27/italia" TargetMode="External"/><Relationship Id="rId425" Type="http://schemas.openxmlformats.org/officeDocument/2006/relationships/hyperlink" Target="https://www.gazzetta.it/calcio/fantanews/03-08-2026/roma-al-fantacalcio-2026-27-titolari-rigorista-sorprese-consigli-su-chi-prendere.shtml" TargetMode="External"/><Relationship Id="rId426" Type="http://schemas.openxmlformats.org/officeDocument/2006/relationships/hyperlink" Target="https://www.gazzetta.it/calcio/giocatori/matteo-palma/647151/" TargetMode="External"/><Relationship Id="rId427" Type="http://schemas.openxmlformats.org/officeDocument/2006/relationships/hyperlink" Target="https://www.fantacalcio.it/serie-a/squadre/udinese/palma/6925/2026-27/italia" TargetMode="External"/><Relationship Id="rId428" Type="http://schemas.openxmlformats.org/officeDocument/2006/relationships/hyperlink" Target="https://www.gazzetta.it/calcio/fantanews/03-08-2026/udinese-fantacalcio-2026-27-titolari-rigorista-sorprese-consigli-su-chi-prendere.shtml" TargetMode="External"/><Relationship Id="rId429" Type="http://schemas.openxmlformats.org/officeDocument/2006/relationships/hyperlink" Target="https://www.gazzetta.it/calcio/giocatori/alessandro-zanoli/444251/" TargetMode="External"/><Relationship Id="rId430" Type="http://schemas.openxmlformats.org/officeDocument/2006/relationships/hyperlink" Target="https://www.fantacalcio.it/serie-a/squadre/udinese/zanoli/5527/2026-27/italia" TargetMode="External"/><Relationship Id="rId431" Type="http://schemas.openxmlformats.org/officeDocument/2006/relationships/hyperlink" Target="https://www.gazzetta.it/calcio/fantanews/03-08-2026/udinese-fantacalcio-2026-27-titolari-rigorista-sorprese-consigli-su-chi-prendere.shtml" TargetMode="External"/><Relationship Id="rId432" Type="http://schemas.openxmlformats.org/officeDocument/2006/relationships/hyperlink" Target="https://www.gazzetta.it/calcio/giocatori/sebastian-otoa/594234/" TargetMode="External"/><Relationship Id="rId433" Type="http://schemas.openxmlformats.org/officeDocument/2006/relationships/hyperlink" Target="https://www.fantacalcio.it/serie-a/squadre/genoa/otoa/6977/2026-27/italia" TargetMode="External"/><Relationship Id="rId434" Type="http://schemas.openxmlformats.org/officeDocument/2006/relationships/hyperlink" Target="https://www.gazzetta.it/calcio/fantanews/04-08-2026/genoa-al-fantacalcio-2026-27-titolari-rigorista-sorprese-consigli-su-chi-prendere.shtml" TargetMode="External"/><Relationship Id="rId435" Type="http://schemas.openxmlformats.org/officeDocument/2006/relationships/hyperlink" Target="https://www.gazzetta.it/calcio/giocatori/pasquale-mazzocchi/428237/" TargetMode="External"/><Relationship Id="rId436" Type="http://schemas.openxmlformats.org/officeDocument/2006/relationships/hyperlink" Target="https://www.fantacalcio.it/serie-a/squadre/venezia/mazzocchi/5481/2026-27/italia" TargetMode="External"/><Relationship Id="rId437" Type="http://schemas.openxmlformats.org/officeDocument/2006/relationships/hyperlink" Target="https://www.gazzetta.it/calcio/fantanews/04-08-2026/venezia-al-fantacalcio-2026-27-titolari-rigorista-sorprese-consigli-su-chi-prendere.shtml" TargetMode="External"/><Relationship Id="rId438" Type="http://schemas.openxmlformats.org/officeDocument/2006/relationships/hyperlink" Target="https://www.gazzetta.it/calcio/giocatori/fali-cande/482975/" TargetMode="External"/><Relationship Id="rId439" Type="http://schemas.openxmlformats.org/officeDocument/2006/relationships/hyperlink" Target="https://www.fantacalcio.it/serie-a/squadre/sassuolo/cand%C3%A8/6985/2026-27/italia" TargetMode="External"/><Relationship Id="rId440" Type="http://schemas.openxmlformats.org/officeDocument/2006/relationships/hyperlink" Target="https://www.gazzetta.it/calcio/fantanews/04-08-2026/sassuolo-fantacalcio-2026-27-titolari-rigorista-sorprese-consigli-su-chi-prendere.shtml" TargetMode="External"/><Relationship Id="rId441" Type="http://schemas.openxmlformats.org/officeDocument/2006/relationships/hyperlink" Target="https://www.fantacalcio.it/serie-a/squadre/genoa/mitaj/7537/2026-27/italia" TargetMode="External"/><Relationship Id="rId442" Type="http://schemas.openxmlformats.org/officeDocument/2006/relationships/hyperlink" Target="https://www.gazzetta.it/calcio/fantanews/04-08-2026/genoa-al-fantacalcio-2026-27-titolari-rigorista-sorprese-consigli-su-chi-prendere.shtml" TargetMode="External"/><Relationship Id="rId443" Type="http://schemas.openxmlformats.org/officeDocument/2006/relationships/hyperlink" Target="https://www.gazzetta.it/calcio/giocatori/nicolo-casale/244453/" TargetMode="External"/><Relationship Id="rId444" Type="http://schemas.openxmlformats.org/officeDocument/2006/relationships/hyperlink" Target="https://www.fantacalcio.it/serie-a/squadre/bologna/casale/5498/2026-27/italia" TargetMode="External"/><Relationship Id="rId445" Type="http://schemas.openxmlformats.org/officeDocument/2006/relationships/hyperlink" Target="https://www.gazzetta.it/calcio/fantanews/03-08-2026/bologna-fantacalcio-2026-27-titolari-rigorista-sorprese-consigli-su-chi-prendere.shtml" TargetMode="External"/><Relationship Id="rId446" Type="http://schemas.openxmlformats.org/officeDocument/2006/relationships/hyperlink" Target="https://www.gazzetta.it/calcio/giocatori/gaby-jean/587293/" TargetMode="External"/><Relationship Id="rId447" Type="http://schemas.openxmlformats.org/officeDocument/2006/relationships/hyperlink" Target="https://www.fantacalcio.it/serie-a/squadre/lecce/jean/6883/2026-27/italia" TargetMode="External"/><Relationship Id="rId448" Type="http://schemas.openxmlformats.org/officeDocument/2006/relationships/hyperlink" Target="https://www.gazzetta.it/calcio/fantanews/04-08-2026/lecce-fantacalcio-2026-27-titolari-rigorista-sorprese-consigli-su-chi-prendere.shtml" TargetMode="External"/><Relationship Id="rId449" Type="http://schemas.openxmlformats.org/officeDocument/2006/relationships/hyperlink" Target="https://www.gazzetta.it/calcio/giocatori/franco-carboni/505185/" TargetMode="External"/><Relationship Id="rId450" Type="http://schemas.openxmlformats.org/officeDocument/2006/relationships/hyperlink" Target="https://www.fantacalcio.it/serie-a/squadre/parma/carboni-f/6149/2026-27/italia" TargetMode="External"/><Relationship Id="rId451" Type="http://schemas.openxmlformats.org/officeDocument/2006/relationships/hyperlink" Target="https://www.gazzetta.it/calcio/fantanews/03-08-2026/parma-al-fantacalcio-2026-27-titolari-rigorista-sorprese-consigli-su-chi-prendere.shtml" TargetMode="External"/><Relationship Id="rId452" Type="http://schemas.openxmlformats.org/officeDocument/2006/relationships/hyperlink" Target="https://www.gazzetta.it/calcio/giocatori/eddy-kouadio/654936/" TargetMode="External"/><Relationship Id="rId453" Type="http://schemas.openxmlformats.org/officeDocument/2006/relationships/hyperlink" Target="https://www.fantacalcio.it/serie-a/squadre/monza/kouadio/7238/2026-27/italia" TargetMode="External"/><Relationship Id="rId454" Type="http://schemas.openxmlformats.org/officeDocument/2006/relationships/hyperlink" Target="https://www.gazzetta.it/calcio/fantanews/05-08-2026/monza-al-fantacalcio-2026-27-titolari-rigorista-sorprese-consigli-su-chi-prendere.shtml" TargetMode="External"/><Relationship Id="rId455" Type="http://schemas.openxmlformats.org/officeDocument/2006/relationships/hyperlink" Target="https://www.fantacalcio.it/serie-a/squadre/venezia/sverko/6673/2026-27/italia" TargetMode="External"/><Relationship Id="rId456" Type="http://schemas.openxmlformats.org/officeDocument/2006/relationships/hyperlink" Target="https://www.gazzetta.it/calcio/fantanews/04-08-2026/venezia-al-fantacalcio-2026-27-titolari-rigorista-sorprese-consigli-su-chi-prendere.shtml" TargetMode="External"/><Relationship Id="rId457" Type="http://schemas.openxmlformats.org/officeDocument/2006/relationships/hyperlink" Target="https://www.fantacalcio.it/serie-a/squadre/venezia/moreno-m/6890/2026-27/italia" TargetMode="External"/><Relationship Id="rId458" Type="http://schemas.openxmlformats.org/officeDocument/2006/relationships/hyperlink" Target="https://www.gazzetta.it/calcio/fantanews/04-08-2026/venezia-al-fantacalcio-2026-27-titolari-rigorista-sorprese-consigli-su-chi-prendere.shtml" TargetMode="External"/><Relationship Id="rId459" Type="http://schemas.openxmlformats.org/officeDocument/2006/relationships/hyperlink" Target="https://www.fantacalcio.it/serie-a/squadre/cagliari/kofler/7532/2026-27/italia" TargetMode="External"/><Relationship Id="rId460" Type="http://schemas.openxmlformats.org/officeDocument/2006/relationships/hyperlink" Target="https://www.gazzetta.it/calcio/fantanews/04-08-2026/cagliari-fantacalcio-2026-27-titolari-rigorista-sorprese-consigli-su-chi-prendere.shtml" TargetMode="External"/><Relationship Id="rId461" Type="http://schemas.openxmlformats.org/officeDocument/2006/relationships/hyperlink" Target="https://www.fantacalcio.it/serie-a/squadre/monza/lucchesi/6659/2026-27/italia" TargetMode="External"/><Relationship Id="rId462" Type="http://schemas.openxmlformats.org/officeDocument/2006/relationships/hyperlink" Target="https://www.gazzetta.it/calcio/fantanews/05-08-2026/monza-al-fantacalcio-2026-27-titolari-rigorista-sorprese-consigli-su-chi-prendere.shtml" TargetMode="External"/><Relationship Id="rId463" Type="http://schemas.openxmlformats.org/officeDocument/2006/relationships/hyperlink" Target="https://www.gazzetta.it/calcio/giocatori/corrie-ndaba/246265/" TargetMode="External"/><Relationship Id="rId464" Type="http://schemas.openxmlformats.org/officeDocument/2006/relationships/hyperlink" Target="https://www.fantacalcio.it/serie-a/squadre/lecce/ndaba/7182/2026-27/italia" TargetMode="External"/><Relationship Id="rId465" Type="http://schemas.openxmlformats.org/officeDocument/2006/relationships/hyperlink" Target="https://www.gazzetta.it/calcio/fantanews/04-08-2026/lecce-fantacalcio-2026-27-titolari-rigorista-sorprese-consigli-su-chi-prendere.shtml" TargetMode="External"/><Relationship Id="rId466" Type="http://schemas.openxmlformats.org/officeDocument/2006/relationships/hyperlink" Target="https://www.gazzetta.it/calcio/giocatori/lorenzo-de-silvestri/21125/" TargetMode="External"/><Relationship Id="rId467" Type="http://schemas.openxmlformats.org/officeDocument/2006/relationships/hyperlink" Target="https://www.fantacalcio.it/serie-a/squadre/bologna/de-silvestri/487/2026-27/italia" TargetMode="External"/><Relationship Id="rId468" Type="http://schemas.openxmlformats.org/officeDocument/2006/relationships/hyperlink" Target="https://www.gazzetta.it/calcio/fantanews/03-08-2026/bologna-fantacalcio-2026-27-titolari-rigorista-sorprese-consigli-su-chi-prendere.shtml" TargetMode="External"/><Relationship Id="rId469" Type="http://schemas.openxmlformats.org/officeDocument/2006/relationships/hyperlink" Target="https://www.fantacalcio.it/serie-a/squadre/milan/diawara-s/7525/2026-27/italia" TargetMode="External"/><Relationship Id="rId470" Type="http://schemas.openxmlformats.org/officeDocument/2006/relationships/hyperlink" Target="https://www.gazzetta.it/calcio/fantanews/02-08-2026/milan-al-fantacalcio-2026-27-titolari-rigorista-sorprese-e-consigli-su-chi-prendere.shtml" TargetMode="External"/><Relationship Id="rId471" Type="http://schemas.openxmlformats.org/officeDocument/2006/relationships/hyperlink" Target="https://www.gazzetta.it/calcio/giocatori/omar-fayed/591123/" TargetMode="External"/><Relationship Id="rId472" Type="http://schemas.openxmlformats.org/officeDocument/2006/relationships/hyperlink" Target="https://www.fantacalcio.it/serie-a/squadre/frosinone/omar-fayed/7553/2026-27/italia" TargetMode="External"/><Relationship Id="rId473" Type="http://schemas.openxmlformats.org/officeDocument/2006/relationships/hyperlink" Target="https://www.gazzetta.it/calcio/fantanews/02-08-2026/frosinone-al-fantacalcio-2026-27-titolari-rigorista-sorprese-e-consigli-su-chi-prendere.shtml" TargetMode="External"/><Relationship Id="rId474" Type="http://schemas.openxmlformats.org/officeDocument/2006/relationships/hyperlink" Target="https://www.gazzetta.it/calcio/giocatori/juan-arizala/614790/" TargetMode="External"/><Relationship Id="rId475" Type="http://schemas.openxmlformats.org/officeDocument/2006/relationships/hyperlink" Target="https://www.fantacalcio.it/serie-a/squadre/udinese/arizala/7312/2026-27/italia" TargetMode="External"/><Relationship Id="rId476" Type="http://schemas.openxmlformats.org/officeDocument/2006/relationships/hyperlink" Target="https://www.gazzetta.it/calcio/fantanews/03-08-2026/udinese-fantacalcio-2026-27-titolari-rigorista-sorprese-consigli-su-chi-prendere.shtml" TargetMode="External"/><Relationship Id="rId477" Type="http://schemas.openxmlformats.org/officeDocument/2006/relationships/hyperlink" Target="https://www.fantacalcio.it/serie-a/squadre/parma/drobnic/7615/2026-27/italia" TargetMode="External"/><Relationship Id="rId478" Type="http://schemas.openxmlformats.org/officeDocument/2006/relationships/hyperlink" Target="https://www.gazzetta.it/calcio/fantanews/03-08-2026/parma-al-fantacalcio-2026-27-titolari-rigorista-sorprese-consigli-su-chi-prendere.shtml" TargetMode="External"/><Relationship Id="rId479" Type="http://schemas.openxmlformats.org/officeDocument/2006/relationships/hyperlink" Target="https://www.gazzetta.it/calcio/giocatori/alejandro-gomes/712678/" TargetMode="External"/><Relationship Id="rId480" Type="http://schemas.openxmlformats.org/officeDocument/2006/relationships/hyperlink" Target="https://www.fantacalcio.it/serie-a/squadre/venezia/gomes/7454/2026-27/italia" TargetMode="External"/><Relationship Id="rId481" Type="http://schemas.openxmlformats.org/officeDocument/2006/relationships/hyperlink" Target="https://www.gazzetta.it/calcio/fantanews/04-08-2026/venezia-al-fantacalcio-2026-27-titolari-rigorista-sorprese-consigli-su-chi-prendere.shtml" TargetMode="External"/><Relationship Id="rId482" Type="http://schemas.openxmlformats.org/officeDocument/2006/relationships/hyperlink" Target="https://www.gazzetta.it/calcio/giocatori/anouar-el-azzouzi/464965/" TargetMode="External"/><Relationship Id="rId483" Type="http://schemas.openxmlformats.org/officeDocument/2006/relationships/hyperlink" Target="https://www.fantacalcio.it/serie-a/squadre/frosinone/el-azzouzi-a/7456/2026-27/italia" TargetMode="External"/><Relationship Id="rId484" Type="http://schemas.openxmlformats.org/officeDocument/2006/relationships/hyperlink" Target="https://www.gazzetta.it/calcio/fantanews/02-08-2026/frosinone-al-fantacalcio-2026-27-titolari-rigorista-sorprese-e-consigli-su-chi-prendere.shtml" TargetMode="External"/><Relationship Id="rId485" Type="http://schemas.openxmlformats.org/officeDocument/2006/relationships/hyperlink" Target="https://www.fantacalcio.it/serie-a/squadre/frosinone/amey/5424/2026-27/italia" TargetMode="External"/><Relationship Id="rId486" Type="http://schemas.openxmlformats.org/officeDocument/2006/relationships/hyperlink" Target="https://www.gazzetta.it/calcio/fantanews/02-08-2026/frosinone-al-fantacalcio-2026-27-titolari-rigorista-sorprese-e-consigli-su-chi-prendere.shtml" TargetMode="External"/><Relationship Id="rId487" Type="http://schemas.openxmlformats.org/officeDocument/2006/relationships/hyperlink" Target="https://www.gazzetta.it/calcio/giocatori/valentin-antov/235001/" TargetMode="External"/><Relationship Id="rId488" Type="http://schemas.openxmlformats.org/officeDocument/2006/relationships/hyperlink" Target="https://www.fantacalcio.it/serie-a/squadre/monza/antov/5399/2026-27/italia" TargetMode="External"/><Relationship Id="rId489" Type="http://schemas.openxmlformats.org/officeDocument/2006/relationships/hyperlink" Target="https://www.gazzetta.it/calcio/fantanews/05-08-2026/monza-al-fantacalcio-2026-27-titolari-rigorista-sorprese-consigli-su-chi-prendere.shtml" TargetMode="External"/><Relationship Id="rId490" Type="http://schemas.openxmlformats.org/officeDocument/2006/relationships/hyperlink" Target="https://www.fantacalcio.it/serie-a/squadre/udinese/abankwah/6021/2026-27/italia" TargetMode="External"/><Relationship Id="rId491" Type="http://schemas.openxmlformats.org/officeDocument/2006/relationships/hyperlink" Target="https://www.gazzetta.it/calcio/fantanews/03-08-2026/udinese-fantacalcio-2026-27-titolari-rigorista-sorprese-consigli-su-chi-prendere.shtml" TargetMode="External"/><Relationship Id="rId492" Type="http://schemas.openxmlformats.org/officeDocument/2006/relationships/hyperlink" Target="https://www.gazzetta.it/calcio/giocatori/daniele-rugani/150710/" TargetMode="External"/><Relationship Id="rId493" Type="http://schemas.openxmlformats.org/officeDocument/2006/relationships/hyperlink" Target="https://www.fantacalcio.it/serie-a/squadre/juventus/rugani/294/2026-27/italia" TargetMode="External"/><Relationship Id="rId494" Type="http://schemas.openxmlformats.org/officeDocument/2006/relationships/hyperlink" Target="https://www.gazzetta.it/calcio/fantanews/03-08-2026/juve-al-fantacalcio-2026-27-titolari-rigorista-sorprese-consigli-su-chi-prendere.shtml" TargetMode="External"/><Relationship Id="rId495" Type="http://schemas.openxmlformats.org/officeDocument/2006/relationships/hyperlink" Target="https://www.gazzetta.it/calcio/giocatori/edoardo-pieragnolo/565986/" TargetMode="External"/><Relationship Id="rId496" Type="http://schemas.openxmlformats.org/officeDocument/2006/relationships/hyperlink" Target="https://www.fantacalcio.it/serie-a/squadre/sassuolo/pieragnolo/7156/2026-27/italia" TargetMode="External"/><Relationship Id="rId497" Type="http://schemas.openxmlformats.org/officeDocument/2006/relationships/hyperlink" Target="https://www.gazzetta.it/calcio/fantanews/04-08-2026/sassuolo-fantacalcio-2026-27-titolari-rigorista-sorprese-consigli-su-chi-prendere.shtml" TargetMode="External"/><Relationship Id="rId498" Type="http://schemas.openxmlformats.org/officeDocument/2006/relationships/hyperlink" Target="https://www.gazzetta.it/calcio/giocatori/ali-dembele/607395/" TargetMode="External"/><Relationship Id="rId499" Type="http://schemas.openxmlformats.org/officeDocument/2006/relationships/hyperlink" Target="https://www.fantacalcio.it/serie-a/squadre/lecce/dembel%C3%A8-a/6826/2026-27/italia" TargetMode="External"/><Relationship Id="rId500" Type="http://schemas.openxmlformats.org/officeDocument/2006/relationships/hyperlink" Target="https://www.gazzetta.it/calcio/fantanews/04-08-2026/lecce-fantacalcio-2026-27-titolari-rigorista-sorprese-consigli-su-chi-prendere.shtml" TargetMode="External"/><Relationship Id="rId501" Type="http://schemas.openxmlformats.org/officeDocument/2006/relationships/hyperlink" Target="https://www.fantacalcio.it/serie-a/squadre/monza/bakoune/7476/2026-27/italia" TargetMode="External"/><Relationship Id="rId502" Type="http://schemas.openxmlformats.org/officeDocument/2006/relationships/hyperlink" Target="https://www.gazzetta.it/calcio/fantanews/05-08-2026/monza-al-fantacalcio-2026-27-titolari-rigorista-sorprese-consigli-su-chi-prendere.shtml" TargetMode="External"/><Relationship Id="rId503" Type="http://schemas.openxmlformats.org/officeDocument/2006/relationships/hyperlink" Target="https://www.gazzetta.it/calcio/giocatori/anass-salah-eddine/441279/" TargetMode="External"/><Relationship Id="rId504" Type="http://schemas.openxmlformats.org/officeDocument/2006/relationships/hyperlink" Target="https://www.gazzetta.it/calcio/giocatori/marcelo-vaz/742435/" TargetMode="External"/><Relationship Id="rId505" Type="http://schemas.openxmlformats.org/officeDocument/2006/relationships/hyperlink" Target="https://www.fantacalcio.it/serie-a/squadre/roma/vaz/6981/2026-27/italia" TargetMode="External"/><Relationship Id="rId506" Type="http://schemas.openxmlformats.org/officeDocument/2006/relationships/hyperlink" Target="https://www.gazzetta.it/calcio/fantanews/04-08-2026/genoa-al-fantacalcio-2026-27-titolari-rigorista-sorprese-consigli-su-chi-prendere.shtml" TargetMode="External"/><Relationship Id="rId507" Type="http://schemas.openxmlformats.org/officeDocument/2006/relationships/hyperlink" Target="https://www.fantacalcio.it/serie-a/squadre/monza/maye/7604/2026-27/italia" TargetMode="External"/><Relationship Id="rId508" Type="http://schemas.openxmlformats.org/officeDocument/2006/relationships/hyperlink" Target="https://www.gazzetta.it/calcio/fantanews/05-08-2026/monza-al-fantacalcio-2026-27-titolari-rigorista-sorprese-consigli-su-chi-prendere.shtml" TargetMode="External"/><Relationship Id="rId509" Type="http://schemas.openxmlformats.org/officeDocument/2006/relationships/hyperlink" Target="https://www.gazzetta.it/calcio/giocatori/yeferson-paz/479845/" TargetMode="External"/><Relationship Id="rId510" Type="http://schemas.openxmlformats.org/officeDocument/2006/relationships/drawing" Target="../drawings/drawing3.xml"/><Relationship Id="rId511" Type="http://schemas.openxmlformats.org/officeDocument/2006/relationships/vmlDrawing" Target="../drawings/vmlDrawing3.vml"/><Relationship Id="rId512" Type="http://schemas.openxmlformats.org/officeDocument/2006/relationships/comments" Target="../comments3.xml"/></Relationships>

</file>

<file path=xl/worksheets/_rels/sheet7.xml.rels><?xml version="1.0" encoding="UTF-8"?>
<Relationships xmlns="http://schemas.openxmlformats.org/package/2006/relationships"><Relationship Id="rId1" Type="http://schemas.openxmlformats.org/officeDocument/2006/relationships/hyperlink" Target="https://www.gazzetta.it/calcio/giocatori/hakan-calhanoglu/111732/" TargetMode="External"/><Relationship Id="rId2" Type="http://schemas.openxmlformats.org/officeDocument/2006/relationships/hyperlink" Target="https://www.fantacalcio.it/serie-a/squadre/inter/calhanoglu/2194/2026-27/italia" TargetMode="External"/><Relationship Id="rId3" Type="http://schemas.openxmlformats.org/officeDocument/2006/relationships/hyperlink" Target="https://www.gazzetta.it/calcio/fantanews/05-08-2026/inter-al-fantacalcio-2026-27-titolari-rigorista-sorprese-consigli-su-chi-prendere.shtml" TargetMode="External"/><Relationship Id="rId4" Type="http://schemas.openxmlformats.org/officeDocument/2006/relationships/hyperlink" Target="https://www.gazzetta.it/calcio/giocatori/nico-paz/551493/" TargetMode="External"/><Relationship Id="rId5" Type="http://schemas.openxmlformats.org/officeDocument/2006/relationships/hyperlink" Target="https://www.fantacalcio.it/serie-a/squadre/como/paz-n/6875/2026-27/italia" TargetMode="External"/><Relationship Id="rId6" Type="http://schemas.openxmlformats.org/officeDocument/2006/relationships/hyperlink" Target="https://www.gazzetta.it/calcio/fantanews/04-08-2026/como-fantacalcio-2026-27-titolari-rigorista-sorprese-consigli-su-chi-prendere.shtml" TargetMode="External"/><Relationship Id="rId7" Type="http://schemas.openxmlformats.org/officeDocument/2006/relationships/hyperlink" Target="https://www.gazzetta.it/calcio/giocatori/nikola-vlasic/180151/" TargetMode="External"/><Relationship Id="rId8" Type="http://schemas.openxmlformats.org/officeDocument/2006/relationships/hyperlink" Target="https://www.fantacalcio.it/serie-a/squadre/torino/vlasic/5687/2026-27/italia" TargetMode="External"/><Relationship Id="rId9" Type="http://schemas.openxmlformats.org/officeDocument/2006/relationships/hyperlink" Target="https://www.gazzetta.it/calcio/fantanews/03-08-2026/torino-fantacalcio-2026-27-titolari-rigorista-sorprese-consigli-su-chi-prendere.shtml" TargetMode="External"/><Relationship Id="rId10" Type="http://schemas.openxmlformats.org/officeDocument/2006/relationships/hyperlink" Target="https://www.gazzetta.it/calcio/giocatori/adrien-rabiot/120743/" TargetMode="External"/><Relationship Id="rId11" Type="http://schemas.openxmlformats.org/officeDocument/2006/relationships/hyperlink" Target="https://www.fantacalcio.it/serie-a/squadre/milan/rabiot/2379/2026-27/italia" TargetMode="External"/><Relationship Id="rId12" Type="http://schemas.openxmlformats.org/officeDocument/2006/relationships/hyperlink" Target="https://www.gazzetta.it/calcio/fantanews/02-08-2026/milan-al-fantacalcio-2026-27-titolari-rigorista-sorprese-e-consigli-su-chi-prendere.shtml" TargetMode="External"/><Relationship Id="rId13" Type="http://schemas.openxmlformats.org/officeDocument/2006/relationships/hyperlink" Target="https://www.gazzetta.it/calcio/giocatori/martin-baturina/522476/" TargetMode="External"/><Relationship Id="rId14" Type="http://schemas.openxmlformats.org/officeDocument/2006/relationships/hyperlink" Target="https://www.fantacalcio.it/serie-a/squadre/como/baturina/7126/2026-27/italia" TargetMode="External"/><Relationship Id="rId15" Type="http://schemas.openxmlformats.org/officeDocument/2006/relationships/hyperlink" Target="https://www.gazzetta.it/calcio/fantanews/04-08-2026/como-fantacalcio-2026-27-titolari-rigorista-sorprese-consigli-su-chi-prendere.shtml" TargetMode="External"/><Relationship Id="rId16" Type="http://schemas.openxmlformats.org/officeDocument/2006/relationships/hyperlink" Target="https://www.gazzetta.it/calcio/giocatori/christian-pulisic/176413/" TargetMode="External"/><Relationship Id="rId17" Type="http://schemas.openxmlformats.org/officeDocument/2006/relationships/hyperlink" Target="https://www.fantacalcio.it/serie-a/squadre/milan/pulisic/2423/2026-27/italia" TargetMode="External"/><Relationship Id="rId18" Type="http://schemas.openxmlformats.org/officeDocument/2006/relationships/hyperlink" Target="https://www.gazzetta.it/calcio/fantanews/02-08-2026/milan-al-fantacalcio-2026-27-titolari-rigorista-sorprese-e-consigli-su-chi-prendere.shtml" TargetMode="External"/><Relationship Id="rId19" Type="http://schemas.openxmlformats.org/officeDocument/2006/relationships/hyperlink" Target="https://www.gazzetta.it/calcio/giocatori/riccardo-orsolini/223966/" TargetMode="External"/><Relationship Id="rId20" Type="http://schemas.openxmlformats.org/officeDocument/2006/relationships/hyperlink" Target="https://www.fantacalcio.it/serie-a/squadre/bologna/orsolini/2167/2026-27/italia" TargetMode="External"/><Relationship Id="rId21" Type="http://schemas.openxmlformats.org/officeDocument/2006/relationships/hyperlink" Target="https://www.gazzetta.it/calcio/fantanews/03-08-2026/bologna-fantacalcio-2026-27-titolari-rigorista-sorprese-consigli-su-chi-prendere.shtml" TargetMode="External"/><Relationship Id="rId22" Type="http://schemas.openxmlformats.org/officeDocument/2006/relationships/hyperlink" Target="https://www.gazzetta.it/calcio/giocatori/nicolo-barella/171384/" TargetMode="External"/><Relationship Id="rId23" Type="http://schemas.openxmlformats.org/officeDocument/2006/relationships/hyperlink" Target="https://www.fantacalcio.it/serie-a/squadre/inter/barella/1870/2026-27/italia" TargetMode="External"/><Relationship Id="rId24" Type="http://schemas.openxmlformats.org/officeDocument/2006/relationships/hyperlink" Target="https://www.gazzetta.it/calcio/fantanews/05-08-2026/inter-al-fantacalcio-2026-27-titolari-rigorista-sorprese-consigli-su-chi-prendere.shtml" TargetMode="External"/><Relationship Id="rId25" Type="http://schemas.openxmlformats.org/officeDocument/2006/relationships/hyperlink" Target="https://www.gazzetta.it/calcio/giocatori/scott-mctominay/195851/" TargetMode="External"/><Relationship Id="rId26" Type="http://schemas.openxmlformats.org/officeDocument/2006/relationships/hyperlink" Target="https://www.fantacalcio.it/serie-a/squadre/napoli/mctominay/4777/2026-27/italia" TargetMode="External"/><Relationship Id="rId27" Type="http://schemas.openxmlformats.org/officeDocument/2006/relationships/hyperlink" Target="https://www.gazzetta.it/calcio/fantanews/02-08-2026/napoli-fantacalcio-2026-27-titolari-rigorista-sorprese-consigli-su-chi-prendere.shtml" TargetMode="External"/><Relationship Id="rId28" Type="http://schemas.openxmlformats.org/officeDocument/2006/relationships/hyperlink" Target="https://www.gazzetta.it/calcio/giocatori/kevin-de-bruyne/61366/" TargetMode="External"/><Relationship Id="rId29" Type="http://schemas.openxmlformats.org/officeDocument/2006/relationships/hyperlink" Target="https://www.fantacalcio.it/serie-a/squadre/napoli/de-bruyne/2517/2026-27/italia" TargetMode="External"/><Relationship Id="rId30" Type="http://schemas.openxmlformats.org/officeDocument/2006/relationships/hyperlink" Target="https://www.gazzetta.it/calcio/fantanews/02-08-2026/napoli-fantacalcio-2026-27-titolari-rigorista-sorprese-consigli-su-chi-prendere.shtml" TargetMode="External"/><Relationship Id="rId31" Type="http://schemas.openxmlformats.org/officeDocument/2006/relationships/hyperlink" Target="https://www.gazzetta.it/calcio/giocatori/federico-bernardeschi/147297/" TargetMode="External"/><Relationship Id="rId32" Type="http://schemas.openxmlformats.org/officeDocument/2006/relationships/hyperlink" Target="https://www.fantacalcio.it/serie-a/squadre/bologna/bernardeschi/184/2026-27/italia" TargetMode="External"/><Relationship Id="rId33" Type="http://schemas.openxmlformats.org/officeDocument/2006/relationships/hyperlink" Target="https://www.gazzetta.it/calcio/fantanews/03-08-2026/bologna-fantacalcio-2026-27-titolari-rigorista-sorprese-consigli-su-chi-prendere.shtml" TargetMode="External"/><Relationship Id="rId34" Type="http://schemas.openxmlformats.org/officeDocument/2006/relationships/hyperlink" Target="https://www.gazzetta.it/calcio/giocatori/lucas-da-cunha/465158/" TargetMode="External"/><Relationship Id="rId35" Type="http://schemas.openxmlformats.org/officeDocument/2006/relationships/hyperlink" Target="https://www.fantacalcio.it/serie-a/squadre/como/da-cunha/5559/2026-27/italia" TargetMode="External"/><Relationship Id="rId36" Type="http://schemas.openxmlformats.org/officeDocument/2006/relationships/hyperlink" Target="https://www.gazzetta.it/calcio/fantanews/04-08-2026/como-fantacalcio-2026-27-titolari-rigorista-sorprese-consigli-su-chi-prendere.shtml" TargetMode="External"/><Relationship Id="rId37" Type="http://schemas.openxmlformats.org/officeDocument/2006/relationships/hyperlink" Target="https://www.gazzetta.it/calcio/giocatori/arthur-atta/606931/" TargetMode="External"/><Relationship Id="rId38" Type="http://schemas.openxmlformats.org/officeDocument/2006/relationships/hyperlink" Target="https://www.fantacalcio.it/serie-a/squadre/fiorentina/atta/6908/2026-27/italia" TargetMode="External"/><Relationship Id="rId39" Type="http://schemas.openxmlformats.org/officeDocument/2006/relationships/hyperlink" Target="https://www.gazzetta.it/calcio/fantanews/02-08-2026/fiorentina-fantacalcio-2026-27-titolari-rigorista-sorprese-consigli-su-chi-prendere.shtml" TargetMode="External"/><Relationship Id="rId40" Type="http://schemas.openxmlformats.org/officeDocument/2006/relationships/hyperlink" Target="https://www.gazzetta.it/calcio/giocatori/manu-kone/475767/" TargetMode="External"/><Relationship Id="rId41" Type="http://schemas.openxmlformats.org/officeDocument/2006/relationships/hyperlink" Target="https://www.fantacalcio.it/serie-a/squadre/roma/kon%C3%A8-m/5589/2026-27/italia" TargetMode="External"/><Relationship Id="rId42" Type="http://schemas.openxmlformats.org/officeDocument/2006/relationships/hyperlink" Target="https://www.gazzetta.it/calcio/fantanews/03-08-2026/roma-al-fantacalcio-2026-27-titolari-rigorista-sorprese-consigli-su-chi-prendere.shtml" TargetMode="External"/><Relationship Id="rId43" Type="http://schemas.openxmlformats.org/officeDocument/2006/relationships/hyperlink" Target="https://www.gazzetta.it/calcio/giocatori/nicolo-zaniolo/245414/" TargetMode="External"/><Relationship Id="rId44" Type="http://schemas.openxmlformats.org/officeDocument/2006/relationships/hyperlink" Target="https://www.fantacalcio.it/serie-a/squadre/udinese/zaniolo/2766/2026-27/italia" TargetMode="External"/><Relationship Id="rId45" Type="http://schemas.openxmlformats.org/officeDocument/2006/relationships/hyperlink" Target="https://www.gazzetta.it/calcio/fantanews/03-08-2026/udinese-fantacalcio-2026-27-titolari-rigorista-sorprese-consigli-su-chi-prendere.shtml" TargetMode="External"/><Relationship Id="rId46" Type="http://schemas.openxmlformats.org/officeDocument/2006/relationships/hyperlink" Target="https://www.gazzetta.it/calcio/giocatori/luka-modric/37055/" TargetMode="External"/><Relationship Id="rId47" Type="http://schemas.openxmlformats.org/officeDocument/2006/relationships/hyperlink" Target="https://www.fantacalcio.it/serie-a/squadre/milan/modric/2606/2026-27/italia" TargetMode="External"/><Relationship Id="rId48" Type="http://schemas.openxmlformats.org/officeDocument/2006/relationships/hyperlink" Target="https://www.gazzetta.it/calcio/fantanews/02-08-2026/milan-al-fantacalcio-2026-27-titolari-rigorista-sorprese-e-consigli-su-chi-prendere.shtml" TargetMode="External"/><Relationship Id="rId49" Type="http://schemas.openxmlformats.org/officeDocument/2006/relationships/hyperlink" Target="https://www.gazzetta.it/calcio/giocatori/alisson-santos/539366/" TargetMode="External"/><Relationship Id="rId50" Type="http://schemas.openxmlformats.org/officeDocument/2006/relationships/hyperlink" Target="https://www.fantacalcio.it/serie-a/squadre/napoli/santos-a/7351/2026-27/italia" TargetMode="External"/><Relationship Id="rId51" Type="http://schemas.openxmlformats.org/officeDocument/2006/relationships/hyperlink" Target="https://www.gazzetta.it/calcio/fantanews/02-08-2026/napoli-fantacalcio-2026-27-titolari-rigorista-sorprese-consigli-su-chi-prendere.shtml" TargetMode="External"/><Relationship Id="rId52" Type="http://schemas.openxmlformats.org/officeDocument/2006/relationships/hyperlink" Target="https://www.gazzetta.it/calcio/giocatori/mattia-zaccagni/157008/" TargetMode="External"/><Relationship Id="rId53" Type="http://schemas.openxmlformats.org/officeDocument/2006/relationships/hyperlink" Target="https://www.fantacalcio.it/serie-a/squadre/lazio/zaccagni/632/2026-27/italia" TargetMode="External"/><Relationship Id="rId54" Type="http://schemas.openxmlformats.org/officeDocument/2006/relationships/hyperlink" Target="https://www.gazzetta.it/calcio/fantanews/02-08-2026/lazio-al-fantacalcio-2026-27-titolari-rigorista-sorprese-e-consigli-su-chi-prendere.shtml" TargetMode="External"/><Relationship Id="rId55" Type="http://schemas.openxmlformats.org/officeDocument/2006/relationships/hyperlink" Target="https://www.gazzetta.it/calcio/giocatori/francisco-conceicao/465630/" TargetMode="External"/><Relationship Id="rId56" Type="http://schemas.openxmlformats.org/officeDocument/2006/relationships/hyperlink" Target="https://www.fantacalcio.it/serie-a/squadre/juventus/conceicao/6884/2026-27/italia" TargetMode="External"/><Relationship Id="rId57" Type="http://schemas.openxmlformats.org/officeDocument/2006/relationships/hyperlink" Target="https://www.gazzetta.it/calcio/fantanews/03-08-2026/juve-al-fantacalcio-2026-27-titolari-rigorista-sorprese-consigli-su-chi-prendere.shtml" TargetMode="External"/><Relationship Id="rId58" Type="http://schemas.openxmlformats.org/officeDocument/2006/relationships/hyperlink" Target="https://www.gazzetta.it/calcio/giocatori/ederson/463184/" TargetMode="External"/><Relationship Id="rId59" Type="http://schemas.openxmlformats.org/officeDocument/2006/relationships/hyperlink" Target="https://www.fantacalcio.it/serie-a/squadre/atalanta/ederson-d-s/5792/2026-27/italia" TargetMode="External"/><Relationship Id="rId60" Type="http://schemas.openxmlformats.org/officeDocument/2006/relationships/hyperlink" Target="https://www.gazzetta.it/calcio/fantanews/02-08-2026/atalanta-fantacalcio-2026-27-titolari-rigorista-sorprese-consigli-su-chi-prendere.shtml" TargetMode="External"/><Relationship Id="rId61" Type="http://schemas.openxmlformats.org/officeDocument/2006/relationships/hyperlink" Target="https://www.gazzetta.it/calcio/giocatori/manuel-locatelli/171387/" TargetMode="External"/><Relationship Id="rId62" Type="http://schemas.openxmlformats.org/officeDocument/2006/relationships/hyperlink" Target="https://www.fantacalcio.it/serie-a/squadre/juventus/locatelli/827/2026-27/italia" TargetMode="External"/><Relationship Id="rId63" Type="http://schemas.openxmlformats.org/officeDocument/2006/relationships/hyperlink" Target="https://www.gazzetta.it/calcio/fantanews/03-08-2026/juve-al-fantacalcio-2026-27-titolari-rigorista-sorprese-consigli-su-chi-prendere.shtml" TargetMode="External"/><Relationship Id="rId64" Type="http://schemas.openxmlformats.org/officeDocument/2006/relationships/hyperlink" Target="https://www.gazzetta.it/calcio/giocatori/kenneth-taylor/441278/" TargetMode="External"/><Relationship Id="rId65" Type="http://schemas.openxmlformats.org/officeDocument/2006/relationships/hyperlink" Target="https://www.fantacalcio.it/serie-a/squadre/lazio/taylor-k/7314/2026-27/italia" TargetMode="External"/><Relationship Id="rId66" Type="http://schemas.openxmlformats.org/officeDocument/2006/relationships/hyperlink" Target="https://www.gazzetta.it/calcio/fantanews/02-08-2026/lazio-al-fantacalcio-2026-27-titolari-rigorista-sorprese-e-consigli-su-chi-prendere.shtml" TargetMode="External"/><Relationship Id="rId67" Type="http://schemas.openxmlformats.org/officeDocument/2006/relationships/hyperlink" Target="https://www.gazzetta.it/calcio/giocatori/jurgen-ekkelenkamp/220238/" TargetMode="External"/><Relationship Id="rId68" Type="http://schemas.openxmlformats.org/officeDocument/2006/relationships/hyperlink" Target="https://www.fantacalcio.it/serie-a/squadre/udinese/ekkelenkamp/6684/2026-27/italia" TargetMode="External"/><Relationship Id="rId69" Type="http://schemas.openxmlformats.org/officeDocument/2006/relationships/hyperlink" Target="https://www.gazzetta.it/calcio/fantanews/03-08-2026/udinese-fantacalcio-2026-27-titolari-rigorista-sorprese-consigli-su-chi-prendere.shtml" TargetMode="External"/><Relationship Id="rId70" Type="http://schemas.openxmlformats.org/officeDocument/2006/relationships/hyperlink" Target="https://www.gazzetta.it/calcio/giocatori/piotr-zielinski/126440/" TargetMode="External"/><Relationship Id="rId71" Type="http://schemas.openxmlformats.org/officeDocument/2006/relationships/hyperlink" Target="https://www.fantacalcio.it/serie-a/squadre/inter/zielinski/152/2026-27/italia" TargetMode="External"/><Relationship Id="rId72" Type="http://schemas.openxmlformats.org/officeDocument/2006/relationships/hyperlink" Target="https://www.gazzetta.it/calcio/fantanews/05-08-2026/inter-al-fantacalcio-2026-27-titolari-rigorista-sorprese-consigli-su-chi-prendere.shtml" TargetMode="External"/><Relationship Id="rId73" Type="http://schemas.openxmlformats.org/officeDocument/2006/relationships/hyperlink" Target="https://www.gazzetta.it/calcio/giocatori/maximo-perrone/482769/" TargetMode="External"/><Relationship Id="rId74" Type="http://schemas.openxmlformats.org/officeDocument/2006/relationships/hyperlink" Target="https://www.fantacalcio.it/serie-a/squadre/como/perrone/6151/2026-27/italia" TargetMode="External"/><Relationship Id="rId75" Type="http://schemas.openxmlformats.org/officeDocument/2006/relationships/hyperlink" Target="https://www.gazzetta.it/calcio/fantanews/04-08-2026/como-fantacalcio-2026-27-titolari-rigorista-sorprese-consigli-su-chi-prendere.shtml" TargetMode="External"/><Relationship Id="rId76" Type="http://schemas.openxmlformats.org/officeDocument/2006/relationships/hyperlink" Target="https://www.fantacalcio.it/serie-a/squadre/fiorentina/mastantuono/7078/2026-27/italia" TargetMode="External"/><Relationship Id="rId77" Type="http://schemas.openxmlformats.org/officeDocument/2006/relationships/hyperlink" Target="https://www.gazzetta.it/calcio/fantanews/02-08-2026/fiorentina-fantacalcio-2026-27-titolari-rigorista-sorprese-consigli-su-chi-prendere.shtml" TargetMode="External"/><Relationship Id="rId78" Type="http://schemas.openxmlformats.org/officeDocument/2006/relationships/hyperlink" Target="https://www.gazzetta.it/calcio/giocatori/weston-mckennie/241519/" TargetMode="External"/><Relationship Id="rId79" Type="http://schemas.openxmlformats.org/officeDocument/2006/relationships/hyperlink" Target="https://www.fantacalcio.it/serie-a/squadre/juventus/mckennie/4973/2026-27/italia" TargetMode="External"/><Relationship Id="rId80" Type="http://schemas.openxmlformats.org/officeDocument/2006/relationships/hyperlink" Target="https://www.gazzetta.it/calcio/fantanews/03-08-2026/juve-al-fantacalcio-2026-27-titolari-rigorista-sorprese-consigli-su-chi-prendere.shtml" TargetMode="External"/><Relationship Id="rId81" Type="http://schemas.openxmlformats.org/officeDocument/2006/relationships/hyperlink" Target="https://www.gazzetta.it/calcio/giocatori/bryan-cristante/109511/" TargetMode="External"/><Relationship Id="rId82" Type="http://schemas.openxmlformats.org/officeDocument/2006/relationships/hyperlink" Target="https://www.fantacalcio.it/serie-a/squadre/roma/cristante/779/2026-27/italia" TargetMode="External"/><Relationship Id="rId83" Type="http://schemas.openxmlformats.org/officeDocument/2006/relationships/hyperlink" Target="https://www.gazzetta.it/calcio/fantanews/03-08-2026/roma-al-fantacalcio-2026-27-titolari-rigorista-sorprese-consigli-su-chi-prendere.shtml" TargetMode="External"/><Relationship Id="rId84" Type="http://schemas.openxmlformats.org/officeDocument/2006/relationships/hyperlink" Target="https://www.gazzetta.it/calcio/giocatori/kristian-thorstvedt/445043/" TargetMode="External"/><Relationship Id="rId85" Type="http://schemas.openxmlformats.org/officeDocument/2006/relationships/hyperlink" Target="https://www.fantacalcio.it/serie-a/squadre/sassuolo/thorstvedt/5844/2026-27/italia" TargetMode="External"/><Relationship Id="rId86" Type="http://schemas.openxmlformats.org/officeDocument/2006/relationships/hyperlink" Target="https://www.gazzetta.it/calcio/fantanews/04-08-2026/sassuolo-fantacalcio-2026-27-titolari-rigorista-sorprese-consigli-su-chi-prendere.shtml" TargetMode="External"/><Relationship Id="rId87" Type="http://schemas.openxmlformats.org/officeDocument/2006/relationships/hyperlink" Target="https://www.gazzetta.it/calcio/giocatori/alexis-saelemaekers/437746/" TargetMode="External"/><Relationship Id="rId88" Type="http://schemas.openxmlformats.org/officeDocument/2006/relationships/hyperlink" Target="https://www.fantacalcio.it/serie-a/squadre/milan/saelemaekers/4892/2026-27/italia" TargetMode="External"/><Relationship Id="rId89" Type="http://schemas.openxmlformats.org/officeDocument/2006/relationships/hyperlink" Target="https://www.gazzetta.it/calcio/fantanews/02-08-2026/milan-al-fantacalcio-2026-27-titolari-rigorista-sorprese-e-consigli-su-chi-prendere.shtml" TargetMode="External"/><Relationship Id="rId90" Type="http://schemas.openxmlformats.org/officeDocument/2006/relationships/hyperlink" Target="https://www.fantacalcio.it/serie-a/squadre/inter/jones-c/5172/2026-27/italia" TargetMode="External"/><Relationship Id="rId91" Type="http://schemas.openxmlformats.org/officeDocument/2006/relationships/hyperlink" Target="https://www.gazzetta.it/calcio/fantanews/05-08-2026/inter-al-fantacalcio-2026-27-titolari-rigorista-sorprese-consigli-su-chi-prendere.shtml" TargetMode="External"/><Relationship Id="rId92" Type="http://schemas.openxmlformats.org/officeDocument/2006/relationships/hyperlink" Target="https://www.gazzetta.it/calcio/giocatori/davide-frattesi/235453/" TargetMode="External"/><Relationship Id="rId93" Type="http://schemas.openxmlformats.org/officeDocument/2006/relationships/hyperlink" Target="https://www.fantacalcio.it/serie-a/squadre/lazio/frattesi/2848/2026-27/italia" TargetMode="External"/><Relationship Id="rId94" Type="http://schemas.openxmlformats.org/officeDocument/2006/relationships/hyperlink" Target="https://www.gazzetta.it/calcio/fantanews/02-08-2026/lazio-al-fantacalcio-2026-27-titolari-rigorista-sorprese-e-consigli-su-chi-prendere.shtml" TargetMode="External"/><Relationship Id="rId95" Type="http://schemas.openxmlformats.org/officeDocument/2006/relationships/hyperlink" Target="https://www.gazzetta.it/calcio/giocatori/andre-zambo-anguissa/203325/" TargetMode="External"/><Relationship Id="rId96" Type="http://schemas.openxmlformats.org/officeDocument/2006/relationships/hyperlink" Target="https://www.fantacalcio.it/serie-a/squadre/napoli/zambo-anguissa/4220/2026-27/italia" TargetMode="External"/><Relationship Id="rId97" Type="http://schemas.openxmlformats.org/officeDocument/2006/relationships/hyperlink" Target="https://www.gazzetta.it/calcio/fantanews/02-08-2026/napoli-fantacalcio-2026-27-titolari-rigorista-sorprese-consigli-su-chi-prendere.shtml" TargetMode="External"/><Relationship Id="rId98" Type="http://schemas.openxmlformats.org/officeDocument/2006/relationships/hyperlink" Target="https://www.gazzetta.it/calcio/giocatori/albert-gudmundsson/215147/" TargetMode="External"/><Relationship Id="rId99" Type="http://schemas.openxmlformats.org/officeDocument/2006/relationships/hyperlink" Target="https://www.fantacalcio.it/serie-a/squadre/lazio/gudmundsson-a/5800/2026-27/italia" TargetMode="External"/><Relationship Id="rId100" Type="http://schemas.openxmlformats.org/officeDocument/2006/relationships/hyperlink" Target="https://www.gazzetta.it/calcio/fantanews/02-08-2026/lazio-al-fantacalcio-2026-27-titolari-rigorista-sorprese-e-consigli-su-chi-prendere.shtml" TargetMode="External"/><Relationship Id="rId101" Type="http://schemas.openxmlformats.org/officeDocument/2006/relationships/hyperlink" Target="https://www.gazzetta.it/calcio/giocatori/rolando-mandragora/182514/" TargetMode="External"/><Relationship Id="rId102" Type="http://schemas.openxmlformats.org/officeDocument/2006/relationships/hyperlink" Target="https://www.fantacalcio.it/serie-a/squadre/torino/mandragora/1933/2026-27/italia" TargetMode="External"/><Relationship Id="rId103" Type="http://schemas.openxmlformats.org/officeDocument/2006/relationships/hyperlink" Target="https://www.gazzetta.it/calcio/fantanews/03-08-2026/torino-fantacalcio-2026-27-titolari-rigorista-sorprese-consigli-su-chi-prendere.shtml" TargetMode="External"/><Relationship Id="rId104" Type="http://schemas.openxmlformats.org/officeDocument/2006/relationships/hyperlink" Target="https://www.fantacalcio.it/serie-a/squadre/milan/moreira/6372/2026-27/italia" TargetMode="External"/><Relationship Id="rId105" Type="http://schemas.openxmlformats.org/officeDocument/2006/relationships/hyperlink" Target="https://www.gazzetta.it/calcio/fantanews/02-08-2026/milan-al-fantacalcio-2026-27-titolari-rigorista-sorprese-e-consigli-su-chi-prendere.shtml" TargetMode="External"/><Relationship Id="rId106" Type="http://schemas.openxmlformats.org/officeDocument/2006/relationships/hyperlink" Target="https://www.gazzetta.it/calcio/giocatori/adrian-bernabe/449926/" TargetMode="External"/><Relationship Id="rId107" Type="http://schemas.openxmlformats.org/officeDocument/2006/relationships/hyperlink" Target="https://www.fantacalcio.it/serie-a/squadre/parma/bernab%C3%A8/6666/2026-27/italia" TargetMode="External"/><Relationship Id="rId108" Type="http://schemas.openxmlformats.org/officeDocument/2006/relationships/hyperlink" Target="https://www.gazzetta.it/calcio/fantanews/03-08-2026/parma-al-fantacalcio-2026-27-titolari-rigorista-sorprese-consigli-su-chi-prendere.shtml" TargetMode="External"/><Relationship Id="rId109" Type="http://schemas.openxmlformats.org/officeDocument/2006/relationships/hyperlink" Target="https://www.gazzetta.it/calcio/giocatori/samuel-chukwueze/218328/" TargetMode="External"/><Relationship Id="rId110" Type="http://schemas.openxmlformats.org/officeDocument/2006/relationships/hyperlink" Target="https://www.fantacalcio.it/serie-a/squadre/milan/chukwueze/4856/2026-27/italia" TargetMode="External"/><Relationship Id="rId111" Type="http://schemas.openxmlformats.org/officeDocument/2006/relationships/hyperlink" Target="https://www.gazzetta.it/calcio/fantanews/02-08-2026/milan-al-fantacalcio-2026-27-titolari-rigorista-sorprese-e-consigli-su-chi-prendere.shtml" TargetMode="External"/><Relationship Id="rId112" Type="http://schemas.openxmlformats.org/officeDocument/2006/relationships/hyperlink" Target="https://www.gazzetta.it/calcio/giocatori/matteo-politano/153776/" TargetMode="External"/><Relationship Id="rId113" Type="http://schemas.openxmlformats.org/officeDocument/2006/relationships/hyperlink" Target="https://www.fantacalcio.it/serie-a/squadre/napoli/politano/536/2026-27/italia" TargetMode="External"/><Relationship Id="rId114" Type="http://schemas.openxmlformats.org/officeDocument/2006/relationships/hyperlink" Target="https://www.gazzetta.it/calcio/fantanews/02-08-2026/napoli-fantacalcio-2026-27-titolari-rigorista-sorprese-consigli-su-chi-prendere.shtml" TargetMode="External"/><Relationship Id="rId115" Type="http://schemas.openxmlformats.org/officeDocument/2006/relationships/hyperlink" Target="https://www.fantacalcio.it/serie-a/squadre/roma/mora/7556/2026-27/italia" TargetMode="External"/><Relationship Id="rId116" Type="http://schemas.openxmlformats.org/officeDocument/2006/relationships/hyperlink" Target="https://www.gazzetta.it/calcio/fantanews/03-08-2026/roma-al-fantacalcio-2026-27-titolari-rigorista-sorprese-consigli-su-chi-prendere.shtml" TargetMode="External"/><Relationship Id="rId117" Type="http://schemas.openxmlformats.org/officeDocument/2006/relationships/hyperlink" Target="https://www.gazzetta.it/calcio/giocatori/stanislav-lobotka/101820/" TargetMode="External"/><Relationship Id="rId118" Type="http://schemas.openxmlformats.org/officeDocument/2006/relationships/hyperlink" Target="https://www.fantacalcio.it/serie-a/squadre/napoli/lobotka/4287/2026-27/italia" TargetMode="External"/><Relationship Id="rId119" Type="http://schemas.openxmlformats.org/officeDocument/2006/relationships/hyperlink" Target="https://www.gazzetta.it/calcio/fantanews/02-08-2026/napoli-fantacalcio-2026-27-titolari-rigorista-sorprese-consigli-su-chi-prendere.shtml" TargetMode="External"/><Relationship Id="rId120" Type="http://schemas.openxmlformats.org/officeDocument/2006/relationships/hyperlink" Target="https://www.gazzetta.it/calcio/giocatori/jesper-karlstrom/160602/" TargetMode="External"/><Relationship Id="rId121" Type="http://schemas.openxmlformats.org/officeDocument/2006/relationships/hyperlink" Target="https://www.fantacalcio.it/serie-a/squadre/udinese/karlstrom/6680/2026-27/italia" TargetMode="External"/><Relationship Id="rId122" Type="http://schemas.openxmlformats.org/officeDocument/2006/relationships/hyperlink" Target="https://www.gazzetta.it/calcio/fantanews/03-08-2026/udinese-fantacalcio-2026-27-titolari-rigorista-sorprese-consigli-su-chi-prendere.shtml" TargetMode="External"/><Relationship Id="rId123" Type="http://schemas.openxmlformats.org/officeDocument/2006/relationships/hyperlink" Target="https://www.fantacalcio.it/serie-a/squadre/frosinone/cal%C3%B2/7472/2026-27/italia" TargetMode="External"/><Relationship Id="rId124" Type="http://schemas.openxmlformats.org/officeDocument/2006/relationships/hyperlink" Target="https://www.gazzetta.it/calcio/fantanews/02-08-2026/frosinone-al-fantacalcio-2026-27-titolari-rigorista-sorprese-e-consigli-su-chi-prendere.shtml" TargetMode="External"/><Relationship Id="rId125" Type="http://schemas.openxmlformats.org/officeDocument/2006/relationships/hyperlink" Target="https://www.gazzetta.it/calcio/giocatori/maxence-caqueret/219296/" TargetMode="External"/><Relationship Id="rId126" Type="http://schemas.openxmlformats.org/officeDocument/2006/relationships/hyperlink" Target="https://www.fantacalcio.it/serie-a/squadre/como/caqueret/5036/2026-27/italia" TargetMode="External"/><Relationship Id="rId127" Type="http://schemas.openxmlformats.org/officeDocument/2006/relationships/hyperlink" Target="https://www.gazzetta.it/calcio/fantanews/04-08-2026/como-fantacalcio-2026-27-titolari-rigorista-sorprese-consigli-su-chi-prendere.shtml" TargetMode="External"/><Relationship Id="rId128" Type="http://schemas.openxmlformats.org/officeDocument/2006/relationships/hyperlink" Target="https://www.gazzetta.it/calcio/giocatori/santiago-pierotti/482466/" TargetMode="External"/><Relationship Id="rId129" Type="http://schemas.openxmlformats.org/officeDocument/2006/relationships/hyperlink" Target="https://www.fantacalcio.it/serie-a/squadre/lecce/pierotti/6549/2026-27/italia" TargetMode="External"/><Relationship Id="rId130" Type="http://schemas.openxmlformats.org/officeDocument/2006/relationships/hyperlink" Target="https://www.gazzetta.it/calcio/fantanews/04-08-2026/lecce-fantacalcio-2026-27-titolari-rigorista-sorprese-consigli-su-chi-prendere.shtml" TargetMode="External"/><Relationship Id="rId131" Type="http://schemas.openxmlformats.org/officeDocument/2006/relationships/hyperlink" Target="https://www.gazzetta.it/calcio/giocatori/lorenzo-pellegrini/184441/" TargetMode="External"/><Relationship Id="rId132" Type="http://schemas.openxmlformats.org/officeDocument/2006/relationships/hyperlink" Target="https://www.fantacalcio.it/serie-a/squadre/roma/pellegrini-lo/530/2026-27/italia" TargetMode="External"/><Relationship Id="rId133" Type="http://schemas.openxmlformats.org/officeDocument/2006/relationships/hyperlink" Target="https://www.gazzetta.it/calcio/fantanews/03-08-2026/roma-al-fantacalcio-2026-27-titolari-rigorista-sorprese-consigli-su-chi-prendere.shtml" TargetMode="External"/><Relationship Id="rId134" Type="http://schemas.openxmlformats.org/officeDocument/2006/relationships/hyperlink" Target="https://www.fantacalcio.it/serie-a/squadre/atalanta/kessi%C3%A8/1850/2026-27/italia" TargetMode="External"/><Relationship Id="rId135" Type="http://schemas.openxmlformats.org/officeDocument/2006/relationships/hyperlink" Target="https://www.gazzetta.it/calcio/fantanews/02-08-2026/atalanta-fantacalcio-2026-27-titolari-rigorista-sorprese-consigli-su-chi-prendere.shtml" TargetMode="External"/><Relationship Id="rId136" Type="http://schemas.openxmlformats.org/officeDocument/2006/relationships/hyperlink" Target="https://www.gazzetta.it/calcio/giocatori/pedro-goncalves/433145/" TargetMode="External"/><Relationship Id="rId137" Type="http://schemas.openxmlformats.org/officeDocument/2006/relationships/hyperlink" Target="https://www.fantacalcio.it/serie-a/squadre/fiorentina/goncalves-p/7625/2026-27/italia" TargetMode="External"/><Relationship Id="rId138" Type="http://schemas.openxmlformats.org/officeDocument/2006/relationships/hyperlink" Target="https://www.gazzetta.it/calcio/fantanews/02-08-2026/fiorentina-fantacalcio-2026-27-titolari-rigorista-sorprese-consigli-su-chi-prendere.shtml" TargetMode="External"/><Relationship Id="rId139" Type="http://schemas.openxmlformats.org/officeDocument/2006/relationships/hyperlink" Target="https://www.gazzetta.it/calcio/giocatori/niccolo-pisilli/614866/" TargetMode="External"/><Relationship Id="rId140" Type="http://schemas.openxmlformats.org/officeDocument/2006/relationships/hyperlink" Target="https://www.fantacalcio.it/serie-a/squadre/roma/pisilli/6190/2026-27/italia" TargetMode="External"/><Relationship Id="rId141" Type="http://schemas.openxmlformats.org/officeDocument/2006/relationships/hyperlink" Target="https://www.gazzetta.it/calcio/fantanews/03-08-2026/roma-al-fantacalcio-2026-27-titolari-rigorista-sorprese-consigli-su-chi-prendere.shtml" TargetMode="External"/><Relationship Id="rId142" Type="http://schemas.openxmlformats.org/officeDocument/2006/relationships/hyperlink" Target="https://www.gazzetta.it/calcio/giocatori/gianluca-gaetano/437780/" TargetMode="External"/><Relationship Id="rId143" Type="http://schemas.openxmlformats.org/officeDocument/2006/relationships/hyperlink" Target="https://www.fantacalcio.it/serie-a/squadre/atalanta/gaetano/4364/2026-27/italia" TargetMode="External"/><Relationship Id="rId144" Type="http://schemas.openxmlformats.org/officeDocument/2006/relationships/hyperlink" Target="https://www.gazzetta.it/calcio/fantanews/02-08-2026/atalanta-fantacalcio-2026-27-titolari-rigorista-sorprese-consigli-su-chi-prendere.shtml" TargetMode="External"/><Relationship Id="rId145" Type="http://schemas.openxmlformats.org/officeDocument/2006/relationships/hyperlink" Target="https://www.gazzetta.it/calcio/giocatori/lazar-samardzic/477529/" TargetMode="External"/><Relationship Id="rId146" Type="http://schemas.openxmlformats.org/officeDocument/2006/relationships/hyperlink" Target="https://www.fantacalcio.it/serie-a/squadre/atalanta/samardzic/5119/2026-27/italia" TargetMode="External"/><Relationship Id="rId147" Type="http://schemas.openxmlformats.org/officeDocument/2006/relationships/hyperlink" Target="https://www.gazzetta.it/calcio/fantanews/02-08-2026/atalanta-fantacalcio-2026-27-titolari-rigorista-sorprese-consigli-su-chi-prendere.shtml" TargetMode="External"/><Relationship Id="rId148" Type="http://schemas.openxmlformats.org/officeDocument/2006/relationships/hyperlink" Target="https://www.gazzetta.it/calcio/giocatori/nemanja-matic/62398/" TargetMode="External"/><Relationship Id="rId149" Type="http://schemas.openxmlformats.org/officeDocument/2006/relationships/hyperlink" Target="https://www.fantacalcio.it/serie-a/squadre/sassuolo/matic/2528/2026-27/italia" TargetMode="External"/><Relationship Id="rId150" Type="http://schemas.openxmlformats.org/officeDocument/2006/relationships/hyperlink" Target="https://www.gazzetta.it/calcio/fantanews/04-08-2026/sassuolo-fantacalcio-2026-27-titolari-rigorista-sorprese-consigli-su-chi-prendere.shtml" TargetMode="External"/><Relationship Id="rId151" Type="http://schemas.openxmlformats.org/officeDocument/2006/relationships/hyperlink" Target="https://www.gazzetta.it/calcio/giocatori/nicolo-fagioli/226270/" TargetMode="External"/><Relationship Id="rId152" Type="http://schemas.openxmlformats.org/officeDocument/2006/relationships/hyperlink" Target="https://www.fantacalcio.it/serie-a/squadre/fiorentina/fagioli/4465/2026-27/italia" TargetMode="External"/><Relationship Id="rId153" Type="http://schemas.openxmlformats.org/officeDocument/2006/relationships/hyperlink" Target="https://www.gazzetta.it/calcio/fantanews/02-08-2026/fiorentina-fantacalcio-2026-27-titolari-rigorista-sorprese-consigli-su-chi-prendere.shtml" TargetMode="External"/><Relationship Id="rId154" Type="http://schemas.openxmlformats.org/officeDocument/2006/relationships/hyperlink" Target="https://www.gazzetta.it/calcio/giocatori/henrikh-mkhitaryan/57249/" TargetMode="External"/><Relationship Id="rId155" Type="http://schemas.openxmlformats.org/officeDocument/2006/relationships/hyperlink" Target="https://www.fantacalcio.it/serie-a/squadre/inter/mkhitaryan/2529/2026-27/italia" TargetMode="External"/><Relationship Id="rId156" Type="http://schemas.openxmlformats.org/officeDocument/2006/relationships/hyperlink" Target="https://www.gazzetta.it/calcio/fantanews/05-08-2026/inter-al-fantacalcio-2026-27-titolari-rigorista-sorprese-consigli-su-chi-prendere.shtml" TargetMode="External"/><Relationship Id="rId157" Type="http://schemas.openxmlformats.org/officeDocument/2006/relationships/hyperlink" Target="https://www.gazzetta.it/calcio/giocatori/petar-sucic/581229/" TargetMode="External"/><Relationship Id="rId158" Type="http://schemas.openxmlformats.org/officeDocument/2006/relationships/hyperlink" Target="https://www.fantacalcio.it/serie-a/squadre/inter/sucic-p/7070/2026-27/italia" TargetMode="External"/><Relationship Id="rId159" Type="http://schemas.openxmlformats.org/officeDocument/2006/relationships/hyperlink" Target="https://www.gazzetta.it/calcio/fantanews/05-08-2026/inter-al-fantacalcio-2026-27-titolari-rigorista-sorprese-consigli-su-chi-prendere.shtml" TargetMode="External"/><Relationship Id="rId160" Type="http://schemas.openxmlformats.org/officeDocument/2006/relationships/hyperlink" Target="https://www.gazzetta.it/calcio/giocatori/mandela-keita/534913/" TargetMode="External"/><Relationship Id="rId161" Type="http://schemas.openxmlformats.org/officeDocument/2006/relationships/hyperlink" Target="https://www.fantacalcio.it/serie-a/squadre/parma/keita-m/6898/2026-27/italia" TargetMode="External"/><Relationship Id="rId162" Type="http://schemas.openxmlformats.org/officeDocument/2006/relationships/hyperlink" Target="https://www.gazzetta.it/calcio/fantanews/03-08-2026/parma-al-fantacalcio-2026-27-titolari-rigorista-sorprese-consigli-su-chi-prendere.shtml" TargetMode="External"/><Relationship Id="rId163" Type="http://schemas.openxmlformats.org/officeDocument/2006/relationships/hyperlink" Target="https://www.gazzetta.it/calcio/giocatori/mario-pasalic/164570/" TargetMode="External"/><Relationship Id="rId164" Type="http://schemas.openxmlformats.org/officeDocument/2006/relationships/hyperlink" Target="https://www.fantacalcio.it/serie-a/squadre/atalanta/pasalic/2077/2026-27/italia" TargetMode="External"/><Relationship Id="rId165" Type="http://schemas.openxmlformats.org/officeDocument/2006/relationships/hyperlink" Target="https://www.gazzetta.it/calcio/fantanews/02-08-2026/atalanta-fantacalcio-2026-27-titolari-rigorista-sorprese-consigli-su-chi-prendere.shtml" TargetMode="External"/><Relationship Id="rId166" Type="http://schemas.openxmlformats.org/officeDocument/2006/relationships/hyperlink" Target="https://www.gazzetta.it/calcio/giocatori/ismael-kone/547658/" TargetMode="External"/><Relationship Id="rId167" Type="http://schemas.openxmlformats.org/officeDocument/2006/relationships/hyperlink" Target="https://www.fantacalcio.it/serie-a/squadre/sassuolo/kon%C3%A8-i/6717/2026-27/italia" TargetMode="External"/><Relationship Id="rId168" Type="http://schemas.openxmlformats.org/officeDocument/2006/relationships/hyperlink" Target="https://www.gazzetta.it/calcio/fantanews/04-08-2026/sassuolo-fantacalcio-2026-27-titolari-rigorista-sorprese-consigli-su-chi-prendere.shtml" TargetMode="External"/><Relationship Id="rId169" Type="http://schemas.openxmlformats.org/officeDocument/2006/relationships/hyperlink" Target="https://www.gazzetta.it/calcio/giocatori/morten-frendrup/445733/" TargetMode="External"/><Relationship Id="rId170" Type="http://schemas.openxmlformats.org/officeDocument/2006/relationships/hyperlink" Target="https://www.fantacalcio.it/serie-a/squadre/genoa/frendrup/5791/2026-27/italia" TargetMode="External"/><Relationship Id="rId171" Type="http://schemas.openxmlformats.org/officeDocument/2006/relationships/hyperlink" Target="https://www.gazzetta.it/calcio/fantanews/04-08-2026/genoa-al-fantacalcio-2026-27-titolari-rigorista-sorprese-consigli-su-chi-prendere.shtml" TargetMode="External"/><Relationship Id="rId172" Type="http://schemas.openxmlformats.org/officeDocument/2006/relationships/hyperlink" Target="https://www.gazzetta.it/calcio/giocatori/tommaso-baldanzi/518908/" TargetMode="External"/><Relationship Id="rId173" Type="http://schemas.openxmlformats.org/officeDocument/2006/relationships/hyperlink" Target="https://www.fantacalcio.it/serie-a/squadre/genoa/baldanzi/5823/2026-27/italia" TargetMode="External"/><Relationship Id="rId174" Type="http://schemas.openxmlformats.org/officeDocument/2006/relationships/hyperlink" Target="https://www.gazzetta.it/calcio/fantanews/04-08-2026/genoa-al-fantacalcio-2026-27-titolari-rigorista-sorprese-consigli-su-chi-prendere.shtml" TargetMode="External"/><Relationship Id="rId175" Type="http://schemas.openxmlformats.org/officeDocument/2006/relationships/hyperlink" Target="https://www.gazzetta.it/calcio/giocatori/ruben-loftus-cheek/126187/" TargetMode="External"/><Relationship Id="rId176" Type="http://schemas.openxmlformats.org/officeDocument/2006/relationships/hyperlink" Target="https://www.fantacalcio.it/serie-a/squadre/milan/loftus-cheek/4199/2026-27/italia" TargetMode="External"/><Relationship Id="rId177" Type="http://schemas.openxmlformats.org/officeDocument/2006/relationships/hyperlink" Target="https://www.gazzetta.it/calcio/fantanews/02-08-2026/milan-al-fantacalcio-2026-27-titolari-rigorista-sorprese-e-consigli-su-chi-prendere.shtml" TargetMode="External"/><Relationship Id="rId178" Type="http://schemas.openxmlformats.org/officeDocument/2006/relationships/hyperlink" Target="https://www.gazzetta.it/calcio/giocatori/cristian-volpato/558973/" TargetMode="External"/><Relationship Id="rId179" Type="http://schemas.openxmlformats.org/officeDocument/2006/relationships/hyperlink" Target="https://www.fantacalcio.it/serie-a/squadre/sassuolo/volpato/5735/2026-27/italia" TargetMode="External"/><Relationship Id="rId180" Type="http://schemas.openxmlformats.org/officeDocument/2006/relationships/hyperlink" Target="https://www.gazzetta.it/calcio/fantanews/04-08-2026/sassuolo-fantacalcio-2026-27-titolari-rigorista-sorprese-consigli-su-chi-prendere.shtml" TargetMode="External"/><Relationship Id="rId181" Type="http://schemas.openxmlformats.org/officeDocument/2006/relationships/hyperlink" Target="https://www.gazzetta.it/calcio/giocatori/lewis-ferguson/439492/" TargetMode="External"/><Relationship Id="rId182" Type="http://schemas.openxmlformats.org/officeDocument/2006/relationships/hyperlink" Target="https://www.fantacalcio.it/serie-a/squadre/bologna/ferguson/5858/2026-27/italia" TargetMode="External"/><Relationship Id="rId183" Type="http://schemas.openxmlformats.org/officeDocument/2006/relationships/hyperlink" Target="https://www.gazzetta.it/calcio/fantanews/03-08-2026/bologna-fantacalcio-2026-27-titolari-rigorista-sorprese-consigli-su-chi-prendere.shtml" TargetMode="External"/><Relationship Id="rId184" Type="http://schemas.openxmlformats.org/officeDocument/2006/relationships/hyperlink" Target="https://www.gazzetta.it/calcio/giocatori/daniel-maldini/488253/" TargetMode="External"/><Relationship Id="rId185" Type="http://schemas.openxmlformats.org/officeDocument/2006/relationships/hyperlink" Target="https://www.fantacalcio.it/serie-a/squadre/cagliari/maldini/4896/2026-27/italia" TargetMode="External"/><Relationship Id="rId186" Type="http://schemas.openxmlformats.org/officeDocument/2006/relationships/hyperlink" Target="https://www.gazzetta.it/calcio/fantanews/04-08-2026/cagliari-fantacalcio-2026-27-titolari-rigorista-sorprese-consigli-su-chi-prendere.shtml" TargetMode="External"/><Relationship Id="rId187" Type="http://schemas.openxmlformats.org/officeDocument/2006/relationships/hyperlink" Target="https://www.gazzetta.it/calcio/giocatori/michel-adopo/449470/" TargetMode="External"/><Relationship Id="rId188" Type="http://schemas.openxmlformats.org/officeDocument/2006/relationships/hyperlink" Target="https://www.fantacalcio.it/serie-a/squadre/cagliari/adopo/4870/2026-27/italia" TargetMode="External"/><Relationship Id="rId189" Type="http://schemas.openxmlformats.org/officeDocument/2006/relationships/hyperlink" Target="https://www.gazzetta.it/calcio/fantanews/04-08-2026/cagliari-fantacalcio-2026-27-titolari-rigorista-sorprese-consigli-su-chi-prendere.shtml" TargetMode="External"/><Relationship Id="rId190" Type="http://schemas.openxmlformats.org/officeDocument/2006/relationships/hyperlink" Target="https://www.gazzetta.it/calcio/giocatori/lassana-coulibaly/215047/" TargetMode="External"/><Relationship Id="rId191" Type="http://schemas.openxmlformats.org/officeDocument/2006/relationships/hyperlink" Target="https://www.fantacalcio.it/serie-a/squadre/lecce/coulibaly-l/5504/2026-27/italia" TargetMode="External"/><Relationship Id="rId192" Type="http://schemas.openxmlformats.org/officeDocument/2006/relationships/hyperlink" Target="https://www.gazzetta.it/calcio/fantanews/04-08-2026/lecce-fantacalcio-2026-27-titolari-rigorista-sorprese-consigli-su-chi-prendere.shtml" TargetMode="External"/><Relationship Id="rId193" Type="http://schemas.openxmlformats.org/officeDocument/2006/relationships/hyperlink" Target="https://www.gazzetta.it/calcio/giocatori/teun-koopmeiners/204644/" TargetMode="External"/><Relationship Id="rId194" Type="http://schemas.openxmlformats.org/officeDocument/2006/relationships/hyperlink" Target="https://www.fantacalcio.it/serie-a/squadre/juventus/koopmeiners/5685/2026-27/italia" TargetMode="External"/><Relationship Id="rId195" Type="http://schemas.openxmlformats.org/officeDocument/2006/relationships/hyperlink" Target="https://www.gazzetta.it/calcio/fantanews/03-08-2026/juve-al-fantacalcio-2026-27-titolari-rigorista-sorprese-consigli-su-chi-prendere.shtml" TargetMode="External"/><Relationship Id="rId196" Type="http://schemas.openxmlformats.org/officeDocument/2006/relationships/hyperlink" Target="https://www.gazzetta.it/calcio/giocatori/nicola-zalewski/466147/" TargetMode="External"/><Relationship Id="rId197" Type="http://schemas.openxmlformats.org/officeDocument/2006/relationships/hyperlink" Target="https://www.fantacalcio.it/serie-a/squadre/atalanta/zalewski/5422/2026-27/italia" TargetMode="External"/><Relationship Id="rId198" Type="http://schemas.openxmlformats.org/officeDocument/2006/relationships/hyperlink" Target="https://www.gazzetta.it/calcio/fantanews/02-08-2026/atalanta-fantacalcio-2026-27-titolari-rigorista-sorprese-consigli-su-chi-prendere.shtml" TargetMode="External"/><Relationship Id="rId199" Type="http://schemas.openxmlformats.org/officeDocument/2006/relationships/hyperlink" Target="https://www.gazzetta.it/calcio/giocatori/antonio-vergara/563809/" TargetMode="External"/><Relationship Id="rId200" Type="http://schemas.openxmlformats.org/officeDocument/2006/relationships/hyperlink" Target="https://www.fantacalcio.it/serie-a/squadre/napoli/vergara/7223/2026-27/italia" TargetMode="External"/><Relationship Id="rId201" Type="http://schemas.openxmlformats.org/officeDocument/2006/relationships/hyperlink" Target="https://www.gazzetta.it/calcio/fantanews/02-08-2026/napoli-fantacalcio-2026-27-titolari-rigorista-sorprese-consigli-su-chi-prendere.shtml" TargetMode="External"/><Relationship Id="rId202" Type="http://schemas.openxmlformats.org/officeDocument/2006/relationships/hyperlink" Target="https://www.fantacalcio.it/serie-a/squadre/venezia/busio/5507/2026-27/italia" TargetMode="External"/><Relationship Id="rId203" Type="http://schemas.openxmlformats.org/officeDocument/2006/relationships/hyperlink" Target="https://www.gazzetta.it/calcio/fantanews/04-08-2026/venezia-al-fantacalcio-2026-27-titolari-rigorista-sorprese-consigli-su-chi-prendere.shtml" TargetMode="External"/><Relationship Id="rId204" Type="http://schemas.openxmlformats.org/officeDocument/2006/relationships/hyperlink" Target="https://www.gazzetta.it/calcio/giocatori/jens-odgaard/219117/" TargetMode="External"/><Relationship Id="rId205" Type="http://schemas.openxmlformats.org/officeDocument/2006/relationships/hyperlink" Target="https://www.fantacalcio.it/serie-a/squadre/bologna/odgaard/2765/2026-27/italia" TargetMode="External"/><Relationship Id="rId206" Type="http://schemas.openxmlformats.org/officeDocument/2006/relationships/hyperlink" Target="https://www.gazzetta.it/calcio/fantanews/03-08-2026/bologna-fantacalcio-2026-27-titolari-rigorista-sorprese-consigli-su-chi-prendere.shtml" TargetMode="External"/><Relationship Id="rId207" Type="http://schemas.openxmlformats.org/officeDocument/2006/relationships/hyperlink" Target="https://www.gazzetta.it/calcio/giocatori/junior-messias/432070/" TargetMode="External"/><Relationship Id="rId208" Type="http://schemas.openxmlformats.org/officeDocument/2006/relationships/hyperlink" Target="https://www.fantacalcio.it/serie-a/squadre/genoa/messias/4970/2026-27/italia" TargetMode="External"/><Relationship Id="rId209" Type="http://schemas.openxmlformats.org/officeDocument/2006/relationships/hyperlink" Target="https://www.gazzetta.it/calcio/fantanews/04-08-2026/genoa-al-fantacalcio-2026-27-titolari-rigorista-sorprese-consigli-su-chi-prendere.shtml" TargetMode="External"/><Relationship Id="rId210" Type="http://schemas.openxmlformats.org/officeDocument/2006/relationships/hyperlink" Target="https://www.gazzetta.it/calcio/giocatori/khephren-thuram/242887/" TargetMode="External"/><Relationship Id="rId211" Type="http://schemas.openxmlformats.org/officeDocument/2006/relationships/hyperlink" Target="https://www.fantacalcio.it/serie-a/squadre/juventus/thuram-k/5562/2026-27/italia" TargetMode="External"/><Relationship Id="rId212" Type="http://schemas.openxmlformats.org/officeDocument/2006/relationships/hyperlink" Target="https://www.gazzetta.it/calcio/fantanews/03-08-2026/juve-al-fantacalcio-2026-27-titolari-rigorista-sorprese-consigli-su-chi-prendere.shtml" TargetMode="External"/><Relationship Id="rId213" Type="http://schemas.openxmlformats.org/officeDocument/2006/relationships/hyperlink" Target="https://www.gazzetta.it/calcio/giocatori/luis-henrique/478270/" TargetMode="External"/><Relationship Id="rId214" Type="http://schemas.openxmlformats.org/officeDocument/2006/relationships/hyperlink" Target="https://www.fantacalcio.it/serie-a/squadre/inter/luis-henrique/5301/2026-27/italia" TargetMode="External"/><Relationship Id="rId215" Type="http://schemas.openxmlformats.org/officeDocument/2006/relationships/hyperlink" Target="https://www.gazzetta.it/calcio/fantanews/05-08-2026/inter-al-fantacalcio-2026-27-titolari-rigorista-sorprese-consigli-su-chi-prendere.shtml" TargetMode="External"/><Relationship Id="rId216" Type="http://schemas.openxmlformats.org/officeDocument/2006/relationships/hyperlink" Target="https://www.gazzetta.it/calcio/giocatori/tommaso-pobega/459025/" TargetMode="External"/><Relationship Id="rId217" Type="http://schemas.openxmlformats.org/officeDocument/2006/relationships/hyperlink" Target="https://www.fantacalcio.it/serie-a/squadre/bologna/pobega/5298/2026-27/italia" TargetMode="External"/><Relationship Id="rId218" Type="http://schemas.openxmlformats.org/officeDocument/2006/relationships/hyperlink" Target="https://www.gazzetta.it/calcio/fantanews/03-08-2026/bologna-fantacalcio-2026-27-titolari-rigorista-sorprese-consigli-su-chi-prendere.shtml" TargetMode="External"/><Relationship Id="rId219" Type="http://schemas.openxmlformats.org/officeDocument/2006/relationships/hyperlink" Target="https://www.gazzetta.it/calcio/giocatori/toma-basic/212851/" TargetMode="External"/><Relationship Id="rId220" Type="http://schemas.openxmlformats.org/officeDocument/2006/relationships/hyperlink" Target="https://www.fantacalcio.it/serie-a/squadre/venezia/basic/5674/2026-27/italia" TargetMode="External"/><Relationship Id="rId221" Type="http://schemas.openxmlformats.org/officeDocument/2006/relationships/hyperlink" Target="https://www.gazzetta.it/calcio/fantanews/04-08-2026/venezia-al-fantacalcio-2026-27-titolari-rigorista-sorprese-consigli-su-chi-prendere.shtml" TargetMode="External"/><Relationship Id="rId222" Type="http://schemas.openxmlformats.org/officeDocument/2006/relationships/hyperlink" Target="https://www.gazzetta.it/calcio/giocatori/marten-de-roon/82428/" TargetMode="External"/><Relationship Id="rId223" Type="http://schemas.openxmlformats.org/officeDocument/2006/relationships/hyperlink" Target="https://www.fantacalcio.it/serie-a/squadre/roma/de-roon/22/2026-27/italia" TargetMode="External"/><Relationship Id="rId224" Type="http://schemas.openxmlformats.org/officeDocument/2006/relationships/hyperlink" Target="https://www.gazzetta.it/calcio/fantanews/03-08-2026/roma-al-fantacalcio-2026-27-titolari-rigorista-sorprese-consigli-su-chi-prendere.shtml" TargetMode="External"/><Relationship Id="rId225" Type="http://schemas.openxmlformats.org/officeDocument/2006/relationships/hyperlink" Target="https://www.gazzetta.it/calcio/giocatori/jacopo-fazzini/550095/" TargetMode="External"/><Relationship Id="rId226" Type="http://schemas.openxmlformats.org/officeDocument/2006/relationships/hyperlink" Target="https://www.fantacalcio.it/serie-a/squadre/cagliari/fazzini/6010/2026-27/italia" TargetMode="External"/><Relationship Id="rId227" Type="http://schemas.openxmlformats.org/officeDocument/2006/relationships/hyperlink" Target="https://www.gazzetta.it/calcio/fantanews/04-08-2026/cagliari-fantacalcio-2026-27-titolari-rigorista-sorprese-consigli-su-chi-prendere.shtml" TargetMode="External"/><Relationship Id="rId228" Type="http://schemas.openxmlformats.org/officeDocument/2006/relationships/hyperlink" Target="https://www.gazzetta.it/calcio/giocatori/eljif-elmas/225807/" TargetMode="External"/><Relationship Id="rId229" Type="http://schemas.openxmlformats.org/officeDocument/2006/relationships/hyperlink" Target="https://www.fantacalcio.it/serie-a/squadre/atalanta/elmas/4479/2026-27/italia" TargetMode="External"/><Relationship Id="rId230" Type="http://schemas.openxmlformats.org/officeDocument/2006/relationships/hyperlink" Target="https://www.gazzetta.it/calcio/fantanews/02-08-2026/atalanta-fantacalcio-2026-27-titolari-rigorista-sorprese-consigli-su-chi-prendere.shtml" TargetMode="External"/><Relationship Id="rId231" Type="http://schemas.openxmlformats.org/officeDocument/2006/relationships/hyperlink" Target="https://www.gazzetta.it/calcio/giocatori/giovanni-fabbian/511444/" TargetMode="External"/><Relationship Id="rId232" Type="http://schemas.openxmlformats.org/officeDocument/2006/relationships/hyperlink" Target="https://www.fantacalcio.it/serie-a/squadre/parma/fabbian/6206/2026-27/italia" TargetMode="External"/><Relationship Id="rId233" Type="http://schemas.openxmlformats.org/officeDocument/2006/relationships/hyperlink" Target="https://www.gazzetta.it/calcio/fantanews/03-08-2026/parma-al-fantacalcio-2026-27-titolari-rigorista-sorprese-consigli-su-chi-prendere.shtml" TargetMode="External"/><Relationship Id="rId234" Type="http://schemas.openxmlformats.org/officeDocument/2006/relationships/hyperlink" Target="https://www.gazzetta.it/calcio/giocatori/gvidas-gineitis/561003/" TargetMode="External"/><Relationship Id="rId235" Type="http://schemas.openxmlformats.org/officeDocument/2006/relationships/hyperlink" Target="https://www.fantacalcio.it/serie-a/squadre/torino/gineitis/6170/2026-27/italia" TargetMode="External"/><Relationship Id="rId236" Type="http://schemas.openxmlformats.org/officeDocument/2006/relationships/hyperlink" Target="https://www.gazzetta.it/calcio/fantanews/03-08-2026/torino-fantacalcio-2026-27-titolari-rigorista-sorprese-consigli-su-chi-prendere.shtml" TargetMode="External"/><Relationship Id="rId237" Type="http://schemas.openxmlformats.org/officeDocument/2006/relationships/hyperlink" Target="https://www.gazzetta.it/calcio/giocatori/cesare-casadei/505187/" TargetMode="External"/><Relationship Id="rId238" Type="http://schemas.openxmlformats.org/officeDocument/2006/relationships/hyperlink" Target="https://www.fantacalcio.it/serie-a/squadre/torino/casadei/5888/2026-27/italia" TargetMode="External"/><Relationship Id="rId239" Type="http://schemas.openxmlformats.org/officeDocument/2006/relationships/hyperlink" Target="https://www.gazzetta.it/calcio/fantanews/03-08-2026/torino-fantacalcio-2026-27-titolari-rigorista-sorprese-consigli-su-chi-prendere.shtml" TargetMode="External"/><Relationship Id="rId240" Type="http://schemas.openxmlformats.org/officeDocument/2006/relationships/hyperlink" Target="https://www.gazzetta.it/calcio/giocatori/jakub-piotrowski/219155/" TargetMode="External"/><Relationship Id="rId241" Type="http://schemas.openxmlformats.org/officeDocument/2006/relationships/hyperlink" Target="https://www.fantacalcio.it/serie-a/squadre/udinese/piotrowski/7198/2026-27/italia" TargetMode="External"/><Relationship Id="rId242" Type="http://schemas.openxmlformats.org/officeDocument/2006/relationships/hyperlink" Target="https://www.gazzetta.it/calcio/fantanews/03-08-2026/udinese-fantacalcio-2026-27-titolari-rigorista-sorprese-consigli-su-chi-prendere.shtml" TargetMode="External"/><Relationship Id="rId243" Type="http://schemas.openxmlformats.org/officeDocument/2006/relationships/hyperlink" Target="https://www.fantacalcio.it/serie-a/squadre/venezia/perez-k/6994/2026-27/italia" TargetMode="External"/><Relationship Id="rId244" Type="http://schemas.openxmlformats.org/officeDocument/2006/relationships/hyperlink" Target="https://www.gazzetta.it/calcio/fantanews/04-08-2026/venezia-al-fantacalcio-2026-27-titolari-rigorista-sorprese-consigli-su-chi-prendere.shtml" TargetMode="External"/><Relationship Id="rId245" Type="http://schemas.openxmlformats.org/officeDocument/2006/relationships/hyperlink" Target="https://www.gazzetta.it/calcio/giocatori/samuele-ricci/450023/" TargetMode="External"/><Relationship Id="rId246" Type="http://schemas.openxmlformats.org/officeDocument/2006/relationships/hyperlink" Target="https://www.fantacalcio.it/serie-a/squadre/como/ricci-s/5453/2026-27/italia" TargetMode="External"/><Relationship Id="rId247" Type="http://schemas.openxmlformats.org/officeDocument/2006/relationships/hyperlink" Target="https://www.gazzetta.it/calcio/fantanews/04-08-2026/como-fantacalcio-2026-27-titolari-rigorista-sorprese-consigli-su-chi-prendere.shtml" TargetMode="External"/><Relationship Id="rId248" Type="http://schemas.openxmlformats.org/officeDocument/2006/relationships/hyperlink" Target="https://www.gazzetta.it/calcio/giocatori/medon-berisha/550922/" TargetMode="External"/><Relationship Id="rId249" Type="http://schemas.openxmlformats.org/officeDocument/2006/relationships/hyperlink" Target="https://www.fantacalcio.it/serie-a/squadre/lecce/berisha-m/6015/2026-27/italia" TargetMode="External"/><Relationship Id="rId250" Type="http://schemas.openxmlformats.org/officeDocument/2006/relationships/hyperlink" Target="https://www.gazzetta.it/calcio/fantanews/04-08-2026/lecce-fantacalcio-2026-27-titolari-rigorista-sorprese-consigli-su-chi-prendere.shtml" TargetMode="External"/><Relationship Id="rId251" Type="http://schemas.openxmlformats.org/officeDocument/2006/relationships/hyperlink" Target="https://www.fantacalcio.it/serie-a/squadre/juventus/sarr-p/5680/2026-27/italia" TargetMode="External"/><Relationship Id="rId252" Type="http://schemas.openxmlformats.org/officeDocument/2006/relationships/hyperlink" Target="https://www.gazzetta.it/calcio/fantanews/03-08-2026/juve-al-fantacalcio-2026-27-titolari-rigorista-sorprese-consigli-su-chi-prendere.shtml" TargetMode="External"/><Relationship Id="rId253" Type="http://schemas.openxmlformats.org/officeDocument/2006/relationships/hyperlink" Target="https://www.fantacalcio.it/serie-a/squadre/fiorentina/oulai/7464/2026-27/italia" TargetMode="External"/><Relationship Id="rId254" Type="http://schemas.openxmlformats.org/officeDocument/2006/relationships/hyperlink" Target="https://www.gazzetta.it/calcio/fantanews/02-08-2026/fiorentina-fantacalcio-2026-27-titolari-rigorista-sorprese-consigli-su-chi-prendere.shtml" TargetMode="External"/><Relationship Id="rId255" Type="http://schemas.openxmlformats.org/officeDocument/2006/relationships/hyperlink" Target="https://www.gazzetta.it/calcio/giocatori/mikael-ellertsson/488006/" TargetMode="External"/><Relationship Id="rId256" Type="http://schemas.openxmlformats.org/officeDocument/2006/relationships/hyperlink" Target="https://www.fantacalcio.it/serie-a/squadre/genoa/ellertsson/6020/2026-27/italia" TargetMode="External"/><Relationship Id="rId257" Type="http://schemas.openxmlformats.org/officeDocument/2006/relationships/hyperlink" Target="https://www.gazzetta.it/calcio/fantanews/04-08-2026/genoa-al-fantacalcio-2026-27-titolari-rigorista-sorprese-consigli-su-chi-prendere.shtml" TargetMode="External"/><Relationship Id="rId258" Type="http://schemas.openxmlformats.org/officeDocument/2006/relationships/hyperlink" Target="https://www.fantacalcio.it/serie-a/squadre/milan/hutchinson/7618/2026-27/italia" TargetMode="External"/><Relationship Id="rId259" Type="http://schemas.openxmlformats.org/officeDocument/2006/relationships/hyperlink" Target="https://www.gazzetta.it/calcio/fantanews/02-08-2026/milan-al-fantacalcio-2026-27-titolari-rigorista-sorprese-e-consigli-su-chi-prendere.shtml" TargetMode="External"/><Relationship Id="rId260" Type="http://schemas.openxmlformats.org/officeDocument/2006/relationships/hyperlink" Target="https://www.gazzetta.it/calcio/giocatori/douglas-luiz/230046/" TargetMode="External"/><Relationship Id="rId261" Type="http://schemas.openxmlformats.org/officeDocument/2006/relationships/hyperlink" Target="https://www.fantacalcio.it/serie-a/squadre/juventus/douglas-luiz/4911/2026-27/italia" TargetMode="External"/><Relationship Id="rId262" Type="http://schemas.openxmlformats.org/officeDocument/2006/relationships/hyperlink" Target="https://www.gazzetta.it/calcio/fantanews/03-08-2026/juve-al-fantacalcio-2026-27-titolari-rigorista-sorprese-consigli-su-chi-prendere.shtml" TargetMode="External"/><Relationship Id="rId263" Type="http://schemas.openxmlformats.org/officeDocument/2006/relationships/hyperlink" Target="https://www.gazzetta.it/calcio/giocatori/andy-diouf/503696/" TargetMode="External"/><Relationship Id="rId264" Type="http://schemas.openxmlformats.org/officeDocument/2006/relationships/hyperlink" Target="https://www.fantacalcio.it/serie-a/squadre/inter/diouf/6274/2026-27/italia" TargetMode="External"/><Relationship Id="rId265" Type="http://schemas.openxmlformats.org/officeDocument/2006/relationships/hyperlink" Target="https://www.gazzetta.it/calcio/fantanews/05-08-2026/inter-al-fantacalcio-2026-27-titolari-rigorista-sorprese-consigli-su-chi-prendere.shtml" TargetMode="External"/><Relationship Id="rId266" Type="http://schemas.openxmlformats.org/officeDocument/2006/relationships/hyperlink" Target="https://www.fantacalcio.it/serie-a/squadre/frosinone/schmid/7551/2026-27/italia" TargetMode="External"/><Relationship Id="rId267" Type="http://schemas.openxmlformats.org/officeDocument/2006/relationships/hyperlink" Target="https://www.gazzetta.it/calcio/fantanews/02-08-2026/frosinone-al-fantacalcio-2026-27-titolari-rigorista-sorprese-e-consigli-su-chi-prendere.shtml" TargetMode="External"/><Relationship Id="rId268" Type="http://schemas.openxmlformats.org/officeDocument/2006/relationships/hyperlink" Target="https://www.fantacalcio.it/serie-a/squadre/monza/colpani/5878/2026-27/italia" TargetMode="External"/><Relationship Id="rId269" Type="http://schemas.openxmlformats.org/officeDocument/2006/relationships/hyperlink" Target="https://www.gazzetta.it/calcio/fantanews/05-08-2026/monza-al-fantacalcio-2026-27-titolari-rigorista-sorprese-consigli-su-chi-prendere.shtml" TargetMode="External"/><Relationship Id="rId270" Type="http://schemas.openxmlformats.org/officeDocument/2006/relationships/hyperlink" Target="https://www.gazzetta.it/calcio/giocatori/michael-folorunsho/247050/" TargetMode="External"/><Relationship Id="rId271" Type="http://schemas.openxmlformats.org/officeDocument/2006/relationships/hyperlink" Target="https://www.fantacalcio.it/serie-a/squadre/monza/folorunsho/6252/2026-27/italia" TargetMode="External"/><Relationship Id="rId272" Type="http://schemas.openxmlformats.org/officeDocument/2006/relationships/hyperlink" Target="https://www.gazzetta.it/calcio/fantanews/05-08-2026/monza-al-fantacalcio-2026-27-titolari-rigorista-sorprese-consigli-su-chi-prendere.shtml" TargetMode="External"/><Relationship Id="rId273" Type="http://schemas.openxmlformats.org/officeDocument/2006/relationships/hyperlink" Target="https://www.gazzetta.it/calcio/giocatori/alieu-fadera/509026/" TargetMode="External"/><Relationship Id="rId274" Type="http://schemas.openxmlformats.org/officeDocument/2006/relationships/hyperlink" Target="https://www.fantacalcio.it/serie-a/squadre/cagliari/fadera/6815/2026-27/italia" TargetMode="External"/><Relationship Id="rId275" Type="http://schemas.openxmlformats.org/officeDocument/2006/relationships/hyperlink" Target="https://www.gazzetta.it/calcio/fantanews/04-08-2026/cagliari-fantacalcio-2026-27-titolari-rigorista-sorprese-consigli-su-chi-prendere.shtml" TargetMode="External"/><Relationship Id="rId276" Type="http://schemas.openxmlformats.org/officeDocument/2006/relationships/hyperlink" Target="https://www.fantacalcio.it/serie-a/squadre/lecce/monteiro-j/7619/2026-27/italia" TargetMode="External"/><Relationship Id="rId277" Type="http://schemas.openxmlformats.org/officeDocument/2006/relationships/hyperlink" Target="https://www.gazzetta.it/calcio/fantanews/04-08-2026/lecce-fantacalcio-2026-27-titolari-rigorista-sorprese-consigli-su-chi-prendere.shtml" TargetMode="External"/><Relationship Id="rId278" Type="http://schemas.openxmlformats.org/officeDocument/2006/relationships/hyperlink" Target="https://www.fantacalcio.it/serie-a/squadre/como/milla/7412/2026-27/italia" TargetMode="External"/><Relationship Id="rId279" Type="http://schemas.openxmlformats.org/officeDocument/2006/relationships/hyperlink" Target="https://www.gazzetta.it/calcio/fantanews/04-08-2026/como-fantacalcio-2026-27-titolari-rigorista-sorprese-consigli-su-chi-prendere.shtml" TargetMode="External"/><Relationship Id="rId280" Type="http://schemas.openxmlformats.org/officeDocument/2006/relationships/hyperlink" Target="https://www.gazzetta.it/calcio/giocatori/marco-brescianini/458059/" TargetMode="External"/><Relationship Id="rId281" Type="http://schemas.openxmlformats.org/officeDocument/2006/relationships/hyperlink" Target="https://www.fantacalcio.it/serie-a/squadre/fiorentina/brescianini/4947/2026-27/italia" TargetMode="External"/><Relationship Id="rId282" Type="http://schemas.openxmlformats.org/officeDocument/2006/relationships/hyperlink" Target="https://www.gazzetta.it/calcio/fantanews/02-08-2026/fiorentina-fantacalcio-2026-27-titolari-rigorista-sorprese-consigli-su-chi-prendere.shtml" TargetMode="External"/><Relationship Id="rId283" Type="http://schemas.openxmlformats.org/officeDocument/2006/relationships/hyperlink" Target="https://www.fantacalcio.it/serie-a/squadre/bologna/mbangula/6833/2026-27/italia" TargetMode="External"/><Relationship Id="rId284" Type="http://schemas.openxmlformats.org/officeDocument/2006/relationships/hyperlink" Target="https://www.gazzetta.it/calcio/fantanews/03-08-2026/bologna-fantacalcio-2026-27-titolari-rigorista-sorprese-consigli-su-chi-prendere.shtml" TargetMode="External"/><Relationship Id="rId285" Type="http://schemas.openxmlformats.org/officeDocument/2006/relationships/hyperlink" Target="https://www.gazzetta.it/calcio/giocatori/ardon-jashari/508855/" TargetMode="External"/><Relationship Id="rId286" Type="http://schemas.openxmlformats.org/officeDocument/2006/relationships/hyperlink" Target="https://www.fantacalcio.it/serie-a/squadre/milan/jashari/7203/2026-27/italia" TargetMode="External"/><Relationship Id="rId287" Type="http://schemas.openxmlformats.org/officeDocument/2006/relationships/hyperlink" Target="https://www.gazzetta.it/calcio/fantanews/02-08-2026/milan-al-fantacalcio-2026-27-titolari-rigorista-sorprese-e-consigli-su-chi-prendere.shtml" TargetMode="External"/><Relationship Id="rId288" Type="http://schemas.openxmlformats.org/officeDocument/2006/relationships/hyperlink" Target="https://www.gazzetta.it/calcio/giocatori/cher-ndour/536474/" TargetMode="External"/><Relationship Id="rId289" Type="http://schemas.openxmlformats.org/officeDocument/2006/relationships/hyperlink" Target="https://www.fantacalcio.it/serie-a/squadre/fiorentina/ndour/6294/2026-27/italia" TargetMode="External"/><Relationship Id="rId290" Type="http://schemas.openxmlformats.org/officeDocument/2006/relationships/hyperlink" Target="https://www.gazzetta.it/calcio/fantanews/02-08-2026/fiorentina-fantacalcio-2026-27-titolari-rigorista-sorprese-consigli-su-chi-prendere.shtml" TargetMode="External"/><Relationship Id="rId291" Type="http://schemas.openxmlformats.org/officeDocument/2006/relationships/hyperlink" Target="https://www.fantacalcio.it/serie-a/squadre/torino/braganca/7624/2026-27/italia" TargetMode="External"/><Relationship Id="rId292" Type="http://schemas.openxmlformats.org/officeDocument/2006/relationships/hyperlink" Target="https://www.gazzetta.it/calcio/fantanews/03-08-2026/torino-fantacalcio-2026-27-titolari-rigorista-sorprese-consigli-su-chi-prendere.shtml" TargetMode="External"/><Relationship Id="rId293" Type="http://schemas.openxmlformats.org/officeDocument/2006/relationships/hyperlink" Target="https://www.gazzetta.it/calcio/giocatori/lennon-miller/568793/" TargetMode="External"/><Relationship Id="rId294" Type="http://schemas.openxmlformats.org/officeDocument/2006/relationships/hyperlink" Target="https://www.fantacalcio.it/serie-a/squadre/udinese/miller-l/7208/2026-27/italia" TargetMode="External"/><Relationship Id="rId295" Type="http://schemas.openxmlformats.org/officeDocument/2006/relationships/hyperlink" Target="https://www.gazzetta.it/calcio/fantanews/03-08-2026/udinese-fantacalcio-2026-27-titolari-rigorista-sorprese-consigli-su-chi-prendere.shtml" TargetMode="External"/><Relationship Id="rId296" Type="http://schemas.openxmlformats.org/officeDocument/2006/relationships/hyperlink" Target="https://www.gazzetta.it/calcio/giocatori/omri-gandelman/491445/" TargetMode="External"/><Relationship Id="rId297" Type="http://schemas.openxmlformats.org/officeDocument/2006/relationships/hyperlink" Target="https://www.fantacalcio.it/serie-a/squadre/lecce/gandelman/7318/2026-27/italia" TargetMode="External"/><Relationship Id="rId298" Type="http://schemas.openxmlformats.org/officeDocument/2006/relationships/hyperlink" Target="https://www.gazzetta.it/calcio/fantanews/04-08-2026/lecce-fantacalcio-2026-27-titolari-rigorista-sorprese-consigli-su-chi-prendere.shtml" TargetMode="External"/><Relationship Id="rId299" Type="http://schemas.openxmlformats.org/officeDocument/2006/relationships/hyperlink" Target="https://www.gazzetta.it/calcio/giocatori/danilo-cataldi/130963/" TargetMode="External"/><Relationship Id="rId300" Type="http://schemas.openxmlformats.org/officeDocument/2006/relationships/hyperlink" Target="https://www.fantacalcio.it/serie-a/squadre/lazio/cataldi/333/2026-27/italia" TargetMode="External"/><Relationship Id="rId301" Type="http://schemas.openxmlformats.org/officeDocument/2006/relationships/hyperlink" Target="https://www.gazzetta.it/calcio/fantanews/02-08-2026/lazio-al-fantacalcio-2026-27-titolari-rigorista-sorprese-e-consigli-su-chi-prendere.shtml" TargetMode="External"/><Relationship Id="rId302" Type="http://schemas.openxmlformats.org/officeDocument/2006/relationships/hyperlink" Target="https://www.gazzetta.it/calcio/giocatori/nicolo-rovella/450024/" TargetMode="External"/><Relationship Id="rId303" Type="http://schemas.openxmlformats.org/officeDocument/2006/relationships/hyperlink" Target="https://www.fantacalcio.it/serie-a/squadre/lazio/rovella/4459/2026-27/italia" TargetMode="External"/><Relationship Id="rId304" Type="http://schemas.openxmlformats.org/officeDocument/2006/relationships/hyperlink" Target="https://www.gazzetta.it/calcio/fantanews/02-08-2026/lazio-al-fantacalcio-2026-27-titolari-rigorista-sorprese-e-consigli-su-chi-prendere.shtml" TargetMode="External"/><Relationship Id="rId305" Type="http://schemas.openxmlformats.org/officeDocument/2006/relationships/hyperlink" Target="https://www.fantacalcio.it/serie-a/squadre/cagliari/winks/4260/2026-27/italia" TargetMode="External"/><Relationship Id="rId306" Type="http://schemas.openxmlformats.org/officeDocument/2006/relationships/hyperlink" Target="https://www.gazzetta.it/calcio/fantanews/04-08-2026/cagliari-fantacalcio-2026-27-titolari-rigorista-sorprese-consigli-su-chi-prendere.shtml" TargetMode="External"/><Relationship Id="rId307" Type="http://schemas.openxmlformats.org/officeDocument/2006/relationships/hyperlink" Target="https://www.gazzetta.it/calcio/giocatori/antoine-hainaut/588403/" TargetMode="External"/><Relationship Id="rId308" Type="http://schemas.openxmlformats.org/officeDocument/2006/relationships/hyperlink" Target="https://www.fantacalcio.it/serie-a/squadre/venezia/hainaut/6821/2026-27/italia" TargetMode="External"/><Relationship Id="rId309" Type="http://schemas.openxmlformats.org/officeDocument/2006/relationships/hyperlink" Target="https://www.gazzetta.it/calcio/fantanews/04-08-2026/venezia-al-fantacalcio-2026-27-titolari-rigorista-sorprese-consigli-su-chi-prendere.shtml" TargetMode="External"/><Relationship Id="rId310" Type="http://schemas.openxmlformats.org/officeDocument/2006/relationships/hyperlink" Target="https://www.gazzetta.it/calcio/giocatori/alessio-zerbin/247099/" TargetMode="External"/><Relationship Id="rId311" Type="http://schemas.openxmlformats.org/officeDocument/2006/relationships/hyperlink" Target="https://www.fantacalcio.it/serie-a/squadre/frosinone/zerbin/5998/2026-27/italia" TargetMode="External"/><Relationship Id="rId312" Type="http://schemas.openxmlformats.org/officeDocument/2006/relationships/hyperlink" Target="https://www.gazzetta.it/calcio/fantanews/02-08-2026/frosinone-al-fantacalcio-2026-27-titolari-rigorista-sorprese-e-consigli-su-chi-prendere.shtml" TargetMode="External"/><Relationship Id="rId313" Type="http://schemas.openxmlformats.org/officeDocument/2006/relationships/hyperlink" Target="https://www.gazzetta.it/calcio/giocatori/mattia-liberali/577694/" TargetMode="External"/><Relationship Id="rId314" Type="http://schemas.openxmlformats.org/officeDocument/2006/relationships/hyperlink" Target="https://www.fantacalcio.it/serie-a/squadre/como/liberali/6678/2026-27/italia" TargetMode="External"/><Relationship Id="rId315" Type="http://schemas.openxmlformats.org/officeDocument/2006/relationships/hyperlink" Target="https://www.gazzetta.it/calcio/fantanews/04-08-2026/como-fantacalcio-2026-27-titolari-rigorista-sorprese-consigli-su-chi-prendere.shtml" TargetMode="External"/><Relationship Id="rId316" Type="http://schemas.openxmlformats.org/officeDocument/2006/relationships/hyperlink" Target="https://www.gazzetta.it/calcio/giocatori/nikola-moro/218373/" TargetMode="External"/><Relationship Id="rId317" Type="http://schemas.openxmlformats.org/officeDocument/2006/relationships/hyperlink" Target="https://www.fantacalcio.it/serie-a/squadre/bologna/moro-n/6054/2026-27/italia" TargetMode="External"/><Relationship Id="rId318" Type="http://schemas.openxmlformats.org/officeDocument/2006/relationships/hyperlink" Target="https://www.gazzetta.it/calcio/fantanews/03-08-2026/bologna-fantacalcio-2026-27-titolari-rigorista-sorprese-consigli-su-chi-prendere.shtml" TargetMode="External"/><Relationship Id="rId319" Type="http://schemas.openxmlformats.org/officeDocument/2006/relationships/hyperlink" Target="https://www.fantacalcio.it/serie-a/squadre/cagliari/romano/7311/2026-27/italia" TargetMode="External"/><Relationship Id="rId320" Type="http://schemas.openxmlformats.org/officeDocument/2006/relationships/hyperlink" Target="https://www.gazzetta.it/calcio/fantanews/04-08-2026/cagliari-fantacalcio-2026-27-titolari-rigorista-sorprese-consigli-su-chi-prendere.shtml" TargetMode="External"/><Relationship Id="rId321" Type="http://schemas.openxmlformats.org/officeDocument/2006/relationships/hyperlink" Target="https://www.fantacalcio.it/serie-a/squadre/udinese/unai-gomez/6783/2026-27/italia" TargetMode="External"/><Relationship Id="rId322" Type="http://schemas.openxmlformats.org/officeDocument/2006/relationships/hyperlink" Target="https://www.gazzetta.it/calcio/fantanews/03-08-2026/udinese-fantacalcio-2026-27-titolari-rigorista-sorprese-consigli-su-chi-prendere.shtml" TargetMode="External"/><Relationship Id="rId323" Type="http://schemas.openxmlformats.org/officeDocument/2006/relationships/hyperlink" Target="https://www.gazzetta.it/calcio/giocatori/vasilije-adzic/585201/" TargetMode="External"/><Relationship Id="rId324" Type="http://schemas.openxmlformats.org/officeDocument/2006/relationships/hyperlink" Target="https://www.fantacalcio.it/serie-a/squadre/sassuolo/adzic/6677/2026-27/italia" TargetMode="External"/><Relationship Id="rId325" Type="http://schemas.openxmlformats.org/officeDocument/2006/relationships/hyperlink" Target="https://www.gazzetta.it/calcio/fantanews/04-08-2026/sassuolo-fantacalcio-2026-27-titolari-rigorista-sorprese-consigli-su-chi-prendere.shtml" TargetMode="External"/><Relationship Id="rId326" Type="http://schemas.openxmlformats.org/officeDocument/2006/relationships/hyperlink" Target="https://www.gazzetta.it/calcio/giocatori/ivan-ilic/430848/" TargetMode="External"/><Relationship Id="rId327" Type="http://schemas.openxmlformats.org/officeDocument/2006/relationships/hyperlink" Target="https://www.fantacalcio.it/serie-a/squadre/lecce/ilic/5007/2026-27/italia" TargetMode="External"/><Relationship Id="rId328" Type="http://schemas.openxmlformats.org/officeDocument/2006/relationships/hyperlink" Target="https://www.gazzetta.it/calcio/fantanews/04-08-2026/lecce-fantacalcio-2026-27-titolari-rigorista-sorprese-consigli-su-chi-prendere.shtml" TargetMode="External"/><Relationship Id="rId329" Type="http://schemas.openxmlformats.org/officeDocument/2006/relationships/hyperlink" Target="https://www.gazzetta.it/calcio/giocatori/patrizio-masini/588118/" TargetMode="External"/><Relationship Id="rId330" Type="http://schemas.openxmlformats.org/officeDocument/2006/relationships/hyperlink" Target="https://www.fantacalcio.it/serie-a/squadre/frosinone/masini/6917/2026-27/italia" TargetMode="External"/><Relationship Id="rId331" Type="http://schemas.openxmlformats.org/officeDocument/2006/relationships/hyperlink" Target="https://www.gazzetta.it/calcio/fantanews/02-08-2026/frosinone-al-fantacalcio-2026-27-titolari-rigorista-sorprese-e-consigli-su-chi-prendere.shtml" TargetMode="External"/><Relationship Id="rId332" Type="http://schemas.openxmlformats.org/officeDocument/2006/relationships/hyperlink" Target="https://www.fantacalcio.it/serie-a/squadre/genoa/sow/5946/2026-27/italia" TargetMode="External"/><Relationship Id="rId333" Type="http://schemas.openxmlformats.org/officeDocument/2006/relationships/hyperlink" Target="https://www.gazzetta.it/calcio/fantanews/04-08-2026/genoa-al-fantacalcio-2026-27-titolari-rigorista-sorprese-consigli-su-chi-prendere.shtml" TargetMode="External"/><Relationship Id="rId334" Type="http://schemas.openxmlformats.org/officeDocument/2006/relationships/hyperlink" Target="https://www.gazzetta.it/calcio/giocatori/edon-zhegrova/431128/" TargetMode="External"/><Relationship Id="rId335" Type="http://schemas.openxmlformats.org/officeDocument/2006/relationships/hyperlink" Target="https://www.fantacalcio.it/serie-a/squadre/juventus/zhegrova/5761/2026-27/italia" TargetMode="External"/><Relationship Id="rId336" Type="http://schemas.openxmlformats.org/officeDocument/2006/relationships/hyperlink" Target="https://www.gazzetta.it/calcio/fantanews/03-08-2026/juve-al-fantacalcio-2026-27-titolari-rigorista-sorprese-consigli-su-chi-prendere.shtml" TargetMode="External"/><Relationship Id="rId337" Type="http://schemas.openxmlformats.org/officeDocument/2006/relationships/hyperlink" Target="https://www.fantacalcio.it/serie-a/squadre/frosinone/grillitsch/7550/2026-27/italia" TargetMode="External"/><Relationship Id="rId338" Type="http://schemas.openxmlformats.org/officeDocument/2006/relationships/hyperlink" Target="https://www.gazzetta.it/calcio/fantanews/02-08-2026/frosinone-al-fantacalcio-2026-27-titolari-rigorista-sorprese-e-consigli-su-chi-prendere.shtml" TargetMode="External"/><Relationship Id="rId339" Type="http://schemas.openxmlformats.org/officeDocument/2006/relationships/hyperlink" Target="https://www.fantacalcio.it/serie-a/squadre/inter/stankovic-a/6503/2026-27/italia" TargetMode="External"/><Relationship Id="rId340" Type="http://schemas.openxmlformats.org/officeDocument/2006/relationships/hyperlink" Target="https://www.gazzetta.it/calcio/fantanews/05-08-2026/inter-al-fantacalcio-2026-27-titolari-rigorista-sorprese-consigli-su-chi-prendere.shtml" TargetMode="External"/><Relationship Id="rId341" Type="http://schemas.openxmlformats.org/officeDocument/2006/relationships/hyperlink" Target="https://www.gazzetta.it/calcio/giocatori/emirhan-ilkhan/551286/" TargetMode="External"/><Relationship Id="rId342" Type="http://schemas.openxmlformats.org/officeDocument/2006/relationships/hyperlink" Target="https://www.fantacalcio.it/serie-a/squadre/torino/ilkhan/6005/2026-27/italia" TargetMode="External"/><Relationship Id="rId343" Type="http://schemas.openxmlformats.org/officeDocument/2006/relationships/hyperlink" Target="https://www.gazzetta.it/calcio/fantanews/03-08-2026/torino-fantacalcio-2026-27-titolari-rigorista-sorprese-consigli-su-chi-prendere.shtml" TargetMode="External"/><Relationship Id="rId344" Type="http://schemas.openxmlformats.org/officeDocument/2006/relationships/hyperlink" Target="https://www.gazzetta.it/calcio/giocatori/simon-sohm/449790/" TargetMode="External"/><Relationship Id="rId345" Type="http://schemas.openxmlformats.org/officeDocument/2006/relationships/hyperlink" Target="https://www.fantacalcio.it/serie-a/squadre/venezia/sohm/5319/2026-27/italia" TargetMode="External"/><Relationship Id="rId346" Type="http://schemas.openxmlformats.org/officeDocument/2006/relationships/hyperlink" Target="https://www.gazzetta.it/calcio/fantanews/04-08-2026/venezia-al-fantacalcio-2026-27-titolari-rigorista-sorprese-consigli-su-chi-prendere.shtml" TargetMode="External"/><Relationship Id="rId347" Type="http://schemas.openxmlformats.org/officeDocument/2006/relationships/hyperlink" Target="https://www.fantacalcio.it/serie-a/squadre/torino/fitz-jim/7535/2026-27/italia" TargetMode="External"/><Relationship Id="rId348" Type="http://schemas.openxmlformats.org/officeDocument/2006/relationships/hyperlink" Target="https://www.gazzetta.it/calcio/fantanews/03-08-2026/torino-fantacalcio-2026-27-titolari-rigorista-sorprese-consigli-su-chi-prendere.shtml" TargetMode="External"/><Relationship Id="rId349" Type="http://schemas.openxmlformats.org/officeDocument/2006/relationships/hyperlink" Target="https://www.fantacalcio.it/serie-a/squadre/monza/pessina/2741/2026-27/italia" TargetMode="External"/><Relationship Id="rId350" Type="http://schemas.openxmlformats.org/officeDocument/2006/relationships/hyperlink" Target="https://www.gazzetta.it/calcio/fantanews/05-08-2026/monza-al-fantacalcio-2026-27-titolari-rigorista-sorprese-consigli-su-chi-prendere.shtml" TargetMode="External"/><Relationship Id="rId351" Type="http://schemas.openxmlformats.org/officeDocument/2006/relationships/hyperlink" Target="https://www.gazzetta.it/calcio/giocatori/christian-ordonez/575886/" TargetMode="External"/><Relationship Id="rId352" Type="http://schemas.openxmlformats.org/officeDocument/2006/relationships/hyperlink" Target="https://www.fantacalcio.it/serie-a/squadre/parma/ordonez-c/7138/2026-27/italia" TargetMode="External"/><Relationship Id="rId353" Type="http://schemas.openxmlformats.org/officeDocument/2006/relationships/hyperlink" Target="https://www.gazzetta.it/calcio/fantanews/03-08-2026/parma-al-fantacalcio-2026-27-titolari-rigorista-sorprese-consigli-su-chi-prendere.shtml" TargetMode="External"/><Relationship Id="rId354" Type="http://schemas.openxmlformats.org/officeDocument/2006/relationships/hyperlink" Target="https://www.gazzetta.it/calcio/giocatori/gaetano-oristanio/465628/" TargetMode="External"/><Relationship Id="rId355" Type="http://schemas.openxmlformats.org/officeDocument/2006/relationships/hyperlink" Target="https://www.fantacalcio.it/serie-a/squadre/torino/oristanio/6218/2026-27/italia" TargetMode="External"/><Relationship Id="rId356" Type="http://schemas.openxmlformats.org/officeDocument/2006/relationships/hyperlink" Target="https://www.gazzetta.it/calcio/fantanews/03-08-2026/torino-fantacalcio-2026-27-titolari-rigorista-sorprese-consigli-su-chi-prendere.shtml" TargetMode="External"/><Relationship Id="rId357" Type="http://schemas.openxmlformats.org/officeDocument/2006/relationships/hyperlink" Target="https://www.gazzetta.it/calcio/giocatori/yunus-musah/244847/" TargetMode="External"/><Relationship Id="rId358" Type="http://schemas.openxmlformats.org/officeDocument/2006/relationships/hyperlink" Target="https://www.fantacalcio.it/serie-a/squadre/milan/musah/5295/2026-27/italia" TargetMode="External"/><Relationship Id="rId359" Type="http://schemas.openxmlformats.org/officeDocument/2006/relationships/hyperlink" Target="https://www.gazzetta.it/calcio/fantanews/02-08-2026/milan-al-fantacalcio-2026-27-titolari-rigorista-sorprese-e-consigli-su-chi-prendere.shtml" TargetMode="External"/><Relationship Id="rId360" Type="http://schemas.openxmlformats.org/officeDocument/2006/relationships/hyperlink" Target="https://www.gazzetta.it/calcio/giocatori/darryl-bakola/634416/" TargetMode="External"/><Relationship Id="rId361" Type="http://schemas.openxmlformats.org/officeDocument/2006/relationships/hyperlink" Target="https://www.fantacalcio.it/serie-a/squadre/sassuolo/bakola/7036/2026-27/italia" TargetMode="External"/><Relationship Id="rId362" Type="http://schemas.openxmlformats.org/officeDocument/2006/relationships/hyperlink" Target="https://www.gazzetta.it/calcio/fantanews/04-08-2026/sassuolo-fantacalcio-2026-27-titolari-rigorista-sorprese-consigli-su-chi-prendere.shtml" TargetMode="External"/><Relationship Id="rId363" Type="http://schemas.openxmlformats.org/officeDocument/2006/relationships/hyperlink" Target="https://www.gazzetta.it/calcio/giocatori/luca-lipani/578990/" TargetMode="External"/><Relationship Id="rId364" Type="http://schemas.openxmlformats.org/officeDocument/2006/relationships/hyperlink" Target="https://www.fantacalcio.it/serie-a/squadre/sassuolo/lipani/6246/2026-27/italia" TargetMode="External"/><Relationship Id="rId365" Type="http://schemas.openxmlformats.org/officeDocument/2006/relationships/hyperlink" Target="https://www.gazzetta.it/calcio/fantanews/04-08-2026/sassuolo-fantacalcio-2026-27-titolari-rigorista-sorprese-consigli-su-chi-prendere.shtml" TargetMode="External"/><Relationship Id="rId366" Type="http://schemas.openxmlformats.org/officeDocument/2006/relationships/hyperlink" Target="https://www.gazzetta.it/calcio/giocatori/fisayo-dele-bashiru/215814/" TargetMode="External"/><Relationship Id="rId367" Type="http://schemas.openxmlformats.org/officeDocument/2006/relationships/hyperlink" Target="https://www.fantacalcio.it/serie-a/squadre/lazio/dele-bashiru/6629/2026-27/italia" TargetMode="External"/><Relationship Id="rId368" Type="http://schemas.openxmlformats.org/officeDocument/2006/relationships/hyperlink" Target="https://www.gazzetta.it/calcio/fantanews/02-08-2026/lazio-al-fantacalcio-2026-27-titolari-rigorista-sorprese-e-consigli-su-chi-prendere.shtml" TargetMode="External"/><Relationship Id="rId369" Type="http://schemas.openxmlformats.org/officeDocument/2006/relationships/hyperlink" Target="https://www.gazzetta.it/calcio/giocatori/reda-belahyane/585579/" TargetMode="External"/><Relationship Id="rId370" Type="http://schemas.openxmlformats.org/officeDocument/2006/relationships/hyperlink" Target="https://www.fantacalcio.it/serie-a/squadre/lazio/belahyane/6191/2026-27/italia" TargetMode="External"/><Relationship Id="rId371" Type="http://schemas.openxmlformats.org/officeDocument/2006/relationships/hyperlink" Target="https://www.gazzetta.it/calcio/fantanews/02-08-2026/lazio-al-fantacalcio-2026-27-titolari-rigorista-sorprese-e-consigli-su-chi-prendere.shtml" TargetMode="External"/><Relationship Id="rId372" Type="http://schemas.openxmlformats.org/officeDocument/2006/relationships/hyperlink" Target="https://www.gazzetta.it/calcio/giocatori/ebenezer-akinsanmiro/621432/" TargetMode="External"/><Relationship Id="rId373" Type="http://schemas.openxmlformats.org/officeDocument/2006/relationships/hyperlink" Target="https://www.fantacalcio.it/serie-a/squadre/monza/akinsanmiro/6593/2026-27/italia" TargetMode="External"/><Relationship Id="rId374" Type="http://schemas.openxmlformats.org/officeDocument/2006/relationships/hyperlink" Target="https://www.gazzetta.it/calcio/fantanews/05-08-2026/monza-al-fantacalcio-2026-27-titolari-rigorista-sorprese-consigli-su-chi-prendere.shtml" TargetMode="External"/><Relationship Id="rId375" Type="http://schemas.openxmlformats.org/officeDocument/2006/relationships/hyperlink" Target="https://www.fantacalcio.it/serie-a/squadre/frosinone/cichella/7473/2026-27/italia" TargetMode="External"/><Relationship Id="rId376" Type="http://schemas.openxmlformats.org/officeDocument/2006/relationships/hyperlink" Target="https://www.gazzetta.it/calcio/fantanews/02-08-2026/frosinone-al-fantacalcio-2026-27-titolari-rigorista-sorprese-e-consigli-su-chi-prendere.shtml" TargetMode="External"/><Relationship Id="rId377" Type="http://schemas.openxmlformats.org/officeDocument/2006/relationships/hyperlink" Target="https://www.gazzetta.it/calcio/giocatori/alessandro-deiola/162330/" TargetMode="External"/><Relationship Id="rId378" Type="http://schemas.openxmlformats.org/officeDocument/2006/relationships/hyperlink" Target="https://www.fantacalcio.it/serie-a/squadre/cagliari/deiola/1871/2026-27/italia" TargetMode="External"/><Relationship Id="rId379" Type="http://schemas.openxmlformats.org/officeDocument/2006/relationships/hyperlink" Target="https://www.gazzetta.it/calcio/fantanews/04-08-2026/cagliari-fantacalcio-2026-27-titolari-rigorista-sorprese-consigli-su-chi-prendere.shtml" TargetMode="External"/><Relationship Id="rId380" Type="http://schemas.openxmlformats.org/officeDocument/2006/relationships/hyperlink" Target="https://www.gazzetta.it/calcio/giocatori/oumar-ngom/566980/" TargetMode="External"/><Relationship Id="rId381" Type="http://schemas.openxmlformats.org/officeDocument/2006/relationships/hyperlink" Target="https://www.fantacalcio.it/serie-a/squadre/lecce/ngom/7322/2026-27/italia" TargetMode="External"/><Relationship Id="rId382" Type="http://schemas.openxmlformats.org/officeDocument/2006/relationships/hyperlink" Target="https://www.gazzetta.it/calcio/fantanews/04-08-2026/lecce-fantacalcio-2026-27-titolari-rigorista-sorprese-consigli-su-chi-prendere.shtml" TargetMode="External"/><Relationship Id="rId383" Type="http://schemas.openxmlformats.org/officeDocument/2006/relationships/hyperlink" Target="https://www.gazzetta.it/calcio/giocatori/hans-nicolussi-caviglia/437784/" TargetMode="External"/><Relationship Id="rId384" Type="http://schemas.openxmlformats.org/officeDocument/2006/relationships/hyperlink" Target="https://www.fantacalcio.it/serie-a/squadre/parma/nicolussi-caviglia/4349/2026-27/italia" TargetMode="External"/><Relationship Id="rId385" Type="http://schemas.openxmlformats.org/officeDocument/2006/relationships/hyperlink" Target="https://www.gazzetta.it/calcio/fantanews/03-08-2026/parma-al-fantacalcio-2026-27-titolari-rigorista-sorprese-consigli-su-chi-prendere.shtml" TargetMode="External"/><Relationship Id="rId386" Type="http://schemas.openxmlformats.org/officeDocument/2006/relationships/hyperlink" Target="https://www.gazzetta.it/calcio/giocatori/idrissa-toure/224336/" TargetMode="External"/><Relationship Id="rId387" Type="http://schemas.openxmlformats.org/officeDocument/2006/relationships/hyperlink" Target="https://www.fantacalcio.it/serie-a/squadre/monza/tour%C3%A8-i/7146/2026-27/italia" TargetMode="External"/><Relationship Id="rId388" Type="http://schemas.openxmlformats.org/officeDocument/2006/relationships/hyperlink" Target="https://www.gazzetta.it/calcio/fantanews/05-08-2026/monza-al-fantacalcio-2026-27-titolari-rigorista-sorprese-consigli-su-chi-prendere.shtml" TargetMode="External"/><Relationship Id="rId389" Type="http://schemas.openxmlformats.org/officeDocument/2006/relationships/hyperlink" Target="https://www.fantacalcio.it/serie-a/squadre/genoa/meichtry/7409/2026-27/italia" TargetMode="External"/><Relationship Id="rId390" Type="http://schemas.openxmlformats.org/officeDocument/2006/relationships/hyperlink" Target="https://www.gazzetta.it/calcio/fantanews/04-08-2026/genoa-al-fantacalcio-2026-27-titolari-rigorista-sorprese-consigli-su-chi-prendere.shtml" TargetMode="External"/><Relationship Id="rId391" Type="http://schemas.openxmlformats.org/officeDocument/2006/relationships/hyperlink" Target="https://www.fantacalcio.it/serie-a/squadre/genoa/traor%C3%A8-hj/2857/2026-27/italia" TargetMode="External"/><Relationship Id="rId392" Type="http://schemas.openxmlformats.org/officeDocument/2006/relationships/hyperlink" Target="https://www.gazzetta.it/calcio/fantanews/04-08-2026/genoa-al-fantacalcio-2026-27-titolari-rigorista-sorprese-consigli-su-chi-prendere.shtml" TargetMode="External"/><Relationship Id="rId393" Type="http://schemas.openxmlformats.org/officeDocument/2006/relationships/hyperlink" Target="https://www.gazzetta.it/calcio/giocatori/oier-zarraga/245018/" TargetMode="External"/><Relationship Id="rId394" Type="http://schemas.openxmlformats.org/officeDocument/2006/relationships/hyperlink" Target="https://www.fantacalcio.it/serie-a/squadre/udinese/zarraga/6212/2026-27/italia" TargetMode="External"/><Relationship Id="rId395" Type="http://schemas.openxmlformats.org/officeDocument/2006/relationships/hyperlink" Target="https://www.gazzetta.it/calcio/fantanews/03-08-2026/udinese-fantacalcio-2026-27-titolari-rigorista-sorprese-consigli-su-chi-prendere.shtml" TargetMode="External"/><Relationship Id="rId396" Type="http://schemas.openxmlformats.org/officeDocument/2006/relationships/hyperlink" Target="https://www.gazzetta.it/calcio/giocatori/riccardo-sottil/235454/" TargetMode="External"/><Relationship Id="rId397" Type="http://schemas.openxmlformats.org/officeDocument/2006/relationships/hyperlink" Target="https://www.fantacalcio.it/serie-a/squadre/cagliari/ciervo/5462/2026-27/italia" TargetMode="External"/><Relationship Id="rId398" Type="http://schemas.openxmlformats.org/officeDocument/2006/relationships/hyperlink" Target="https://www.gazzetta.it/calcio/fantanews/04-08-2026/cagliari-fantacalcio-2026-27-titolari-rigorista-sorprese-consigli-su-chi-prendere.shtml" TargetMode="External"/><Relationship Id="rId399" Type="http://schemas.openxmlformats.org/officeDocument/2006/relationships/hyperlink" Target="https://www.fantacalcio.it/serie-a/squadre/venezia/fernandez-t/7232/2026-27/italia" TargetMode="External"/><Relationship Id="rId400" Type="http://schemas.openxmlformats.org/officeDocument/2006/relationships/hyperlink" Target="https://www.gazzetta.it/calcio/fantanews/04-08-2026/venezia-al-fantacalcio-2026-27-titolari-rigorista-sorprese-consigli-su-chi-prendere.shtml" TargetMode="External"/><Relationship Id="rId401" Type="http://schemas.openxmlformats.org/officeDocument/2006/relationships/hyperlink" Target="https://www.gazzetta.it/calcio/giocatori/ibrahim-sulemana/588753/" TargetMode="External"/><Relationship Id="rId402" Type="http://schemas.openxmlformats.org/officeDocument/2006/relationships/hyperlink" Target="https://www.fantacalcio.it/serie-a/squadre/sassuolo/sulemana-i/6024/2026-27/italia" TargetMode="External"/><Relationship Id="rId403" Type="http://schemas.openxmlformats.org/officeDocument/2006/relationships/hyperlink" Target="https://www.gazzetta.it/calcio/fantanews/04-08-2026/sassuolo-fantacalcio-2026-27-titolari-rigorista-sorprese-consigli-su-chi-prendere.shtml" TargetMode="External"/><Relationship Id="rId404" Type="http://schemas.openxmlformats.org/officeDocument/2006/relationships/hyperlink" Target="https://www.gazzetta.it/calcio/giocatori/lorenzo-venturino/606418/" TargetMode="External"/><Relationship Id="rId405" Type="http://schemas.openxmlformats.org/officeDocument/2006/relationships/hyperlink" Target="https://www.fantacalcio.it/serie-a/squadre/genoa/venturino/6980/2026-27/italia" TargetMode="External"/><Relationship Id="rId406" Type="http://schemas.openxmlformats.org/officeDocument/2006/relationships/hyperlink" Target="https://www.gazzetta.it/calcio/fantanews/04-08-2026/genoa-al-fantacalcio-2026-27-titolari-rigorista-sorprese-consigli-su-chi-prendere.shtml" TargetMode="External"/><Relationship Id="rId407" Type="http://schemas.openxmlformats.org/officeDocument/2006/relationships/hyperlink" Target="https://www.gazzetta.it/calcio/giocatori/youssef-maleh/232066/" TargetMode="External"/><Relationship Id="rId408" Type="http://schemas.openxmlformats.org/officeDocument/2006/relationships/hyperlink" Target="https://www.fantacalcio.it/serie-a/squadre/lecce/maleh/5457/2026-27/italia" TargetMode="External"/><Relationship Id="rId409" Type="http://schemas.openxmlformats.org/officeDocument/2006/relationships/hyperlink" Target="https://www.gazzetta.it/calcio/fantanews/04-08-2026/lecce-fantacalcio-2026-27-titolari-rigorista-sorprese-consigli-su-chi-prendere.shtml" TargetMode="External"/><Relationship Id="rId410" Type="http://schemas.openxmlformats.org/officeDocument/2006/relationships/hyperlink" Target="https://www.gazzetta.it/calcio/giocatori/stephan-el-shaarawy/58928/" TargetMode="External"/><Relationship Id="rId411" Type="http://schemas.openxmlformats.org/officeDocument/2006/relationships/hyperlink" Target="https://www.fantacalcio.it/serie-a/squadre/genoa/el-shaarawy/795/2026-27/italia" TargetMode="External"/><Relationship Id="rId412" Type="http://schemas.openxmlformats.org/officeDocument/2006/relationships/hyperlink" Target="https://www.gazzetta.it/calcio/fantanews/04-08-2026/genoa-al-fantacalcio-2026-27-titolari-rigorista-sorprese-consigli-su-chi-prendere.shtml" TargetMode="External"/><Relationship Id="rId413" Type="http://schemas.openxmlformats.org/officeDocument/2006/relationships/hyperlink" Target="https://www.gazzetta.it/calcio/giocatori/alex-amorim/610163/" TargetMode="External"/><Relationship Id="rId414" Type="http://schemas.openxmlformats.org/officeDocument/2006/relationships/hyperlink" Target="https://www.fantacalcio.it/serie-a/squadre/genoa/amorim/7341/2026-27/italia" TargetMode="External"/><Relationship Id="rId415" Type="http://schemas.openxmlformats.org/officeDocument/2006/relationships/hyperlink" Target="https://www.gazzetta.it/calcio/fantanews/04-08-2026/genoa-al-fantacalcio-2026-27-titolari-rigorista-sorprese-consigli-su-chi-prendere.shtml" TargetMode="External"/><Relationship Id="rId416" Type="http://schemas.openxmlformats.org/officeDocument/2006/relationships/hyperlink" Target="https://www.gazzetta.it/calcio/giocatori/warren-bondo/511368/" TargetMode="External"/><Relationship Id="rId417" Type="http://schemas.openxmlformats.org/officeDocument/2006/relationships/hyperlink" Target="https://www.fantacalcio.it/serie-a/squadre/frosinone/hasa/6903/2026-27/italia" TargetMode="External"/><Relationship Id="rId418" Type="http://schemas.openxmlformats.org/officeDocument/2006/relationships/hyperlink" Target="https://www.gazzetta.it/calcio/fantanews/02-08-2026/frosinone-al-fantacalcio-2026-27-titolari-rigorista-sorprese-e-consigli-su-chi-prendere.shtml" TargetMode="External"/><Relationship Id="rId419" Type="http://schemas.openxmlformats.org/officeDocument/2006/relationships/hyperlink" Target="https://www.fantacalcio.it/serie-a/squadre/bologna/amondarain/7528/2026-27/italia" TargetMode="External"/><Relationship Id="rId420" Type="http://schemas.openxmlformats.org/officeDocument/2006/relationships/hyperlink" Target="https://www.gazzetta.it/calcio/fantanews/03-08-2026/bologna-fantacalcio-2026-27-titolari-rigorista-sorprese-consigli-su-chi-prendere.shtml" TargetMode="External"/><Relationship Id="rId421" Type="http://schemas.openxmlformats.org/officeDocument/2006/relationships/hyperlink" Target="https://www.gazzetta.it/calcio/giocatori/benjamin-cremaschi/541690/" TargetMode="External"/><Relationship Id="rId422" Type="http://schemas.openxmlformats.org/officeDocument/2006/relationships/hyperlink" Target="https://www.fantacalcio.it/serie-a/squadre/parma/cremaschi/7276/2026-27/italia" TargetMode="External"/><Relationship Id="rId423" Type="http://schemas.openxmlformats.org/officeDocument/2006/relationships/hyperlink" Target="https://www.gazzetta.it/calcio/fantanews/03-08-2026/parma-al-fantacalcio-2026-27-titolari-rigorista-sorprese-consigli-su-chi-prendere.shtml" TargetMode="External"/><Relationship Id="rId424" Type="http://schemas.openxmlformats.org/officeDocument/2006/relationships/hyperlink" Target="https://www.gazzetta.it/calcio/giocatori/roberto-gagliardini/171152/" TargetMode="External"/><Relationship Id="rId425" Type="http://schemas.openxmlformats.org/officeDocument/2006/relationships/hyperlink" Target="https://www.fantacalcio.it/serie-a/squadre/cagliari/gagliardini/801/2026-27/italia" TargetMode="External"/><Relationship Id="rId426" Type="http://schemas.openxmlformats.org/officeDocument/2006/relationships/hyperlink" Target="https://www.gazzetta.it/calcio/fantanews/04-08-2026/cagliari-fantacalcio-2026-27-titolari-rigorista-sorprese-consigli-su-chi-prendere.shtml" TargetMode="External"/><Relationship Id="rId427" Type="http://schemas.openxmlformats.org/officeDocument/2006/relationships/hyperlink" Target="https://www.gazzetta.it/calcio/giocatori/tino-anjorin/223332/" TargetMode="External"/><Relationship Id="rId428" Type="http://schemas.openxmlformats.org/officeDocument/2006/relationships/hyperlink" Target="https://www.fantacalcio.it/serie-a/squadre/torino/anjorin/6889/2026-27/italia" TargetMode="External"/><Relationship Id="rId429" Type="http://schemas.openxmlformats.org/officeDocument/2006/relationships/hyperlink" Target="https://www.gazzetta.it/calcio/fantanews/03-08-2026/torino-fantacalcio-2026-27-titolari-rigorista-sorprese-consigli-su-chi-prendere.shtml" TargetMode="External"/><Relationship Id="rId430" Type="http://schemas.openxmlformats.org/officeDocument/2006/relationships/hyperlink" Target="https://www.fantacalcio.it/serie-a/squadre/udinese/chakvetadze/7418/2026-27/italia" TargetMode="External"/><Relationship Id="rId431" Type="http://schemas.openxmlformats.org/officeDocument/2006/relationships/hyperlink" Target="https://www.gazzetta.it/calcio/fantanews/03-08-2026/udinese-fantacalcio-2026-27-titolari-rigorista-sorprese-consigli-su-chi-prendere.shtml" TargetMode="External"/><Relationship Id="rId432" Type="http://schemas.openxmlformats.org/officeDocument/2006/relationships/hyperlink" Target="https://www.fantacalcio.it/serie-a/squadre/monza/colombo-l/7477/2026-27/italia" TargetMode="External"/><Relationship Id="rId433" Type="http://schemas.openxmlformats.org/officeDocument/2006/relationships/hyperlink" Target="https://www.gazzetta.it/calcio/fantanews/05-08-2026/monza-al-fantacalcio-2026-27-titolari-rigorista-sorprese-consigli-su-chi-prendere.shtml" TargetMode="External"/><Relationship Id="rId434" Type="http://schemas.openxmlformats.org/officeDocument/2006/relationships/hyperlink" Target="https://www.gazzetta.it/calcio/giocatori/sandi-lovric/191794/" TargetMode="External"/><Relationship Id="rId435" Type="http://schemas.openxmlformats.org/officeDocument/2006/relationships/hyperlink" Target="https://www.gazzetta.it/calcio/giocatori/thorir-helgason/449122/" TargetMode="External"/><Relationship Id="rId436" Type="http://schemas.openxmlformats.org/officeDocument/2006/relationships/hyperlink" Target="https://www.fantacalcio.it/serie-a/squadre/venezia/helgason/5872/2026-27/italia" TargetMode="External"/><Relationship Id="rId437" Type="http://schemas.openxmlformats.org/officeDocument/2006/relationships/hyperlink" Target="https://www.gazzetta.it/calcio/fantanews/04-08-2026/venezia-al-fantacalcio-2026-27-titolari-rigorista-sorprese-consigli-su-chi-prendere.shtml" TargetMode="External"/><Relationship Id="rId438" Type="http://schemas.openxmlformats.org/officeDocument/2006/relationships/hyperlink" Target="https://www.gazzetta.it/calcio/giocatori/billy-gilmour/243568/" TargetMode="External"/><Relationship Id="rId439" Type="http://schemas.openxmlformats.org/officeDocument/2006/relationships/hyperlink" Target="https://www.fantacalcio.it/serie-a/squadre/napoli/gilmour/5131/2026-27/italia" TargetMode="External"/><Relationship Id="rId440" Type="http://schemas.openxmlformats.org/officeDocument/2006/relationships/hyperlink" Target="https://www.gazzetta.it/calcio/fantanews/02-08-2026/napoli-fantacalcio-2026-27-titolari-rigorista-sorprese-consigli-su-chi-prendere.shtml" TargetMode="External"/><Relationship Id="rId441" Type="http://schemas.openxmlformats.org/officeDocument/2006/relationships/hyperlink" Target="https://www.gazzetta.it/calcio/giocatori/alphadjo-cisse/578315/" TargetMode="External"/><Relationship Id="rId442" Type="http://schemas.openxmlformats.org/officeDocument/2006/relationships/hyperlink" Target="https://www.fantacalcio.it/serie-a/squadre/milan/ciss%C3%A8-a/6618/2026-27/italia" TargetMode="External"/><Relationship Id="rId443" Type="http://schemas.openxmlformats.org/officeDocument/2006/relationships/hyperlink" Target="https://www.gazzetta.it/calcio/fantanews/02-08-2026/milan-al-fantacalcio-2026-27-titolari-rigorista-sorprese-e-consigli-su-chi-prendere.shtml" TargetMode="External"/><Relationship Id="rId444" Type="http://schemas.openxmlformats.org/officeDocument/2006/relationships/hyperlink" Target="https://www.fantacalcio.it/serie-a/squadre/venezia/duncan/526/2026-27/italia" TargetMode="External"/><Relationship Id="rId445" Type="http://schemas.openxmlformats.org/officeDocument/2006/relationships/hyperlink" Target="https://www.gazzetta.it/calcio/fantanews/04-08-2026/venezia-al-fantacalcio-2026-27-titolari-rigorista-sorprese-consigli-su-chi-prendere.shtml" TargetMode="External"/><Relationship Id="rId446" Type="http://schemas.openxmlformats.org/officeDocument/2006/relationships/hyperlink" Target="https://www.fantacalcio.it/serie-a/squadre/frosinone/gelli-f/6241/2026-27/italia" TargetMode="External"/><Relationship Id="rId447" Type="http://schemas.openxmlformats.org/officeDocument/2006/relationships/hyperlink" Target="https://www.gazzetta.it/calcio/fantanews/02-08-2026/frosinone-al-fantacalcio-2026-27-titolari-rigorista-sorprese-e-consigli-su-chi-prendere.shtml" TargetMode="External"/><Relationship Id="rId448" Type="http://schemas.openxmlformats.org/officeDocument/2006/relationships/hyperlink" Target="https://www.fantacalcio.it/serie-a/squadre/frosinone/kone-b/5725/2026-27/italia" TargetMode="External"/><Relationship Id="rId449" Type="http://schemas.openxmlformats.org/officeDocument/2006/relationships/hyperlink" Target="https://www.gazzetta.it/calcio/fantanews/02-08-2026/frosinone-al-fantacalcio-2026-27-titolari-rigorista-sorprese-e-consigli-su-chi-prendere.shtml" TargetMode="External"/><Relationship Id="rId450" Type="http://schemas.openxmlformats.org/officeDocument/2006/relationships/hyperlink" Target="https://www.gazzetta.it/calcio/giocatori/olaf-gorter/551214/" TargetMode="External"/><Relationship Id="rId451" Type="http://schemas.openxmlformats.org/officeDocument/2006/relationships/hyperlink" Target="https://www.fantacalcio.it/serie-a/squadre/lecce/gorter/7248/2026-27/italia" TargetMode="External"/><Relationship Id="rId452" Type="http://schemas.openxmlformats.org/officeDocument/2006/relationships/hyperlink" Target="https://www.gazzetta.it/calcio/fantanews/04-08-2026/lecce-fantacalcio-2026-27-titolari-rigorista-sorprese-consigli-su-chi-prendere.shtml" TargetMode="External"/><Relationship Id="rId453" Type="http://schemas.openxmlformats.org/officeDocument/2006/relationships/hyperlink" Target="https://www.fantacalcio.it/serie-a/squadre/udinese/jovanovic/7092/2026-27/italia" TargetMode="External"/><Relationship Id="rId454" Type="http://schemas.openxmlformats.org/officeDocument/2006/relationships/hyperlink" Target="https://www.gazzetta.it/calcio/fantanews/03-08-2026/udinese-fantacalcio-2026-27-titolari-rigorista-sorprese-consigli-su-chi-prendere.shtml" TargetMode="External"/><Relationship Id="rId455" Type="http://schemas.openxmlformats.org/officeDocument/2006/relationships/hyperlink" Target="https://www.fantacalcio.it/serie-a/squadre/torino/cacciamani/7060/2026-27/italia" TargetMode="External"/><Relationship Id="rId456" Type="http://schemas.openxmlformats.org/officeDocument/2006/relationships/hyperlink" Target="https://www.gazzetta.it/calcio/fantanews/03-08-2026/torino-fantacalcio-2026-27-titolari-rigorista-sorprese-consigli-su-chi-prendere.shtml" TargetMode="External"/><Relationship Id="rId457" Type="http://schemas.openxmlformats.org/officeDocument/2006/relationships/hyperlink" Target="https://www.fantacalcio.it/serie-a/squadre/monza/ciurria/5880/2026-27/italia" TargetMode="External"/><Relationship Id="rId458" Type="http://schemas.openxmlformats.org/officeDocument/2006/relationships/hyperlink" Target="https://www.gazzetta.it/calcio/fantanews/05-08-2026/monza-al-fantacalcio-2026-27-titolari-rigorista-sorprese-consigli-su-chi-prendere.shtml" TargetMode="External"/><Relationship Id="rId459" Type="http://schemas.openxmlformats.org/officeDocument/2006/relationships/hyperlink" Target="https://www.gazzetta.it/calcio/giocatori/mohamed-kaba/545711/" TargetMode="External"/><Relationship Id="rId460" Type="http://schemas.openxmlformats.org/officeDocument/2006/relationships/hyperlink" Target="https://www.fantacalcio.it/serie-a/squadre/lecce/kaba/6410/2026-27/italia" TargetMode="External"/><Relationship Id="rId461" Type="http://schemas.openxmlformats.org/officeDocument/2006/relationships/hyperlink" Target="https://www.gazzetta.it/calcio/fantanews/04-08-2026/lecce-fantacalcio-2026-27-titolari-rigorista-sorprese-consigli-su-chi-prendere.shtml" TargetMode="External"/><Relationship Id="rId462" Type="http://schemas.openxmlformats.org/officeDocument/2006/relationships/hyperlink" Target="https://www.fantacalcio.it/serie-a/squadre/monza/foe-ondoa/7574/2026-27/italia" TargetMode="External"/><Relationship Id="rId463" Type="http://schemas.openxmlformats.org/officeDocument/2006/relationships/hyperlink" Target="https://www.gazzetta.it/calcio/fantanews/05-08-2026/monza-al-fantacalcio-2026-27-titolari-rigorista-sorprese-consigli-su-chi-prendere.shtml" TargetMode="External"/><Relationship Id="rId464" Type="http://schemas.openxmlformats.org/officeDocument/2006/relationships/hyperlink" Target="https://www.fantacalcio.it/serie-a/squadre/venezia/dagasso/7481/2026-27/italia" TargetMode="External"/><Relationship Id="rId465" Type="http://schemas.openxmlformats.org/officeDocument/2006/relationships/hyperlink" Target="https://www.gazzetta.it/calcio/fantanews/04-08-2026/venezia-al-fantacalcio-2026-27-titolari-rigorista-sorprese-consigli-su-chi-prendere.shtml" TargetMode="External"/><Relationship Id="rId466" Type="http://schemas.openxmlformats.org/officeDocument/2006/relationships/hyperlink" Target="https://www.gazzetta.it/calcio/giocatori/adrien-przyborek/609683/" TargetMode="External"/><Relationship Id="rId467" Type="http://schemas.openxmlformats.org/officeDocument/2006/relationships/hyperlink" Target="https://www.fantacalcio.it/serie-a/squadre/lazio/przyborek/7345/2026-27/italia" TargetMode="External"/><Relationship Id="rId468" Type="http://schemas.openxmlformats.org/officeDocument/2006/relationships/hyperlink" Target="https://www.gazzetta.it/calcio/fantanews/02-08-2026/lazio-al-fantacalcio-2026-27-titolari-rigorista-sorprese-e-consigli-su-chi-prendere.shtml" TargetMode="External"/><Relationship Id="rId469" Type="http://schemas.openxmlformats.org/officeDocument/2006/relationships/hyperlink" Target="https://www.fantacalcio.it/serie-a/squadre/parma/sierro/7628/2026-27/italia" TargetMode="External"/><Relationship Id="rId470" Type="http://schemas.openxmlformats.org/officeDocument/2006/relationships/hyperlink" Target="https://www.gazzetta.it/calcio/fantanews/03-08-2026/parma-al-fantacalcio-2026-27-titolari-rigorista-sorprese-consigli-su-chi-prendere.shtml" TargetMode="External"/><Relationship Id="rId471" Type="http://schemas.openxmlformats.org/officeDocument/2006/relationships/hyperlink" Target="https://www.gazzetta.it/calcio/giocatori/joseph-liteta/618927/" TargetMode="External"/><Relationship Id="rId472" Type="http://schemas.openxmlformats.org/officeDocument/2006/relationships/hyperlink" Target="https://www.fantacalcio.it/serie-a/squadre/cagliari/liteta/7165/2026-27/italia" TargetMode="External"/><Relationship Id="rId473" Type="http://schemas.openxmlformats.org/officeDocument/2006/relationships/hyperlink" Target="https://www.gazzetta.it/calcio/fantanews/04-08-2026/cagliari-fantacalcio-2026-27-titolari-rigorista-sorprese-consigli-su-chi-prendere.shtml" TargetMode="External"/><Relationship Id="rId474" Type="http://schemas.openxmlformats.org/officeDocument/2006/relationships/hyperlink" Target="https://www.gazzetta.it/calcio/giocatori/sadik-fofana/546761/" TargetMode="External"/><Relationship Id="rId475" Type="http://schemas.openxmlformats.org/officeDocument/2006/relationships/hyperlink" Target="https://www.fantacalcio.it/serie-a/squadre/lecce/fofana-sa/7319/2026-27/italia" TargetMode="External"/><Relationship Id="rId476" Type="http://schemas.openxmlformats.org/officeDocument/2006/relationships/hyperlink" Target="https://www.gazzetta.it/calcio/fantanews/04-08-2026/lecce-fantacalcio-2026-27-titolari-rigorista-sorprese-consigli-su-chi-prendere.shtml" TargetMode="External"/><Relationship Id="rId477" Type="http://schemas.openxmlformats.org/officeDocument/2006/relationships/hyperlink" Target="https://www.fantacalcio.it/serie-a/squadre/sassuolo/cinquegrano/7573/2026-27/italia" TargetMode="External"/><Relationship Id="rId478" Type="http://schemas.openxmlformats.org/officeDocument/2006/relationships/hyperlink" Target="https://www.gazzetta.it/calcio/fantanews/04-08-2026/sassuolo-fantacalcio-2026-27-titolari-rigorista-sorprese-consigli-su-chi-prendere.shtml" TargetMode="External"/><Relationship Id="rId479" Type="http://schemas.openxmlformats.org/officeDocument/2006/relationships/hyperlink" Target="https://www.gazzetta.it/calcio/giocatori/lorenzo-berardi/703653/" TargetMode="External"/><Relationship Id="rId480" Type="http://schemas.openxmlformats.org/officeDocument/2006/relationships/hyperlink" Target="https://www.gazzetta.it/calcio/giocatori/oussama-el-azzouzi/543215/" TargetMode="External"/><Relationship Id="rId481" Type="http://schemas.openxmlformats.org/officeDocument/2006/relationships/hyperlink" Target="https://www.fantacalcio.it/serie-a/squadre/bologna/el-azzouzi-o/6225/2026-27/italia" TargetMode="External"/><Relationship Id="rId482" Type="http://schemas.openxmlformats.org/officeDocument/2006/relationships/hyperlink" Target="https://www.gazzetta.it/calcio/fantanews/03-08-2026/bologna-fantacalcio-2026-27-titolari-rigorista-sorprese-consigli-su-chi-prendere.shtml" TargetMode="External"/><Relationship Id="rId483" Type="http://schemas.openxmlformats.org/officeDocument/2006/relationships/hyperlink" Target="https://www.gazzetta.it/calcio/giocatori/daniel-boloca/430724/" TargetMode="External"/><Relationship Id="rId484" Type="http://schemas.openxmlformats.org/officeDocument/2006/relationships/hyperlink" Target="https://www.fantacalcio.it/serie-a/squadre/sassuolo/boloca/6219/2026-27/italia" TargetMode="External"/><Relationship Id="rId485" Type="http://schemas.openxmlformats.org/officeDocument/2006/relationships/hyperlink" Target="https://www.gazzetta.it/calcio/fantanews/04-08-2026/sassuolo-fantacalcio-2026-27-titolari-rigorista-sorprese-consigli-su-chi-prendere.shtml" TargetMode="External"/><Relationship Id="rId486" Type="http://schemas.openxmlformats.org/officeDocument/2006/relationships/hyperlink" Target="https://www.gazzetta.it/calcio/giocatori/david-pejicic/577947/" TargetMode="External"/><Relationship Id="rId487" Type="http://schemas.openxmlformats.org/officeDocument/2006/relationships/hyperlink" Target="https://www.fantacalcio.it/serie-a/squadre/monza/mout/7575/2026-27/italia" TargetMode="External"/><Relationship Id="rId488" Type="http://schemas.openxmlformats.org/officeDocument/2006/relationships/hyperlink" Target="https://www.gazzetta.it/calcio/fantanews/05-08-2026/monza-al-fantacalcio-2026-27-titolari-rigorista-sorprese-consigli-su-chi-prendere.shtml" TargetMode="External"/><Relationship Id="rId489" Type="http://schemas.openxmlformats.org/officeDocument/2006/relationships/hyperlink" Target="https://www.fantacalcio.it/serie-a/squadre/cagliari/massolin/7579/2026-27/italia" TargetMode="External"/><Relationship Id="rId490" Type="http://schemas.openxmlformats.org/officeDocument/2006/relationships/hyperlink" Target="https://www.gazzetta.it/calcio/fantanews/04-08-2026/cagliari-fantacalcio-2026-27-titolari-rigorista-sorprese-consigli-su-chi-prendere.shtml" TargetMode="External"/><Relationship Id="rId491" Type="http://schemas.openxmlformats.org/officeDocument/2006/relationships/hyperlink" Target="https://www.gazzetta.it/calcio/giocatori/valerio-farcomeni/638709/" TargetMode="External"/><Relationship Id="rId492" Type="http://schemas.openxmlformats.org/officeDocument/2006/relationships/hyperlink" Target="https://www.gazzetta.it/calcio/giocatori/adrian-lahdo/649948/" TargetMode="External"/><Relationship Id="rId493" Type="http://schemas.openxmlformats.org/officeDocument/2006/relationships/hyperlink" Target="https://www.fantacalcio.it/serie-a/squadre/como/lahdo/7357/2026-27/italia" TargetMode="External"/><Relationship Id="rId494" Type="http://schemas.openxmlformats.org/officeDocument/2006/relationships/hyperlink" Target="https://www.gazzetta.it/calcio/fantanews/04-08-2026/como-fantacalcio-2026-27-titolari-rigorista-sorprese-consigli-su-chi-prendere.shtml" TargetMode="External"/><Relationship Id="rId495" Type="http://schemas.openxmlformats.org/officeDocument/2006/relationships/hyperlink" Target="https://www.gazzetta.it/calcio/giocatori/andrea-ghion/485264/" TargetMode="External"/><Relationship Id="rId496" Type="http://schemas.openxmlformats.org/officeDocument/2006/relationships/hyperlink" Target="https://www.fantacalcio.it/serie-a/squadre/milan/comotto/7572/2026-27/italia" TargetMode="External"/><Relationship Id="rId497" Type="http://schemas.openxmlformats.org/officeDocument/2006/relationships/hyperlink" Target="https://www.gazzetta.it/calcio/fantanews/02-08-2026/milan-al-fantacalcio-2026-27-titolari-rigorista-sorprese-e-consigli-su-chi-prendere.shtml" TargetMode="External"/><Relationship Id="rId498" Type="http://schemas.openxmlformats.org/officeDocument/2006/relationships/drawing" Target="../drawings/drawing4.xml"/><Relationship Id="rId499" Type="http://schemas.openxmlformats.org/officeDocument/2006/relationships/vmlDrawing" Target="../drawings/vmlDrawing4.vml"/><Relationship Id="rId500" Type="http://schemas.openxmlformats.org/officeDocument/2006/relationships/comments" Target="../comments4.xml"/></Relationships>

</file>

<file path=xl/worksheets/_rels/sheet8.xml.rels><?xml version="1.0" encoding="UTF-8"?>
<Relationships xmlns="http://schemas.openxmlformats.org/package/2006/relationships"><Relationship Id="rId1" Type="http://schemas.openxmlformats.org/officeDocument/2006/relationships/hyperlink" Target="https://www.gazzetta.it/calcio/giocatori/donyell-malen/204646/" TargetMode="External"/><Relationship Id="rId2" Type="http://schemas.openxmlformats.org/officeDocument/2006/relationships/hyperlink" Target="https://www.fantacalcio.it/serie-a/squadre/roma/malen/5585/2026-27/italia" TargetMode="External"/><Relationship Id="rId3" Type="http://schemas.openxmlformats.org/officeDocument/2006/relationships/hyperlink" Target="https://www.gazzetta.it/calcio/fantanews/03-08-2026/roma-al-fantacalcio-2026-27-titolari-rigorista-sorprese-consigli-su-chi-prendere.shtml" TargetMode="External"/><Relationship Id="rId4" Type="http://schemas.openxmlformats.org/officeDocument/2006/relationships/hyperlink" Target="https://www.gazzetta.it/calcio/giocatori/lautaro-martinez/209737/" TargetMode="External"/><Relationship Id="rId5" Type="http://schemas.openxmlformats.org/officeDocument/2006/relationships/hyperlink" Target="https://www.fantacalcio.it/serie-a/squadre/inter/martinez-l/2764/2026-27/italia" TargetMode="External"/><Relationship Id="rId6" Type="http://schemas.openxmlformats.org/officeDocument/2006/relationships/hyperlink" Target="https://www.gazzetta.it/calcio/fantanews/05-08-2026/inter-al-fantacalcio-2026-27-titolari-rigorista-sorprese-consigli-su-chi-prendere.shtml" TargetMode="External"/><Relationship Id="rId7" Type="http://schemas.openxmlformats.org/officeDocument/2006/relationships/hyperlink" Target="https://www.gazzetta.it/calcio/giocatori/rasmus-hojlund/497894/" TargetMode="External"/><Relationship Id="rId8" Type="http://schemas.openxmlformats.org/officeDocument/2006/relationships/hyperlink" Target="https://www.fantacalcio.it/serie-a/squadre/napoli/hojlund/6052/2026-27/italia" TargetMode="External"/><Relationship Id="rId9" Type="http://schemas.openxmlformats.org/officeDocument/2006/relationships/hyperlink" Target="https://www.gazzetta.it/calcio/fantanews/02-08-2026/napoli-fantacalcio-2026-27-titolari-rigorista-sorprese-consigli-su-chi-prendere.shtml" TargetMode="External"/><Relationship Id="rId10" Type="http://schemas.openxmlformats.org/officeDocument/2006/relationships/hyperlink" Target="https://www.gazzetta.it/calcio/giocatori/marcus-thuram/205880/" TargetMode="External"/><Relationship Id="rId11" Type="http://schemas.openxmlformats.org/officeDocument/2006/relationships/hyperlink" Target="https://www.fantacalcio.it/serie-a/squadre/inter/thuram/4871/2026-27/italia" TargetMode="External"/><Relationship Id="rId12" Type="http://schemas.openxmlformats.org/officeDocument/2006/relationships/hyperlink" Target="https://www.gazzetta.it/calcio/fantanews/05-08-2026/inter-al-fantacalcio-2026-27-titolari-rigorista-sorprese-consigli-su-chi-prendere.shtml" TargetMode="External"/><Relationship Id="rId13" Type="http://schemas.openxmlformats.org/officeDocument/2006/relationships/hyperlink" Target="https://www.fantacalcio.it/serie-a/squadre/milan/ramos-g/6397/2026-27/italia" TargetMode="External"/><Relationship Id="rId14" Type="http://schemas.openxmlformats.org/officeDocument/2006/relationships/hyperlink" Target="https://www.gazzetta.it/calcio/fantanews/02-08-2026/milan-al-fantacalcio-2026-27-titolari-rigorista-sorprese-e-consigli-su-chi-prendere.shtml" TargetMode="External"/><Relationship Id="rId15" Type="http://schemas.openxmlformats.org/officeDocument/2006/relationships/hyperlink" Target="https://www.gazzetta.it/calcio/giocatori/keinan-davis/221239/" TargetMode="External"/><Relationship Id="rId16" Type="http://schemas.openxmlformats.org/officeDocument/2006/relationships/hyperlink" Target="https://www.fantacalcio.it/serie-a/squadre/udinese/davis-k/5637/2026-27/italia" TargetMode="External"/><Relationship Id="rId17" Type="http://schemas.openxmlformats.org/officeDocument/2006/relationships/hyperlink" Target="https://www.gazzetta.it/calcio/fantanews/03-08-2026/udinese-fantacalcio-2026-27-titolari-rigorista-sorprese-consigli-su-chi-prendere.shtml" TargetMode="External"/><Relationship Id="rId18" Type="http://schemas.openxmlformats.org/officeDocument/2006/relationships/hyperlink" Target="https://www.gazzetta.it/calcio/giocatori/moise-kean/242058/" TargetMode="External"/><Relationship Id="rId19" Type="http://schemas.openxmlformats.org/officeDocument/2006/relationships/hyperlink" Target="https://www.fantacalcio.it/serie-a/squadre/como/kean/2097/2026-27/italia" TargetMode="External"/><Relationship Id="rId20" Type="http://schemas.openxmlformats.org/officeDocument/2006/relationships/hyperlink" Target="https://www.gazzetta.it/calcio/fantanews/04-08-2026/como-fantacalcio-2026-27-titolari-rigorista-sorprese-consigli-su-chi-prendere.shtml" TargetMode="External"/><Relationship Id="rId21" Type="http://schemas.openxmlformats.org/officeDocument/2006/relationships/hyperlink" Target="https://www.fantacalcio.it/serie-a/squadre/juventus/kolo-muani/5951/2026-27/italia" TargetMode="External"/><Relationship Id="rId22" Type="http://schemas.openxmlformats.org/officeDocument/2006/relationships/hyperlink" Target="https://www.gazzetta.it/calcio/fantanews/03-08-2026/juve-al-fantacalcio-2026-27-titolari-rigorista-sorprese-consigli-su-chi-prendere.shtml" TargetMode="External"/><Relationship Id="rId23" Type="http://schemas.openxmlformats.org/officeDocument/2006/relationships/hyperlink" Target="https://www.gazzetta.it/calcio/giocatori/gianluca-scamacca/195899/" TargetMode="External"/><Relationship Id="rId24" Type="http://schemas.openxmlformats.org/officeDocument/2006/relationships/hyperlink" Target="https://www.fantacalcio.it/serie-a/squadre/atalanta/scamacca/2137/2026-27/italia" TargetMode="External"/><Relationship Id="rId25" Type="http://schemas.openxmlformats.org/officeDocument/2006/relationships/hyperlink" Target="https://www.gazzetta.it/calcio/fantanews/02-08-2026/atalanta-fantacalcio-2026-27-titolari-rigorista-sorprese-consigli-su-chi-prendere.shtml" TargetMode="External"/><Relationship Id="rId26" Type="http://schemas.openxmlformats.org/officeDocument/2006/relationships/hyperlink" Target="https://www.gazzetta.it/calcio/giocatori/paulo-dybala/120638/" TargetMode="External"/><Relationship Id="rId27" Type="http://schemas.openxmlformats.org/officeDocument/2006/relationships/hyperlink" Target="https://www.fantacalcio.it/serie-a/squadre/roma/dybala/309/2026-27/italia" TargetMode="External"/><Relationship Id="rId28" Type="http://schemas.openxmlformats.org/officeDocument/2006/relationships/hyperlink" Target="https://www.gazzetta.it/calcio/fantanews/03-08-2026/roma-al-fantacalcio-2026-27-titolari-rigorista-sorprese-consigli-su-chi-prendere.shtml" TargetMode="External"/><Relationship Id="rId29" Type="http://schemas.openxmlformats.org/officeDocument/2006/relationships/hyperlink" Target="https://www.gazzetta.it/calcio/giocatori/giovanni-simeone/166016/" TargetMode="External"/><Relationship Id="rId30" Type="http://schemas.openxmlformats.org/officeDocument/2006/relationships/hyperlink" Target="https://www.fantacalcio.it/serie-a/squadre/torino/simeone/2061/2026-27/italia" TargetMode="External"/><Relationship Id="rId31" Type="http://schemas.openxmlformats.org/officeDocument/2006/relationships/hyperlink" Target="https://www.gazzetta.it/calcio/fantanews/03-08-2026/torino-fantacalcio-2026-27-titolari-rigorista-sorprese-consigli-su-chi-prendere.shtml" TargetMode="External"/><Relationship Id="rId32" Type="http://schemas.openxmlformats.org/officeDocument/2006/relationships/hyperlink" Target="https://www.gazzetta.it/calcio/giocatori/armand-lauriente/449431/" TargetMode="External"/><Relationship Id="rId33" Type="http://schemas.openxmlformats.org/officeDocument/2006/relationships/hyperlink" Target="https://www.fantacalcio.it/serie-a/squadre/sassuolo/laurient%C3%A8/6060/2026-27/italia" TargetMode="External"/><Relationship Id="rId34" Type="http://schemas.openxmlformats.org/officeDocument/2006/relationships/hyperlink" Target="https://www.gazzetta.it/calcio/fantanews/04-08-2026/sassuolo-fantacalcio-2026-27-titolari-rigorista-sorprese-consigli-su-chi-prendere.shtml" TargetMode="External"/><Relationship Id="rId35" Type="http://schemas.openxmlformats.org/officeDocument/2006/relationships/hyperlink" Target="https://www.gazzetta.it/calcio/giocatori/domenico-berardi/116796/" TargetMode="External"/><Relationship Id="rId36" Type="http://schemas.openxmlformats.org/officeDocument/2006/relationships/hyperlink" Target="https://www.fantacalcio.it/serie-a/squadre/sassuolo/berardi/531/2026-27/italia" TargetMode="External"/><Relationship Id="rId37" Type="http://schemas.openxmlformats.org/officeDocument/2006/relationships/hyperlink" Target="https://www.gazzetta.it/calcio/fantanews/04-08-2026/sassuolo-fantacalcio-2026-27-titolari-rigorista-sorprese-consigli-su-chi-prendere.shtml" TargetMode="External"/><Relationship Id="rId38" Type="http://schemas.openxmlformats.org/officeDocument/2006/relationships/hyperlink" Target="https://www.gazzetta.it/calcio/giocatori/kenan-yildiz/547103/" TargetMode="External"/><Relationship Id="rId39" Type="http://schemas.openxmlformats.org/officeDocument/2006/relationships/hyperlink" Target="https://www.fantacalcio.it/serie-a/squadre/juventus/yildiz/6434/2026-27/italia" TargetMode="External"/><Relationship Id="rId40" Type="http://schemas.openxmlformats.org/officeDocument/2006/relationships/hyperlink" Target="https://www.gazzetta.it/calcio/fantanews/03-08-2026/juve-al-fantacalcio-2026-27-titolari-rigorista-sorprese-consigli-su-chi-prendere.shtml" TargetMode="External"/><Relationship Id="rId41" Type="http://schemas.openxmlformats.org/officeDocument/2006/relationships/hyperlink" Target="https://www.gazzetta.it/calcio/giocatori/tasos-douvikas/433634/" TargetMode="External"/><Relationship Id="rId42" Type="http://schemas.openxmlformats.org/officeDocument/2006/relationships/hyperlink" Target="https://www.fantacalcio.it/serie-a/squadre/como/douvikas/7017/2026-27/italia" TargetMode="External"/><Relationship Id="rId43" Type="http://schemas.openxmlformats.org/officeDocument/2006/relationships/hyperlink" Target="https://www.gazzetta.it/calcio/fantanews/04-08-2026/como-fantacalcio-2026-27-titolari-rigorista-sorprese-consigli-su-chi-prendere.shtml" TargetMode="External"/><Relationship Id="rId44" Type="http://schemas.openxmlformats.org/officeDocument/2006/relationships/hyperlink" Target="https://www.gazzetta.it/calcio/giocatori/andrea-pinamonti/216040/" TargetMode="External"/><Relationship Id="rId45" Type="http://schemas.openxmlformats.org/officeDocument/2006/relationships/hyperlink" Target="https://www.fantacalcio.it/serie-a/squadre/lazio/pinamonti/2038/2026-27/italia" TargetMode="External"/><Relationship Id="rId46" Type="http://schemas.openxmlformats.org/officeDocument/2006/relationships/hyperlink" Target="https://www.gazzetta.it/calcio/fantanews/02-08-2026/lazio-al-fantacalcio-2026-27-titolari-rigorista-sorprese-e-consigli-su-chi-prendere.shtml" TargetMode="External"/><Relationship Id="rId47" Type="http://schemas.openxmlformats.org/officeDocument/2006/relationships/hyperlink" Target="https://www.gazzetta.it/calcio/giocatori/che-adams/200439/" TargetMode="External"/><Relationship Id="rId48" Type="http://schemas.openxmlformats.org/officeDocument/2006/relationships/hyperlink" Target="https://www.fantacalcio.it/serie-a/squadre/torino/adams-c/6646/2026-27/italia" TargetMode="External"/><Relationship Id="rId49" Type="http://schemas.openxmlformats.org/officeDocument/2006/relationships/hyperlink" Target="https://www.gazzetta.it/calcio/fantanews/03-08-2026/torino-fantacalcio-2026-27-titolari-rigorista-sorprese-consigli-su-chi-prendere.shtml" TargetMode="External"/><Relationship Id="rId50" Type="http://schemas.openxmlformats.org/officeDocument/2006/relationships/hyperlink" Target="https://www.gazzetta.it/calcio/giocatori/nikola-krstovic/233723/" TargetMode="External"/><Relationship Id="rId51" Type="http://schemas.openxmlformats.org/officeDocument/2006/relationships/hyperlink" Target="https://www.fantacalcio.it/serie-a/squadre/atalanta/krstovic/6435/2026-27/italia" TargetMode="External"/><Relationship Id="rId52" Type="http://schemas.openxmlformats.org/officeDocument/2006/relationships/hyperlink" Target="https://www.gazzetta.it/calcio/fantanews/02-08-2026/atalanta-fantacalcio-2026-27-titolari-rigorista-sorprese-consigli-su-chi-prendere.shtml" TargetMode="External"/><Relationship Id="rId53" Type="http://schemas.openxmlformats.org/officeDocument/2006/relationships/hyperlink" Target="https://www.fantacalcio.it/serie-a/squadre/juventus/woltemade/6752/2026-27/italia" TargetMode="External"/><Relationship Id="rId54" Type="http://schemas.openxmlformats.org/officeDocument/2006/relationships/hyperlink" Target="https://www.gazzetta.it/calcio/fantanews/03-08-2026/juve-al-fantacalcio-2026-27-titolari-rigorista-sorprese-consigli-su-chi-prendere.shtml" TargetMode="External"/><Relationship Id="rId55" Type="http://schemas.openxmlformats.org/officeDocument/2006/relationships/hyperlink" Target="https://www.gazzetta.it/calcio/giocatori/lorenzo-colombo/450025/" TargetMode="External"/><Relationship Id="rId56" Type="http://schemas.openxmlformats.org/officeDocument/2006/relationships/hyperlink" Target="https://www.fantacalcio.it/serie-a/squadre/genoa/colombo/4923/2026-27/italia" TargetMode="External"/><Relationship Id="rId57" Type="http://schemas.openxmlformats.org/officeDocument/2006/relationships/hyperlink" Target="https://www.gazzetta.it/calcio/fantanews/04-08-2026/genoa-al-fantacalcio-2026-27-titolari-rigorista-sorprese-consigli-su-chi-prendere.shtml" TargetMode="External"/><Relationship Id="rId58" Type="http://schemas.openxmlformats.org/officeDocument/2006/relationships/hyperlink" Target="https://www.gazzetta.it/calcio/giocatori/santiago-castro/536690/" TargetMode="External"/><Relationship Id="rId59" Type="http://schemas.openxmlformats.org/officeDocument/2006/relationships/hyperlink" Target="https://www.fantacalcio.it/serie-a/squadre/roma/castro-s/6572/2026-27/italia" TargetMode="External"/><Relationship Id="rId60" Type="http://schemas.openxmlformats.org/officeDocument/2006/relationships/hyperlink" Target="https://www.gazzetta.it/calcio/fantanews/03-08-2026/roma-al-fantacalcio-2026-27-titolari-rigorista-sorprese-consigli-su-chi-prendere.shtml" TargetMode="External"/><Relationship Id="rId61" Type="http://schemas.openxmlformats.org/officeDocument/2006/relationships/hyperlink" Target="https://www.gazzetta.it/calcio/giocatori/charles-de-ketelaere/465716/" TargetMode="External"/><Relationship Id="rId62" Type="http://schemas.openxmlformats.org/officeDocument/2006/relationships/hyperlink" Target="https://www.fantacalcio.it/serie-a/squadre/atalanta/de-ketelaere/5995/2026-27/italia" TargetMode="External"/><Relationship Id="rId63" Type="http://schemas.openxmlformats.org/officeDocument/2006/relationships/hyperlink" Target="https://www.gazzetta.it/calcio/fantanews/02-08-2026/atalanta-fantacalcio-2026-27-titolari-rigorista-sorprese-consigli-su-chi-prendere.shtml" TargetMode="External"/><Relationship Id="rId64" Type="http://schemas.openxmlformats.org/officeDocument/2006/relationships/hyperlink" Target="https://www.gazzetta.it/calcio/giocatori/matias-soule/511505/" TargetMode="External"/><Relationship Id="rId65" Type="http://schemas.openxmlformats.org/officeDocument/2006/relationships/hyperlink" Target="https://www.fantacalcio.it/serie-a/squadre/roma/soul%C3%A8/5734/2026-27/italia" TargetMode="External"/><Relationship Id="rId66" Type="http://schemas.openxmlformats.org/officeDocument/2006/relationships/hyperlink" Target="https://www.gazzetta.it/calcio/fantanews/03-08-2026/roma-al-fantacalcio-2026-27-titolari-rigorista-sorprese-consigli-su-chi-prendere.shtml" TargetMode="External"/><Relationship Id="rId67" Type="http://schemas.openxmlformats.org/officeDocument/2006/relationships/hyperlink" Target="https://www.gazzetta.it/calcio/giocatori/sebastiano-esposito/465661/" TargetMode="External"/><Relationship Id="rId68" Type="http://schemas.openxmlformats.org/officeDocument/2006/relationships/hyperlink" Target="https://www.fantacalcio.it/serie-a/squadre/sassuolo/esposito-se/4463/2026-27/italia" TargetMode="External"/><Relationship Id="rId69" Type="http://schemas.openxmlformats.org/officeDocument/2006/relationships/hyperlink" Target="https://www.gazzetta.it/calcio/fantanews/04-08-2026/sassuolo-fantacalcio-2026-27-titolari-rigorista-sorprese-consigli-su-chi-prendere.shtml" TargetMode="External"/><Relationship Id="rId70" Type="http://schemas.openxmlformats.org/officeDocument/2006/relationships/hyperlink" Target="https://www.fantacalcio.it/serie-a/squadre/fiorentina/beto/5694/2026-27/italia" TargetMode="External"/><Relationship Id="rId71" Type="http://schemas.openxmlformats.org/officeDocument/2006/relationships/hyperlink" Target="https://www.gazzetta.it/calcio/fantanews/02-08-2026/fiorentina-fantacalcio-2026-27-titolari-rigorista-sorprese-consigli-su-chi-prendere.shtml" TargetMode="External"/><Relationship Id="rId72" Type="http://schemas.openxmlformats.org/officeDocument/2006/relationships/hyperlink" Target="https://www.gazzetta.it/calcio/giocatori/jonathan-rowe/483365/" TargetMode="External"/><Relationship Id="rId73" Type="http://schemas.openxmlformats.org/officeDocument/2006/relationships/hyperlink" Target="https://www.fantacalcio.it/serie-a/squadre/atalanta/rowe/6844/2026-27/italia" TargetMode="External"/><Relationship Id="rId74" Type="http://schemas.openxmlformats.org/officeDocument/2006/relationships/hyperlink" Target="https://www.gazzetta.it/calcio/fantanews/02-08-2026/atalanta-fantacalcio-2026-27-titolari-rigorista-sorprese-consigli-su-chi-prendere.shtml" TargetMode="External"/><Relationship Id="rId75" Type="http://schemas.openxmlformats.org/officeDocument/2006/relationships/hyperlink" Target="https://www.gazzetta.it/calcio/giocatori/vitinha/522479/" TargetMode="External"/><Relationship Id="rId76" Type="http://schemas.openxmlformats.org/officeDocument/2006/relationships/hyperlink" Target="https://www.fantacalcio.it/serie-a/squadre/genoa/vitinha-o/6164/2026-27/italia" TargetMode="External"/><Relationship Id="rId77" Type="http://schemas.openxmlformats.org/officeDocument/2006/relationships/hyperlink" Target="https://www.gazzetta.it/calcio/fantanews/04-08-2026/genoa-al-fantacalcio-2026-27-titolari-rigorista-sorprese-consigli-su-chi-prendere.shtml" TargetMode="External"/><Relationship Id="rId78" Type="http://schemas.openxmlformats.org/officeDocument/2006/relationships/hyperlink" Target="https://www.gazzetta.it/calcio/giocatori/assane-diao/624877/" TargetMode="External"/><Relationship Id="rId79" Type="http://schemas.openxmlformats.org/officeDocument/2006/relationships/hyperlink" Target="https://www.fantacalcio.it/serie-a/squadre/como/diao/6967/2026-27/italia" TargetMode="External"/><Relationship Id="rId80" Type="http://schemas.openxmlformats.org/officeDocument/2006/relationships/hyperlink" Target="https://www.gazzetta.it/calcio/fantanews/04-08-2026/como-fantacalcio-2026-27-titolari-rigorista-sorprese-consigli-su-chi-prendere.shtml" TargetMode="External"/><Relationship Id="rId81" Type="http://schemas.openxmlformats.org/officeDocument/2006/relationships/hyperlink" Target="https://www.gazzetta.it/calcio/giocatori/francesco-pio-esposito/551444/" TargetMode="External"/><Relationship Id="rId82" Type="http://schemas.openxmlformats.org/officeDocument/2006/relationships/hyperlink" Target="https://www.fantacalcio.it/serie-a/squadre/inter/esposito-f-p/7071/2026-27/italia" TargetMode="External"/><Relationship Id="rId83" Type="http://schemas.openxmlformats.org/officeDocument/2006/relationships/hyperlink" Target="https://www.gazzetta.it/calcio/fantanews/05-08-2026/inter-al-fantacalcio-2026-27-titolari-rigorista-sorprese-consigli-su-chi-prendere.shtml" TargetMode="External"/><Relationship Id="rId84" Type="http://schemas.openxmlformats.org/officeDocument/2006/relationships/hyperlink" Target="https://www.gazzetta.it/calcio/giocatori/mateo-pellegrino/524463/" TargetMode="External"/><Relationship Id="rId85" Type="http://schemas.openxmlformats.org/officeDocument/2006/relationships/hyperlink" Target="https://www.fantacalcio.it/serie-a/squadre/fiorentina/pellegrino-m/7023/2026-27/italia" TargetMode="External"/><Relationship Id="rId86" Type="http://schemas.openxmlformats.org/officeDocument/2006/relationships/hyperlink" Target="https://www.gazzetta.it/calcio/fantanews/02-08-2026/fiorentina-fantacalcio-2026-27-titolari-rigorista-sorprese-consigli-su-chi-prendere.shtml" TargetMode="External"/><Relationship Id="rId87" Type="http://schemas.openxmlformats.org/officeDocument/2006/relationships/hyperlink" Target="https://www.gazzetta.it/calcio/giocatori/gustav-isaksen/449896/" TargetMode="External"/><Relationship Id="rId88" Type="http://schemas.openxmlformats.org/officeDocument/2006/relationships/hyperlink" Target="https://www.fantacalcio.it/serie-a/squadre/lazio/isaksen/6398/2026-27/italia" TargetMode="External"/><Relationship Id="rId89" Type="http://schemas.openxmlformats.org/officeDocument/2006/relationships/hyperlink" Target="https://www.gazzetta.it/calcio/fantanews/02-08-2026/lazio-al-fantacalcio-2026-27-titolari-rigorista-sorprese-e-consigli-su-chi-prendere.shtml" TargetMode="External"/><Relationship Id="rId90" Type="http://schemas.openxmlformats.org/officeDocument/2006/relationships/hyperlink" Target="https://www.fantacalcio.it/serie-a/squadre/frosinone/raimondo/5436/2026-27/italia" TargetMode="External"/><Relationship Id="rId91" Type="http://schemas.openxmlformats.org/officeDocument/2006/relationships/hyperlink" Target="https://www.gazzetta.it/calcio/fantanews/02-08-2026/frosinone-al-fantacalcio-2026-27-titolari-rigorista-sorprese-e-consigli-su-chi-prendere.shtml" TargetMode="External"/><Relationship Id="rId92" Type="http://schemas.openxmlformats.org/officeDocument/2006/relationships/hyperlink" Target="https://www.gazzetta.it/calcio/giocatori/nicolo-cambiaghi/483264/" TargetMode="External"/><Relationship Id="rId93" Type="http://schemas.openxmlformats.org/officeDocument/2006/relationships/hyperlink" Target="https://www.fantacalcio.it/serie-a/squadre/bologna/cambiaghi/4436/2026-27/italia" TargetMode="External"/><Relationship Id="rId94" Type="http://schemas.openxmlformats.org/officeDocument/2006/relationships/hyperlink" Target="https://www.gazzetta.it/calcio/fantanews/03-08-2026/bologna-fantacalcio-2026-27-titolari-rigorista-sorprese-consigli-su-chi-prendere.shtml" TargetMode="External"/><Relationship Id="rId95" Type="http://schemas.openxmlformats.org/officeDocument/2006/relationships/hyperlink" Target="https://www.gazzetta.it/calcio/giocatori/roberto-piccoli/226267/" TargetMode="External"/><Relationship Id="rId96" Type="http://schemas.openxmlformats.org/officeDocument/2006/relationships/hyperlink" Target="https://www.fantacalcio.it/serie-a/squadre/bologna/piccoli/4359/2026-27/italia" TargetMode="External"/><Relationship Id="rId97" Type="http://schemas.openxmlformats.org/officeDocument/2006/relationships/hyperlink" Target="https://www.gazzetta.it/calcio/fantanews/03-08-2026/bologna-fantacalcio-2026-27-titolari-rigorista-sorprese-consigli-su-chi-prendere.shtml" TargetMode="External"/><Relationship Id="rId98" Type="http://schemas.openxmlformats.org/officeDocument/2006/relationships/hyperlink" Target="https://www.gazzetta.it/calcio/giocatori/giacomo-raspadori/446969/" TargetMode="External"/><Relationship Id="rId99" Type="http://schemas.openxmlformats.org/officeDocument/2006/relationships/hyperlink" Target="https://www.fantacalcio.it/serie-a/squadre/atalanta/raspadori/4371/2026-27/italia" TargetMode="External"/><Relationship Id="rId100" Type="http://schemas.openxmlformats.org/officeDocument/2006/relationships/hyperlink" Target="https://www.gazzetta.it/calcio/fantanews/02-08-2026/atalanta-fantacalcio-2026-27-titolari-rigorista-sorprese-consigli-su-chi-prendere.shtml" TargetMode="External"/><Relationship Id="rId101" Type="http://schemas.openxmlformats.org/officeDocument/2006/relationships/hyperlink" Target="https://www.fantacalcio.it/serie-a/squadre/venezia/yeboah-j/6904/2026-27/italia" TargetMode="External"/><Relationship Id="rId102" Type="http://schemas.openxmlformats.org/officeDocument/2006/relationships/hyperlink" Target="https://www.gazzetta.it/calcio/fantanews/04-08-2026/venezia-al-fantacalcio-2026-27-titolari-rigorista-sorprese-consigli-su-chi-prendere.shtml" TargetMode="External"/><Relationship Id="rId103" Type="http://schemas.openxmlformats.org/officeDocument/2006/relationships/hyperlink" Target="https://www.gazzetta.it/calcio/giocatori/david-neres/235887/" TargetMode="External"/><Relationship Id="rId104" Type="http://schemas.openxmlformats.org/officeDocument/2006/relationships/hyperlink" Target="https://www.fantacalcio.it/serie-a/squadre/napoli/neres/6831/2026-27/italia" TargetMode="External"/><Relationship Id="rId105" Type="http://schemas.openxmlformats.org/officeDocument/2006/relationships/hyperlink" Target="https://www.gazzetta.it/calcio/fantanews/02-08-2026/napoli-fantacalcio-2026-27-titolari-rigorista-sorprese-consigli-su-chi-prendere.shtml" TargetMode="External"/><Relationship Id="rId106" Type="http://schemas.openxmlformats.org/officeDocument/2006/relationships/hyperlink" Target="https://www.gazzetta.it/calcio/giocatori/jeremie-boga/135365/" TargetMode="External"/><Relationship Id="rId107" Type="http://schemas.openxmlformats.org/officeDocument/2006/relationships/hyperlink" Target="https://www.fantacalcio.it/serie-a/squadre/juventus/boga/2832/2026-27/italia" TargetMode="External"/><Relationship Id="rId108" Type="http://schemas.openxmlformats.org/officeDocument/2006/relationships/hyperlink" Target="https://www.gazzetta.it/calcio/fantanews/03-08-2026/juve-al-fantacalcio-2026-27-titolari-rigorista-sorprese-consigli-su-chi-prendere.shtml" TargetMode="External"/><Relationship Id="rId109" Type="http://schemas.openxmlformats.org/officeDocument/2006/relationships/hyperlink" Target="https://www.gazzetta.it/calcio/giocatori/duvan-zapata/103086/" TargetMode="External"/><Relationship Id="rId110" Type="http://schemas.openxmlformats.org/officeDocument/2006/relationships/hyperlink" Target="https://www.fantacalcio.it/serie-a/squadre/torino/zapata-d/608/2026-27/italia" TargetMode="External"/><Relationship Id="rId111" Type="http://schemas.openxmlformats.org/officeDocument/2006/relationships/hyperlink" Target="https://www.gazzetta.it/calcio/fantanews/03-08-2026/torino-fantacalcio-2026-27-titolari-rigorista-sorprese-consigli-su-chi-prendere.shtml" TargetMode="External"/><Relationship Id="rId112" Type="http://schemas.openxmlformats.org/officeDocument/2006/relationships/hyperlink" Target="https://www.gazzetta.it/calcio/giocatori/jesus-rodriguez/638374/" TargetMode="External"/><Relationship Id="rId113" Type="http://schemas.openxmlformats.org/officeDocument/2006/relationships/hyperlink" Target="https://www.fantacalcio.it/serie-a/squadre/como/rodriguez-je/7129/2026-27/italia" TargetMode="External"/><Relationship Id="rId114" Type="http://schemas.openxmlformats.org/officeDocument/2006/relationships/hyperlink" Target="https://www.gazzetta.it/calcio/fantanews/04-08-2026/como-fantacalcio-2026-27-titolari-rigorista-sorprese-consigli-su-chi-prendere.shtml" TargetMode="External"/><Relationship Id="rId115" Type="http://schemas.openxmlformats.org/officeDocument/2006/relationships/hyperlink" Target="https://www.gazzetta.it/calcio/giocatori/ange-yoann-bonny/518531/" TargetMode="External"/><Relationship Id="rId116" Type="http://schemas.openxmlformats.org/officeDocument/2006/relationships/hyperlink" Target="https://www.fantacalcio.it/serie-a/squadre/inter/bonny/6669/2026-27/italia" TargetMode="External"/><Relationship Id="rId117" Type="http://schemas.openxmlformats.org/officeDocument/2006/relationships/hyperlink" Target="https://www.gazzetta.it/calcio/fantanews/05-08-2026/inter-al-fantacalcio-2026-27-titolari-rigorista-sorprese-consigli-su-chi-prendere.shtml" TargetMode="External"/><Relationship Id="rId118" Type="http://schemas.openxmlformats.org/officeDocument/2006/relationships/hyperlink" Target="https://www.gazzetta.it/calcio/giocatori/noa-lang/421002/" TargetMode="External"/><Relationship Id="rId119" Type="http://schemas.openxmlformats.org/officeDocument/2006/relationships/hyperlink" Target="https://www.fantacalcio.it/serie-a/squadre/napoli/lang/7120/2026-27/italia" TargetMode="External"/><Relationship Id="rId120" Type="http://schemas.openxmlformats.org/officeDocument/2006/relationships/hyperlink" Target="https://www.gazzetta.it/calcio/fantanews/02-08-2026/napoli-fantacalcio-2026-27-titolari-rigorista-sorprese-consigli-su-chi-prendere.shtml" TargetMode="External"/><Relationship Id="rId121" Type="http://schemas.openxmlformats.org/officeDocument/2006/relationships/hyperlink" Target="https://www.gazzetta.it/calcio/giocatori/nikola-stulic/509685/" TargetMode="External"/><Relationship Id="rId122" Type="http://schemas.openxmlformats.org/officeDocument/2006/relationships/hyperlink" Target="https://www.fantacalcio.it/serie-a/squadre/lecce/stulic/7252/2026-27/italia" TargetMode="External"/><Relationship Id="rId123" Type="http://schemas.openxmlformats.org/officeDocument/2006/relationships/hyperlink" Target="https://www.gazzetta.it/calcio/fantanews/04-08-2026/lecce-fantacalcio-2026-27-titolari-rigorista-sorprese-consigli-su-chi-prendere.shtml" TargetMode="External"/><Relationship Id="rId124" Type="http://schemas.openxmlformats.org/officeDocument/2006/relationships/hyperlink" Target="https://www.fantacalcio.it/serie-a/squadre/juventus/alajbegovic/7436/2026-27/italia" TargetMode="External"/><Relationship Id="rId125" Type="http://schemas.openxmlformats.org/officeDocument/2006/relationships/hyperlink" Target="https://www.gazzetta.it/calcio/fantanews/03-08-2026/juve-al-fantacalcio-2026-27-titolari-rigorista-sorprese-consigli-su-chi-prendere.shtml" TargetMode="External"/><Relationship Id="rId126" Type="http://schemas.openxmlformats.org/officeDocument/2006/relationships/hyperlink" Target="https://www.gazzetta.it/calcio/giocatori/kieron-bowie/470692/" TargetMode="External"/><Relationship Id="rId127" Type="http://schemas.openxmlformats.org/officeDocument/2006/relationships/hyperlink" Target="https://www.fantacalcio.it/serie-a/squadre/sassuolo/bowie/7347/2026-27/italia" TargetMode="External"/><Relationship Id="rId128" Type="http://schemas.openxmlformats.org/officeDocument/2006/relationships/hyperlink" Target="https://www.gazzetta.it/calcio/fantanews/04-08-2026/sassuolo-fantacalcio-2026-27-titolari-rigorista-sorprese-consigli-su-chi-prendere.shtml" TargetMode="External"/><Relationship Id="rId129" Type="http://schemas.openxmlformats.org/officeDocument/2006/relationships/hyperlink" Target="https://www.gazzetta.it/calcio/giocatori/patrick-cutrone/209353/" TargetMode="External"/><Relationship Id="rId130" Type="http://schemas.openxmlformats.org/officeDocument/2006/relationships/hyperlink" Target="https://www.fantacalcio.it/serie-a/squadre/monza/cutrone/2155/2026-27/italia" TargetMode="External"/><Relationship Id="rId131" Type="http://schemas.openxmlformats.org/officeDocument/2006/relationships/hyperlink" Target="https://www.gazzetta.it/calcio/fantanews/05-08-2026/monza-al-fantacalcio-2026-27-titolari-rigorista-sorprese-consigli-su-chi-prendere.shtml" TargetMode="External"/><Relationship Id="rId132" Type="http://schemas.openxmlformats.org/officeDocument/2006/relationships/hyperlink" Target="https://www.fantacalcio.it/serie-a/squadre/monza/varela-g/7523/2026-27/italia" TargetMode="External"/><Relationship Id="rId133" Type="http://schemas.openxmlformats.org/officeDocument/2006/relationships/hyperlink" Target="https://www.gazzetta.it/calcio/fantanews/05-08-2026/monza-al-fantacalcio-2026-27-titolari-rigorista-sorprese-consigli-su-chi-prendere.shtml" TargetMode="External"/><Relationship Id="rId134" Type="http://schemas.openxmlformats.org/officeDocument/2006/relationships/hyperlink" Target="https://www.gazzetta.it/calcio/giocatori/alieu-njie/629450/" TargetMode="External"/><Relationship Id="rId135" Type="http://schemas.openxmlformats.org/officeDocument/2006/relationships/hyperlink" Target="https://www.fantacalcio.it/serie-a/squadre/fiorentina/njie/6827/2026-27/italia" TargetMode="External"/><Relationship Id="rId136" Type="http://schemas.openxmlformats.org/officeDocument/2006/relationships/hyperlink" Target="https://www.gazzetta.it/calcio/fantanews/02-08-2026/fiorentina-fantacalcio-2026-27-titolari-rigorista-sorprese-consigli-su-chi-prendere.shtml" TargetMode="External"/><Relationship Id="rId137" Type="http://schemas.openxmlformats.org/officeDocument/2006/relationships/hyperlink" Target="https://www.gazzetta.it/calcio/giocatori/lorenzo-lucca/469130/" TargetMode="External"/><Relationship Id="rId138" Type="http://schemas.openxmlformats.org/officeDocument/2006/relationships/hyperlink" Target="https://www.fantacalcio.it/serie-a/squadre/napoli/lucca/6215/2026-27/italia" TargetMode="External"/><Relationship Id="rId139" Type="http://schemas.openxmlformats.org/officeDocument/2006/relationships/hyperlink" Target="https://www.gazzetta.it/calcio/fantanews/02-08-2026/napoli-fantacalcio-2026-27-titolari-rigorista-sorprese-consigli-su-chi-prendere.shtml" TargetMode="External"/><Relationship Id="rId140" Type="http://schemas.openxmlformats.org/officeDocument/2006/relationships/hyperlink" Target="https://www.gazzetta.it/calcio/giocatori/gennaro-borrelli/480374/" TargetMode="External"/><Relationship Id="rId141" Type="http://schemas.openxmlformats.org/officeDocument/2006/relationships/hyperlink" Target="https://www.fantacalcio.it/serie-a/squadre/cagliari/borrelli/6243/2026-27/italia" TargetMode="External"/><Relationship Id="rId142" Type="http://schemas.openxmlformats.org/officeDocument/2006/relationships/hyperlink" Target="https://www.gazzetta.it/calcio/fantanews/04-08-2026/cagliari-fantacalcio-2026-27-titolari-rigorista-sorprese-consigli-su-chi-prendere.shtml" TargetMode="External"/><Relationship Id="rId143" Type="http://schemas.openxmlformats.org/officeDocument/2006/relationships/hyperlink" Target="https://www.fantacalcio.it/serie-a/squadre/frosinone/ghedjemis/6530/2026-27/italia" TargetMode="External"/><Relationship Id="rId144" Type="http://schemas.openxmlformats.org/officeDocument/2006/relationships/hyperlink" Target="https://www.gazzetta.it/calcio/fantanews/02-08-2026/frosinone-al-fantacalcio-2026-27-titolari-rigorista-sorprese-e-consigli-su-chi-prendere.shtml" TargetMode="External"/><Relationship Id="rId145" Type="http://schemas.openxmlformats.org/officeDocument/2006/relationships/hyperlink" Target="https://www.fantacalcio.it/serie-a/squadre/fiorentina/gnonto/7623/2026-27/italia" TargetMode="External"/><Relationship Id="rId146" Type="http://schemas.openxmlformats.org/officeDocument/2006/relationships/hyperlink" Target="https://www.gazzetta.it/calcio/fantanews/02-08-2026/fiorentina-fantacalcio-2026-27-titolari-rigorista-sorprese-consigli-su-chi-prendere.shtml" TargetMode="External"/><Relationship Id="rId147" Type="http://schemas.openxmlformats.org/officeDocument/2006/relationships/hyperlink" Target="https://www.fantacalcio.it/serie-a/squadre/parma/romero-d/7554/2026-27/italia" TargetMode="External"/><Relationship Id="rId148" Type="http://schemas.openxmlformats.org/officeDocument/2006/relationships/hyperlink" Target="https://www.gazzetta.it/calcio/fantanews/03-08-2026/parma-al-fantacalcio-2026-27-titolari-rigorista-sorprese-consigli-su-chi-prendere.shtml" TargetMode="External"/><Relationship Id="rId149" Type="http://schemas.openxmlformats.org/officeDocument/2006/relationships/hyperlink" Target="https://www.fantacalcio.it/serie-a/squadre/venezia/adams-a/7484/2026-27/italia" TargetMode="External"/><Relationship Id="rId150" Type="http://schemas.openxmlformats.org/officeDocument/2006/relationships/hyperlink" Target="https://www.gazzetta.it/calcio/fantanews/04-08-2026/venezia-al-fantacalcio-2026-27-titolari-rigorista-sorprese-consigli-su-chi-prendere.shtml" TargetMode="External"/><Relationship Id="rId151" Type="http://schemas.openxmlformats.org/officeDocument/2006/relationships/hyperlink" Target="https://www.gazzetta.it/calcio/giocatori/tijjani-noslin/544865/" TargetMode="External"/><Relationship Id="rId152" Type="http://schemas.openxmlformats.org/officeDocument/2006/relationships/hyperlink" Target="https://www.fantacalcio.it/serie-a/squadre/lazio/noslin/6556/2026-27/italia" TargetMode="External"/><Relationship Id="rId153" Type="http://schemas.openxmlformats.org/officeDocument/2006/relationships/hyperlink" Target="https://www.gazzetta.it/calcio/fantanews/02-08-2026/lazio-al-fantacalcio-2026-27-titolari-rigorista-sorprese-e-consigli-su-chi-prendere.shtml" TargetMode="External"/><Relationship Id="rId154" Type="http://schemas.openxmlformats.org/officeDocument/2006/relationships/hyperlink" Target="https://www.gazzetta.it/calcio/giocatori/artem-dovbyk/213294/" TargetMode="External"/><Relationship Id="rId155" Type="http://schemas.openxmlformats.org/officeDocument/2006/relationships/hyperlink" Target="https://www.fantacalcio.it/serie-a/squadre/bologna/dovbyk/6675/2026-27/italia" TargetMode="External"/><Relationship Id="rId156" Type="http://schemas.openxmlformats.org/officeDocument/2006/relationships/hyperlink" Target="https://www.gazzetta.it/calcio/fantanews/03-08-2026/bologna-fantacalcio-2026-27-titolari-rigorista-sorprese-consigli-su-chi-prendere.shtml" TargetMode="External"/><Relationship Id="rId157" Type="http://schemas.openxmlformats.org/officeDocument/2006/relationships/hyperlink" Target="https://www.gazzetta.it/calcio/giocatori/nesta-elphege/617559/" TargetMode="External"/><Relationship Id="rId158" Type="http://schemas.openxmlformats.org/officeDocument/2006/relationships/hyperlink" Target="https://www.fantacalcio.it/serie-a/squadre/parma/elphege/7342/2026-27/italia" TargetMode="External"/><Relationship Id="rId159" Type="http://schemas.openxmlformats.org/officeDocument/2006/relationships/hyperlink" Target="https://www.gazzetta.it/calcio/fantanews/03-08-2026/parma-al-fantacalcio-2026-27-titolari-rigorista-sorprese-consigli-su-chi-prendere.shtml" TargetMode="External"/><Relationship Id="rId160" Type="http://schemas.openxmlformats.org/officeDocument/2006/relationships/hyperlink" Target="https://www.fantacalcio.it/serie-a/squadre/frosinone/kvernadze/6204/2026-27/italia" TargetMode="External"/><Relationship Id="rId161" Type="http://schemas.openxmlformats.org/officeDocument/2006/relationships/hyperlink" Target="https://www.gazzetta.it/calcio/fantanews/02-08-2026/frosinone-al-fantacalcio-2026-27-titolari-rigorista-sorprese-e-consigli-su-chi-prendere.shtml" TargetMode="External"/><Relationship Id="rId162" Type="http://schemas.openxmlformats.org/officeDocument/2006/relationships/hyperlink" Target="https://www.gazzetta.it/calcio/giocatori/nico-gonzalez/231004/" TargetMode="External"/><Relationship Id="rId163" Type="http://schemas.openxmlformats.org/officeDocument/2006/relationships/hyperlink" Target="https://www.fantacalcio.it/serie-a/squadre/juventus/gonzalez-n/4179/2026-27/italia" TargetMode="External"/><Relationship Id="rId164" Type="http://schemas.openxmlformats.org/officeDocument/2006/relationships/hyperlink" Target="https://www.gazzetta.it/calcio/fantanews/03-08-2026/juve-al-fantacalcio-2026-27-titolari-rigorista-sorprese-consigli-su-chi-prendere.shtml" TargetMode="External"/><Relationship Id="rId165" Type="http://schemas.openxmlformats.org/officeDocument/2006/relationships/hyperlink" Target="https://www.gazzetta.it/calcio/giocatori/do-nascimiento-giovane/576812/" TargetMode="External"/><Relationship Id="rId166" Type="http://schemas.openxmlformats.org/officeDocument/2006/relationships/hyperlink" Target="https://www.fantacalcio.it/serie-a/squadre/napoli/giovane/7162/2026-27/italia" TargetMode="External"/><Relationship Id="rId167" Type="http://schemas.openxmlformats.org/officeDocument/2006/relationships/hyperlink" Target="https://www.gazzetta.it/calcio/fantanews/02-08-2026/napoli-fantacalcio-2026-27-titolari-rigorista-sorprese-consigli-su-chi-prendere.shtml" TargetMode="External"/><Relationship Id="rId168" Type="http://schemas.openxmlformats.org/officeDocument/2006/relationships/hyperlink" Target="https://www.gazzetta.it/calcio/giocatori/cyril-ngonge/465199/" TargetMode="External"/><Relationship Id="rId169" Type="http://schemas.openxmlformats.org/officeDocument/2006/relationships/hyperlink" Target="https://www.fantacalcio.it/serie-a/squadre/monza/ngonge/6145/2026-27/italia" TargetMode="External"/><Relationship Id="rId170" Type="http://schemas.openxmlformats.org/officeDocument/2006/relationships/hyperlink" Target="https://www.gazzetta.it/calcio/fantanews/05-08-2026/monza-al-fantacalcio-2026-27-titolari-rigorista-sorprese-consigli-su-chi-prendere.shtml" TargetMode="External"/><Relationship Id="rId171" Type="http://schemas.openxmlformats.org/officeDocument/2006/relationships/hyperlink" Target="https://www.fantacalcio.it/serie-a/squadre/venezia/adorante/4387/2026-27/italia" TargetMode="External"/><Relationship Id="rId172" Type="http://schemas.openxmlformats.org/officeDocument/2006/relationships/hyperlink" Target="https://www.gazzetta.it/calcio/fantanews/04-08-2026/venezia-al-fantacalcio-2026-27-titolari-rigorista-sorprese-consigli-su-chi-prendere.shtml" TargetMode="External"/><Relationship Id="rId173" Type="http://schemas.openxmlformats.org/officeDocument/2006/relationships/hyperlink" Target="https://www.gazzetta.it/calcio/giocatori/el-bilal-toure/476489/" TargetMode="External"/><Relationship Id="rId174" Type="http://schemas.openxmlformats.org/officeDocument/2006/relationships/hyperlink" Target="https://www.fantacalcio.it/serie-a/squadre/parma/tour%C3%A8-e/6229/2026-27/italia" TargetMode="External"/><Relationship Id="rId175" Type="http://schemas.openxmlformats.org/officeDocument/2006/relationships/hyperlink" Target="https://www.gazzetta.it/calcio/fantanews/03-08-2026/parma-al-fantacalcio-2026-27-titolari-rigorista-sorprese-consigli-su-chi-prendere.shtml" TargetMode="External"/><Relationship Id="rId176" Type="http://schemas.openxmlformats.org/officeDocument/2006/relationships/hyperlink" Target="https://www.gazzetta.it/calcio/giocatori/matteo-cancellieri/466149/" TargetMode="External"/><Relationship Id="rId177" Type="http://schemas.openxmlformats.org/officeDocument/2006/relationships/hyperlink" Target="https://www.fantacalcio.it/serie-a/squadre/lazio/cancellieri/5500/2026-27/italia" TargetMode="External"/><Relationship Id="rId178" Type="http://schemas.openxmlformats.org/officeDocument/2006/relationships/hyperlink" Target="https://www.gazzetta.it/calcio/fantanews/02-08-2026/lazio-al-fantacalcio-2026-27-titolari-rigorista-sorprese-e-consigli-su-chi-prendere.shtml" TargetMode="External"/><Relationship Id="rId179" Type="http://schemas.openxmlformats.org/officeDocument/2006/relationships/hyperlink" Target="https://www.fantacalcio.it/serie-a/squadre/monza/mota/5882/2026-27/italia" TargetMode="External"/><Relationship Id="rId180" Type="http://schemas.openxmlformats.org/officeDocument/2006/relationships/hyperlink" Target="https://www.gazzetta.it/calcio/fantanews/05-08-2026/monza-al-fantacalcio-2026-27-titolari-rigorista-sorprese-consigli-su-chi-prendere.shtml" TargetMode="External"/><Relationship Id="rId181" Type="http://schemas.openxmlformats.org/officeDocument/2006/relationships/hyperlink" Target="https://www.gazzetta.it/calcio/giocatori/mbala-nzola/218707/" TargetMode="External"/><Relationship Id="rId182" Type="http://schemas.openxmlformats.org/officeDocument/2006/relationships/hyperlink" Target="https://www.fantacalcio.it/serie-a/squadre/cagliari/nzola/5336/2026-27/italia" TargetMode="External"/><Relationship Id="rId183" Type="http://schemas.openxmlformats.org/officeDocument/2006/relationships/hyperlink" Target="https://www.gazzetta.it/calcio/fantanews/04-08-2026/cagliari-fantacalcio-2026-27-titolari-rigorista-sorprese-consigli-su-chi-prendere.shtml" TargetMode="External"/><Relationship Id="rId184" Type="http://schemas.openxmlformats.org/officeDocument/2006/relationships/hyperlink" Target="https://www.fantacalcio.it/serie-a/squadre/lecce/geubbels/5029/2026-27/italia" TargetMode="External"/><Relationship Id="rId185" Type="http://schemas.openxmlformats.org/officeDocument/2006/relationships/hyperlink" Target="https://www.gazzetta.it/calcio/fantanews/04-08-2026/lecce-fantacalcio-2026-27-titolari-rigorista-sorprese-consigli-su-chi-prendere.shtml" TargetMode="External"/><Relationship Id="rId186" Type="http://schemas.openxmlformats.org/officeDocument/2006/relationships/hyperlink" Target="https://www.fantacalcio.it/serie-a/squadre/frosinone/bobcek/7612/2026-27/italia" TargetMode="External"/><Relationship Id="rId187" Type="http://schemas.openxmlformats.org/officeDocument/2006/relationships/hyperlink" Target="https://www.gazzetta.it/calcio/fantanews/02-08-2026/frosinone-al-fantacalcio-2026-27-titolari-rigorista-sorprese-e-consigli-su-chi-prendere.shtml" TargetMode="External"/><Relationship Id="rId188" Type="http://schemas.openxmlformats.org/officeDocument/2006/relationships/hyperlink" Target="https://www.gazzetta.it/calcio/giocatori/kamaldeen-sulemana/504783/" TargetMode="External"/><Relationship Id="rId189" Type="http://schemas.openxmlformats.org/officeDocument/2006/relationships/hyperlink" Target="https://www.fantacalcio.it/serie-a/squadre/atalanta/sulemana-k/5918/2026-27/italia" TargetMode="External"/><Relationship Id="rId190" Type="http://schemas.openxmlformats.org/officeDocument/2006/relationships/hyperlink" Target="https://www.gazzetta.it/calcio/fantanews/02-08-2026/atalanta-fantacalcio-2026-27-titolari-rigorista-sorprese-consigli-su-chi-prendere.shtml" TargetMode="External"/><Relationship Id="rId191" Type="http://schemas.openxmlformats.org/officeDocument/2006/relationships/hyperlink" Target="https://www.fantacalcio.it/serie-a/squadre/cagliari/kevin-carlos/7547/2026-27/italia" TargetMode="External"/><Relationship Id="rId192" Type="http://schemas.openxmlformats.org/officeDocument/2006/relationships/hyperlink" Target="https://www.gazzetta.it/calcio/fantanews/04-08-2026/cagliari-fantacalcio-2026-27-titolari-rigorista-sorprese-consigli-su-chi-prendere.shtml" TargetMode="External"/><Relationship Id="rId193" Type="http://schemas.openxmlformats.org/officeDocument/2006/relationships/hyperlink" Target="https://www.gazzetta.it/calcio/giocatori/benjamin-dominguez/561201/" TargetMode="External"/><Relationship Id="rId194" Type="http://schemas.openxmlformats.org/officeDocument/2006/relationships/hyperlink" Target="https://www.fantacalcio.it/serie-a/squadre/sassuolo/dominguez-b/6895/2026-27/italia" TargetMode="External"/><Relationship Id="rId195" Type="http://schemas.openxmlformats.org/officeDocument/2006/relationships/hyperlink" Target="https://www.gazzetta.it/calcio/fantanews/04-08-2026/sassuolo-fantacalcio-2026-27-titolari-rigorista-sorprese-consigli-su-chi-prendere.shtml" TargetMode="External"/><Relationship Id="rId196" Type="http://schemas.openxmlformats.org/officeDocument/2006/relationships/hyperlink" Target="https://www.gazzetta.it/calcio/giocatori/konan-ndri/477240/" TargetMode="External"/><Relationship Id="rId197" Type="http://schemas.openxmlformats.org/officeDocument/2006/relationships/hyperlink" Target="https://www.fantacalcio.it/serie-a/squadre/lecce/n-dri/7001/2026-27/italia" TargetMode="External"/><Relationship Id="rId198" Type="http://schemas.openxmlformats.org/officeDocument/2006/relationships/hyperlink" Target="https://www.gazzetta.it/calcio/fantanews/04-08-2026/lecce-fantacalcio-2026-27-titolari-rigorista-sorprese-consigli-su-chi-prendere.shtml" TargetMode="External"/><Relationship Id="rId199" Type="http://schemas.openxmlformats.org/officeDocument/2006/relationships/hyperlink" Target="https://www.gazzetta.it/calcio/giocatori/zakaria-aboukhlal/219263/" TargetMode="External"/><Relationship Id="rId200" Type="http://schemas.openxmlformats.org/officeDocument/2006/relationships/hyperlink" Target="https://www.fantacalcio.it/serie-a/squadre/torino/aboukhlal/7183/2026-27/italia" TargetMode="External"/><Relationship Id="rId201" Type="http://schemas.openxmlformats.org/officeDocument/2006/relationships/hyperlink" Target="https://www.gazzetta.it/calcio/fantanews/03-08-2026/torino-fantacalcio-2026-27-titolari-rigorista-sorprese-consigli-su-chi-prendere.shtml" TargetMode="External"/><Relationship Id="rId202" Type="http://schemas.openxmlformats.org/officeDocument/2006/relationships/hyperlink" Target="https://www.fantacalcio.it/serie-a/squadre/monza/zeballos/7620/2026-27/italia" TargetMode="External"/><Relationship Id="rId203" Type="http://schemas.openxmlformats.org/officeDocument/2006/relationships/hyperlink" Target="https://www.gazzetta.it/calcio/fantanews/05-08-2026/monza-al-fantacalcio-2026-27-titolari-rigorista-sorprese-consigli-su-chi-prendere.shtml" TargetMode="External"/><Relationship Id="rId204" Type="http://schemas.openxmlformats.org/officeDocument/2006/relationships/hyperlink" Target="https://www.gazzetta.it/calcio/giocatori/idrissa-gueye/632811/" TargetMode="External"/><Relationship Id="rId205" Type="http://schemas.openxmlformats.org/officeDocument/2006/relationships/hyperlink" Target="https://www.fantacalcio.it/serie-a/squadre/udinese/gueye/7272/2026-27/italia" TargetMode="External"/><Relationship Id="rId206" Type="http://schemas.openxmlformats.org/officeDocument/2006/relationships/hyperlink" Target="https://www.gazzetta.it/calcio/fantanews/03-08-2026/udinese-fantacalcio-2026-27-titolari-rigorista-sorprese-consigli-su-chi-prendere.shtml" TargetMode="External"/><Relationship Id="rId207" Type="http://schemas.openxmlformats.org/officeDocument/2006/relationships/hyperlink" Target="https://www.gazzetta.it/calcio/giocatori/sandro-kulenovic/235740/" TargetMode="External"/><Relationship Id="rId208" Type="http://schemas.openxmlformats.org/officeDocument/2006/relationships/hyperlink" Target="https://www.fantacalcio.it/serie-a/squadre/torino/kulenovic/7349/2026-27/italia" TargetMode="External"/><Relationship Id="rId209" Type="http://schemas.openxmlformats.org/officeDocument/2006/relationships/hyperlink" Target="https://www.gazzetta.it/calcio/fantanews/03-08-2026/torino-fantacalcio-2026-27-titolari-rigorista-sorprese-consigli-su-chi-prendere.shtml" TargetMode="External"/><Relationship Id="rId210" Type="http://schemas.openxmlformats.org/officeDocument/2006/relationships/hyperlink" Target="https://www.gazzetta.it/calcio/giocatori/pontus-almqvist/248755/" TargetMode="External"/><Relationship Id="rId211" Type="http://schemas.openxmlformats.org/officeDocument/2006/relationships/hyperlink" Target="https://www.fantacalcio.it/serie-a/squadre/parma/almqvist/6207/2026-27/italia" TargetMode="External"/><Relationship Id="rId212" Type="http://schemas.openxmlformats.org/officeDocument/2006/relationships/hyperlink" Target="https://www.gazzetta.it/calcio/fantanews/03-08-2026/parma-al-fantacalcio-2026-27-titolari-rigorista-sorprese-consigli-su-chi-prendere.shtml" TargetMode="External"/><Relationship Id="rId213" Type="http://schemas.openxmlformats.org/officeDocument/2006/relationships/hyperlink" Target="https://www.gazzetta.it/calcio/giocatori/jayden-addai/568185/" TargetMode="External"/><Relationship Id="rId214" Type="http://schemas.openxmlformats.org/officeDocument/2006/relationships/hyperlink" Target="https://www.fantacalcio.it/serie-a/squadre/como/addai/7127/2026-27/italia" TargetMode="External"/><Relationship Id="rId215" Type="http://schemas.openxmlformats.org/officeDocument/2006/relationships/hyperlink" Target="https://www.gazzetta.it/calcio/fantanews/04-08-2026/como-fantacalcio-2026-27-titolari-rigorista-sorprese-consigli-su-chi-prendere.shtml" TargetMode="External"/><Relationship Id="rId216" Type="http://schemas.openxmlformats.org/officeDocument/2006/relationships/hyperlink" Target="https://www.fantacalcio.it/serie-a/squadre/genoa/havel/7453/2026-27/italia" TargetMode="External"/><Relationship Id="rId217" Type="http://schemas.openxmlformats.org/officeDocument/2006/relationships/hyperlink" Target="https://www.gazzetta.it/calcio/fantanews/04-08-2026/genoa-al-fantacalcio-2026-27-titolari-rigorista-sorprese-consigli-su-chi-prendere.shtml" TargetMode="External"/><Relationship Id="rId218" Type="http://schemas.openxmlformats.org/officeDocument/2006/relationships/hyperlink" Target="https://www.fantacalcio.it/serie-a/squadre/frosinone/birligea/7610/2026-27/italia" TargetMode="External"/><Relationship Id="rId219" Type="http://schemas.openxmlformats.org/officeDocument/2006/relationships/hyperlink" Target="https://www.gazzetta.it/calcio/fantanews/02-08-2026/frosinone-al-fantacalcio-2026-27-titolari-rigorista-sorprese-e-consigli-su-chi-prendere.shtml" TargetMode="External"/><Relationship Id="rId220" Type="http://schemas.openxmlformats.org/officeDocument/2006/relationships/hyperlink" Target="https://www.fantacalcio.it/serie-a/squadre/genoa/osmajic/7600/2026-27/italia" TargetMode="External"/><Relationship Id="rId221" Type="http://schemas.openxmlformats.org/officeDocument/2006/relationships/hyperlink" Target="https://www.gazzetta.it/calcio/fantanews/04-08-2026/genoa-al-fantacalcio-2026-27-titolari-rigorista-sorprese-consigli-su-chi-prendere.shtml" TargetMode="External"/><Relationship Id="rId222" Type="http://schemas.openxmlformats.org/officeDocument/2006/relationships/hyperlink" Target="https://www.gazzetta.it/calcio/giocatori/vakoun-bayo/210464/" TargetMode="External"/><Relationship Id="rId223" Type="http://schemas.openxmlformats.org/officeDocument/2006/relationships/hyperlink" Target="https://www.fantacalcio.it/serie-a/squadre/udinese/bayo-v/7161/2026-27/italia" TargetMode="External"/><Relationship Id="rId224" Type="http://schemas.openxmlformats.org/officeDocument/2006/relationships/hyperlink" Target="https://www.gazzetta.it/calcio/fantanews/03-08-2026/udinese-fantacalcio-2026-27-titolari-rigorista-sorprese-consigli-su-chi-prendere.shtml" TargetMode="External"/><Relationship Id="rId225" Type="http://schemas.openxmlformats.org/officeDocument/2006/relationships/hyperlink" Target="https://www.gazzetta.it/calcio/giocatori/jeff-ekhator/606408/" TargetMode="External"/><Relationship Id="rId226" Type="http://schemas.openxmlformats.org/officeDocument/2006/relationships/hyperlink" Target="https://www.fantacalcio.it/serie-a/squadre/juventus/ekhator/6822/2026-27/italia" TargetMode="External"/><Relationship Id="rId227" Type="http://schemas.openxmlformats.org/officeDocument/2006/relationships/hyperlink" Target="https://www.gazzetta.it/calcio/fantanews/03-08-2026/juve-al-fantacalcio-2026-27-titolari-rigorista-sorprese-consigli-su-chi-prendere.shtml" TargetMode="External"/><Relationship Id="rId228" Type="http://schemas.openxmlformats.org/officeDocument/2006/relationships/hyperlink" Target="https://www.gazzetta.it/calcio/giocatori/mattia-felici/476933/" TargetMode="External"/><Relationship Id="rId229" Type="http://schemas.openxmlformats.org/officeDocument/2006/relationships/hyperlink" Target="https://www.fantacalcio.it/serie-a/squadre/cagliari/felici/6640/2026-27/italia" TargetMode="External"/><Relationship Id="rId230" Type="http://schemas.openxmlformats.org/officeDocument/2006/relationships/hyperlink" Target="https://www.gazzetta.it/calcio/fantanews/04-08-2026/cagliari-fantacalcio-2026-27-titolari-rigorista-sorprese-consigli-su-chi-prendere.shtml" TargetMode="External"/><Relationship Id="rId231" Type="http://schemas.openxmlformats.org/officeDocument/2006/relationships/hyperlink" Target="https://www.gazzetta.it/calcio/giocatori/seydou-fini/589998/" TargetMode="External"/><Relationship Id="rId232" Type="http://schemas.openxmlformats.org/officeDocument/2006/relationships/hyperlink" Target="https://www.fantacalcio.it/serie-a/squadre/frosinone/fini/6506/2026-27/italia" TargetMode="External"/><Relationship Id="rId233" Type="http://schemas.openxmlformats.org/officeDocument/2006/relationships/hyperlink" Target="https://www.gazzetta.it/calcio/fantanews/02-08-2026/frosinone-al-fantacalcio-2026-27-titolari-rigorista-sorprese-e-consigli-su-chi-prendere.shtml" TargetMode="External"/><Relationship Id="rId234" Type="http://schemas.openxmlformats.org/officeDocument/2006/relationships/hyperlink" Target="https://www.gazzetta.it/calcio/giocatori/francesco-camarda/633952/" TargetMode="External"/><Relationship Id="rId235" Type="http://schemas.openxmlformats.org/officeDocument/2006/relationships/hyperlink" Target="https://www.fantacalcio.it/serie-a/squadre/milan/camarda/6519/2026-27/italia" TargetMode="External"/><Relationship Id="rId236" Type="http://schemas.openxmlformats.org/officeDocument/2006/relationships/hyperlink" Target="https://www.gazzetta.it/calcio/fantanews/02-08-2026/milan-al-fantacalcio-2026-27-titolari-rigorista-sorprese-e-consigli-su-chi-prendere.shtml" TargetMode="External"/><Relationship Id="rId237" Type="http://schemas.openxmlformats.org/officeDocument/2006/relationships/hyperlink" Target="https://www.fantacalcio.it/serie-a/squadre/bologna/enem/7627/2026-27/italia" TargetMode="External"/><Relationship Id="rId238" Type="http://schemas.openxmlformats.org/officeDocument/2006/relationships/hyperlink" Target="https://www.gazzetta.it/calcio/fantanews/03-08-2026/bologna-fantacalcio-2026-27-titolari-rigorista-sorprese-consigli-su-chi-prendere.shtml" TargetMode="External"/><Relationship Id="rId239" Type="http://schemas.openxmlformats.org/officeDocument/2006/relationships/hyperlink" Target="https://www.gazzetta.it/calcio/giocatori/albion-rrahmani/543173/" TargetMode="External"/><Relationship Id="rId240" Type="http://schemas.openxmlformats.org/officeDocument/2006/relationships/hyperlink" Target="https://www.fantacalcio.it/serie-a/squadre/venezia/rrahmani-al/7449/2026-27/italia" TargetMode="External"/><Relationship Id="rId241" Type="http://schemas.openxmlformats.org/officeDocument/2006/relationships/hyperlink" Target="https://www.gazzetta.it/calcio/fantanews/04-08-2026/venezia-al-fantacalcio-2026-27-titolari-rigorista-sorprese-consigli-su-chi-prendere.shtml" TargetMode="External"/><Relationship Id="rId242" Type="http://schemas.openxmlformats.org/officeDocument/2006/relationships/hyperlink" Target="https://www.fantacalcio.it/serie-a/squadre/parma/lontani/7561/2026-27/italia" TargetMode="External"/><Relationship Id="rId243" Type="http://schemas.openxmlformats.org/officeDocument/2006/relationships/hyperlink" Target="https://www.gazzetta.it/calcio/fantanews/03-08-2026/parma-al-fantacalcio-2026-27-titolari-rigorista-sorprese-consigli-su-chi-prendere.shtml" TargetMode="External"/><Relationship Id="rId244" Type="http://schemas.openxmlformats.org/officeDocument/2006/relationships/hyperlink" Target="https://www.gazzetta.it/calcio/giocatori/arek-milik/103076/" TargetMode="External"/><Relationship Id="rId245" Type="http://schemas.openxmlformats.org/officeDocument/2006/relationships/hyperlink" Target="https://www.fantacalcio.it/serie-a/squadre/juventus/milik/2012/2026-27/italia" TargetMode="External"/><Relationship Id="rId246" Type="http://schemas.openxmlformats.org/officeDocument/2006/relationships/hyperlink" Target="https://www.gazzetta.it/calcio/fantanews/03-08-2026/juve-al-fantacalcio-2026-27-titolari-rigorista-sorprese-consigli-su-chi-prendere.shtml" TargetMode="External"/><Relationship Id="rId247" Type="http://schemas.openxmlformats.org/officeDocument/2006/relationships/hyperlink" Target="https://www.fantacalcio.it/serie-a/squadre/lecce/fatah/7602/2026-27/italia" TargetMode="External"/><Relationship Id="rId248" Type="http://schemas.openxmlformats.org/officeDocument/2006/relationships/hyperlink" Target="https://www.gazzetta.it/calcio/fantanews/04-08-2026/lecce-fantacalcio-2026-27-titolari-rigorista-sorprese-consigli-su-chi-prendere.shtml" TargetMode="External"/><Relationship Id="rId249" Type="http://schemas.openxmlformats.org/officeDocument/2006/relationships/hyperlink" Target="https://www.gazzetta.it/calcio/giocatori/paul-mendy/687995/" TargetMode="External"/><Relationship Id="rId250" Type="http://schemas.openxmlformats.org/officeDocument/2006/relationships/hyperlink" Target="https://www.fantacalcio.it/serie-a/squadre/cagliari/mendy-p/7374/2026-27/italia" TargetMode="External"/><Relationship Id="rId251" Type="http://schemas.openxmlformats.org/officeDocument/2006/relationships/hyperlink" Target="https://www.gazzetta.it/calcio/fantanews/04-08-2026/cagliari-fantacalcio-2026-27-titolari-rigorista-sorprese-consigli-su-chi-prendere.shtml" TargetMode="External"/><Relationship Id="rId252" Type="http://schemas.openxmlformats.org/officeDocument/2006/relationships/hyperlink" Target="https://www.fantacalcio.it/serie-a/squadre/venezia/lisman/7408/2026-27/italia" TargetMode="External"/><Relationship Id="rId253" Type="http://schemas.openxmlformats.org/officeDocument/2006/relationships/hyperlink" Target="https://www.gazzetta.it/calcio/fantanews/04-08-2026/venezia-al-fantacalcio-2026-27-titolari-rigorista-sorprese-consigli-su-chi-prendere.shtml" TargetMode="External"/><Relationship Id="rId254" Type="http://schemas.openxmlformats.org/officeDocument/2006/relationships/hyperlink" Target="https://www.gazzetta.it/calcio/giocatori/matija-frigan/521472/" TargetMode="External"/><Relationship Id="rId255" Type="http://schemas.openxmlformats.org/officeDocument/2006/relationships/hyperlink" Target="https://www.fantacalcio.it/serie-a/squadre/parma/frigan/7213/2026-27/italia" TargetMode="External"/><Relationship Id="rId256" Type="http://schemas.openxmlformats.org/officeDocument/2006/relationships/hyperlink" Target="https://www.gazzetta.it/calcio/fantanews/03-08-2026/parma-al-fantacalcio-2026-27-titolari-rigorista-sorprese-consigli-su-chi-prendere.shtml" TargetMode="External"/><Relationship Id="rId257" Type="http://schemas.openxmlformats.org/officeDocument/2006/relationships/hyperlink" Target="https://www.fantacalcio.it/serie-a/squadre/monza/robinson-j/7546/2026-27/italia" TargetMode="External"/><Relationship Id="rId258" Type="http://schemas.openxmlformats.org/officeDocument/2006/relationships/hyperlink" Target="https://www.gazzetta.it/calcio/fantanews/05-08-2026/monza-al-fantacalcio-2026-27-titolari-rigorista-sorprese-consigli-su-chi-prendere.shtml" TargetMode="External"/><Relationship Id="rId259" Type="http://schemas.openxmlformats.org/officeDocument/2006/relationships/hyperlink" Target="https://www.gazzetta.it/calcio/giocatori/jesper-karlsson/205110/" TargetMode="External"/><Relationship Id="rId260" Type="http://schemas.openxmlformats.org/officeDocument/2006/relationships/hyperlink" Target="https://www.gazzetta.it/calcio/giocatori/ousmane-diallo/633419/" TargetMode="External"/><Relationship Id="rId261" Type="http://schemas.openxmlformats.org/officeDocument/2006/relationships/hyperlink" Target="https://www.fantacalcio.it/serie-a/squadre/parma/diallo-o/7536/2026-27/italia" TargetMode="External"/><Relationship Id="rId262" Type="http://schemas.openxmlformats.org/officeDocument/2006/relationships/hyperlink" Target="https://www.gazzetta.it/calcio/fantanews/03-08-2026/parma-al-fantacalcio-2026-27-titolari-rigorista-sorprese-consigli-su-chi-prendere.shtml" TargetMode="External"/><Relationship Id="rId263" Type="http://schemas.openxmlformats.org/officeDocument/2006/relationships/hyperlink" Target="https://www.gazzetta.it/calcio/giocatori/kevin-martins/605413/" TargetMode="External"/><Relationship Id="rId264" Type="http://schemas.openxmlformats.org/officeDocument/2006/relationships/hyperlink" Target="https://www.fantacalcio.it/serie-a/squadre/venezia/lauberbach/7482/2026-27/italia" TargetMode="External"/><Relationship Id="rId265" Type="http://schemas.openxmlformats.org/officeDocument/2006/relationships/hyperlink" Target="https://www.gazzetta.it/calcio/fantanews/04-08-2026/venezia-al-fantacalcio-2026-27-titolari-rigorista-sorprese-consigli-su-chi-prendere.shtml" TargetMode="External"/><Relationship Id="rId266" Type="http://schemas.openxmlformats.org/officeDocument/2006/relationships/hyperlink" Target="https://www.gazzetta.it/calcio/giocatori/omari-forson/487828/" TargetMode="External"/><Relationship Id="rId267" Type="http://schemas.openxmlformats.org/officeDocument/2006/relationships/hyperlink" Target="https://www.fantacalcio.it/serie-a/squadre/monza/forson-o/6592/2026-27/italia" TargetMode="External"/><Relationship Id="rId268" Type="http://schemas.openxmlformats.org/officeDocument/2006/relationships/hyperlink" Target="https://www.gazzetta.it/calcio/fantanews/05-08-2026/monza-al-fantacalcio-2026-27-titolari-rigorista-sorprese-consigli-su-chi-prendere.shtml" TargetMode="External"/><Relationship Id="rId269" Type="http://schemas.openxmlformats.org/officeDocument/2006/relationships/hyperlink" Target="https://www.fantacalcio.it/serie-a/squadre/parma/de-martis/7568/2026-27/italia" TargetMode="External"/><Relationship Id="rId270" Type="http://schemas.openxmlformats.org/officeDocument/2006/relationships/hyperlink" Target="https://www.gazzetta.it/calcio/fantanews/03-08-2026/parma-al-fantacalcio-2026-27-titolari-rigorista-sorprese-consigli-su-chi-prendere.shtml" TargetMode="External"/><Relationship Id="rId271" Type="http://schemas.openxmlformats.org/officeDocument/2006/relationships/hyperlink" Target="https://www.gazzetta.it/calcio/giocatori/antonio-arena/697465/" TargetMode="External"/><Relationship Id="rId272" Type="http://schemas.openxmlformats.org/officeDocument/2006/relationships/hyperlink" Target="https://www.gazzetta.it/calcio/giocatori/laurs-skjellerup/508870/" TargetMode="External"/><Relationship Id="rId273" Type="http://schemas.openxmlformats.org/officeDocument/2006/relationships/hyperlink" Target="https://www.gazzetta.it/calcio/giocatori/nicholas-pierini/221800/" TargetMode="External"/><Relationship Id="rId274" Type="http://schemas.openxmlformats.org/officeDocument/2006/relationships/hyperlink" Target="https://www.gazzetta.it/calcio/giocatori/yael-trepy/612234/" TargetMode="External"/><Relationship Id="rId275" Type="http://schemas.openxmlformats.org/officeDocument/2006/relationships/hyperlink" Target="https://www.fantacalcio.it/serie-a/squadre/cagliari/trepy/7317/2026-27/italia" TargetMode="External"/><Relationship Id="rId276" Type="http://schemas.openxmlformats.org/officeDocument/2006/relationships/hyperlink" Target="https://www.gazzetta.it/calcio/fantanews/04-08-2026/cagliari-fantacalcio-2026-27-titolari-rigorista-sorprese-consigli-su-chi-prendere.shtml" TargetMode="External"/><Relationship Id="rId277" Type="http://schemas.openxmlformats.org/officeDocument/2006/relationships/hyperlink" Target="https://www.gazzetta.it/calcio/giocatori/cheveyo-balentien/703871/" TargetMode="External"/><Relationship Id="rId278" Type="http://schemas.openxmlformats.org/officeDocument/2006/relationships/hyperlink" Target="https://www.fantacalcio.it/serie-a/squadre/lecce/laerke/7571/2026-27/italia" TargetMode="External"/><Relationship Id="rId279" Type="http://schemas.openxmlformats.org/officeDocument/2006/relationships/hyperlink" Target="https://www.gazzetta.it/calcio/fantanews/04-08-2026/lecce-fantacalcio-2026-27-titolari-rigorista-sorprese-consigli-su-chi-prendere.shtml" TargetMode="External"/><Relationship Id="rId280" Type="http://schemas.openxmlformats.org/officeDocument/2006/relationships/hyperlink" Target="https://www.gazzetta.it/calcio/giocatori/mattia-mosconi/577696/" TargetMode="External"/><Relationship Id="rId281" Type="http://schemas.openxmlformats.org/officeDocument/2006/relationships/drawing" Target="../drawings/drawing5.xml"/><Relationship Id="rId282" Type="http://schemas.openxmlformats.org/officeDocument/2006/relationships/vmlDrawing" Target="../drawings/vmlDrawing5.vml"/><Relationship Id="rId283" Type="http://schemas.openxmlformats.org/officeDocument/2006/relationships/comments" Target="../comments5.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68</v>
      </c>
      <c r="C11" s="3"/>
      <c r="D11" s="3"/>
    </row>
    <row r="12">
      <c r="B12" s="4"/>
      <c r="C12" t="s" s="4">
        <v>5</v>
      </c>
      <c r="D12" t="s" s="5">
        <v>68</v>
      </c>
    </row>
    <row r="13">
      <c r="B13" t="s" s="3">
        <v>85</v>
      </c>
      <c r="C13" s="3"/>
      <c r="D13" s="3"/>
    </row>
    <row r="14">
      <c r="B14" s="4"/>
      <c r="C14" t="s" s="4">
        <v>5</v>
      </c>
      <c r="D14" t="s" s="5">
        <v>85</v>
      </c>
    </row>
    <row r="15">
      <c r="B15" t="s" s="3">
        <v>75</v>
      </c>
      <c r="C15" s="3"/>
      <c r="D15" s="3"/>
    </row>
    <row r="16">
      <c r="B16" s="4"/>
      <c r="C16" t="s" s="4">
        <v>5</v>
      </c>
      <c r="D16" t="s" s="5">
        <v>75</v>
      </c>
    </row>
    <row r="17">
      <c r="B17" t="s" s="3">
        <v>76</v>
      </c>
      <c r="C17" s="3"/>
      <c r="D17" s="3"/>
    </row>
    <row r="18">
      <c r="B18" s="4"/>
      <c r="C18" t="s" s="4">
        <v>5</v>
      </c>
      <c r="D18" t="s" s="5">
        <v>76</v>
      </c>
    </row>
    <row r="19">
      <c r="B19" t="s" s="3">
        <v>77</v>
      </c>
      <c r="C19" s="3"/>
      <c r="D19" s="3"/>
    </row>
    <row r="20">
      <c r="B20" s="4"/>
      <c r="C20" t="s" s="4">
        <v>5</v>
      </c>
      <c r="D20" t="s" s="5">
        <v>77</v>
      </c>
    </row>
    <row r="21">
      <c r="B21" t="s" s="3">
        <v>78</v>
      </c>
      <c r="C21" s="3"/>
      <c r="D21" s="3"/>
    </row>
    <row r="22">
      <c r="B22" s="4"/>
      <c r="C22" t="s" s="4">
        <v>5</v>
      </c>
      <c r="D22" t="s" s="5">
        <v>78</v>
      </c>
    </row>
  </sheetData>
  <mergeCells count="1">
    <mergeCell ref="B3:D3"/>
  </mergeCells>
  <hyperlinks>
    <hyperlink ref="D10" location="'LEGGIMI'!R1C1" tooltip="" display="LEGGIMI"/>
    <hyperlink ref="D12" location="'Riepilogo'!R1C1" tooltip="" display="Riepilogo"/>
    <hyperlink ref="D14" location="'Tutti i giocatori'!R1C1" tooltip="" display="Tutti i giocatori"/>
    <hyperlink ref="D16" location="'Portieri'!R1C1" tooltip="" display="Portieri"/>
    <hyperlink ref="D18" location="'Difensori'!R1C1" tooltip="" display="Difensori"/>
    <hyperlink ref="D20" location="'Centrocampisti'!R1C1" tooltip="" display="Centrocampisti"/>
    <hyperlink ref="D22" location="'Attaccanti'!R1C1" tooltip="" display="Attaccanti"/>
  </hyperlinks>
</worksheet>
</file>

<file path=xl/worksheets/sheet2.xml><?xml version="1.0" encoding="utf-8"?>
<worksheet xmlns:r="http://schemas.openxmlformats.org/officeDocument/2006/relationships" xmlns="http://schemas.openxmlformats.org/spreadsheetml/2006/main">
  <dimension ref="A1:H40"/>
  <sheetViews>
    <sheetView workbookViewId="0" showGridLines="0" defaultGridColor="1"/>
  </sheetViews>
  <sheetFormatPr defaultColWidth="8.66667" defaultRowHeight="15" customHeight="1" outlineLevelRow="0" outlineLevelCol="0"/>
  <cols>
    <col min="1" max="1" width="4" style="6" customWidth="1"/>
    <col min="2" max="2" width="28" style="6" customWidth="1"/>
    <col min="3" max="3" width="78" style="6" customWidth="1"/>
    <col min="4" max="8" width="22" style="6" customWidth="1"/>
    <col min="9" max="16384" width="8.67188" style="6" customWidth="1"/>
  </cols>
  <sheetData>
    <row r="1" ht="33.75" customHeight="1">
      <c r="A1" t="s" s="7">
        <v>6</v>
      </c>
      <c r="B1" s="8"/>
      <c r="C1" s="8"/>
      <c r="D1" s="8"/>
      <c r="E1" s="8"/>
      <c r="F1" s="8"/>
      <c r="G1" s="8"/>
      <c r="H1" s="9"/>
    </row>
    <row r="2" ht="24.75" customHeight="1">
      <c r="A2" t="s" s="10">
        <v>7</v>
      </c>
      <c r="B2" s="11"/>
      <c r="C2" s="11"/>
      <c r="D2" s="11"/>
      <c r="E2" s="11"/>
      <c r="F2" s="11"/>
      <c r="G2" s="11"/>
      <c r="H2" s="12"/>
    </row>
    <row r="3" ht="15" customHeight="1">
      <c r="A3" s="13"/>
      <c r="B3" s="14"/>
      <c r="C3" s="14"/>
      <c r="D3" s="14"/>
      <c r="E3" s="14"/>
      <c r="F3" s="14"/>
      <c r="G3" s="14"/>
      <c r="H3" s="15"/>
    </row>
    <row r="4" ht="58" customHeight="1">
      <c r="A4" s="13"/>
      <c r="B4" t="s" s="16">
        <v>8</v>
      </c>
      <c r="C4" t="s" s="17">
        <v>9</v>
      </c>
      <c r="D4" s="11"/>
      <c r="E4" s="11"/>
      <c r="F4" s="11"/>
      <c r="G4" s="11"/>
      <c r="H4" s="12"/>
    </row>
    <row r="5" ht="15" customHeight="1">
      <c r="A5" s="13"/>
      <c r="B5" s="14"/>
      <c r="C5" s="14"/>
      <c r="D5" s="14"/>
      <c r="E5" s="14"/>
      <c r="F5" s="14"/>
      <c r="G5" s="14"/>
      <c r="H5" s="15"/>
    </row>
    <row r="6" ht="43.5" customHeight="1">
      <c r="A6" s="13"/>
      <c r="B6" t="s" s="16">
        <v>10</v>
      </c>
      <c r="C6" t="s" s="17">
        <v>11</v>
      </c>
      <c r="D6" s="11"/>
      <c r="E6" s="11"/>
      <c r="F6" s="11"/>
      <c r="G6" s="11"/>
      <c r="H6" s="12"/>
    </row>
    <row r="7" ht="15" customHeight="1">
      <c r="A7" s="13"/>
      <c r="B7" s="14"/>
      <c r="C7" s="14"/>
      <c r="D7" s="14"/>
      <c r="E7" s="14"/>
      <c r="F7" s="14"/>
      <c r="G7" s="14"/>
      <c r="H7" s="15"/>
    </row>
    <row r="8" ht="57.75" customHeight="1">
      <c r="A8" s="13"/>
      <c r="B8" t="s" s="16">
        <v>12</v>
      </c>
      <c r="C8" t="s" s="17">
        <v>13</v>
      </c>
      <c r="D8" s="11"/>
      <c r="E8" s="11"/>
      <c r="F8" s="11"/>
      <c r="G8" s="11"/>
      <c r="H8" s="12"/>
    </row>
    <row r="9" ht="15" customHeight="1">
      <c r="A9" s="13"/>
      <c r="B9" s="14"/>
      <c r="C9" s="14"/>
      <c r="D9" s="14"/>
      <c r="E9" s="14"/>
      <c r="F9" s="14"/>
      <c r="G9" s="14"/>
      <c r="H9" s="15"/>
    </row>
    <row r="10" ht="43.5" customHeight="1">
      <c r="A10" s="13"/>
      <c r="B10" t="s" s="16">
        <v>14</v>
      </c>
      <c r="C10" t="s" s="17">
        <v>15</v>
      </c>
      <c r="D10" s="11"/>
      <c r="E10" s="11"/>
      <c r="F10" s="11"/>
      <c r="G10" s="11"/>
      <c r="H10" s="12"/>
    </row>
    <row r="11" ht="15" customHeight="1">
      <c r="A11" s="13"/>
      <c r="B11" s="14"/>
      <c r="C11" s="14"/>
      <c r="D11" s="14"/>
      <c r="E11" s="14"/>
      <c r="F11" s="14"/>
      <c r="G11" s="14"/>
      <c r="H11" s="15"/>
    </row>
    <row r="12" ht="43.5" customHeight="1">
      <c r="A12" s="13"/>
      <c r="B12" t="s" s="16">
        <v>16</v>
      </c>
      <c r="C12" t="s" s="17">
        <v>17</v>
      </c>
      <c r="D12" s="11"/>
      <c r="E12" s="11"/>
      <c r="F12" s="11"/>
      <c r="G12" s="11"/>
      <c r="H12" s="12"/>
    </row>
    <row r="13" ht="15" customHeight="1">
      <c r="A13" s="13"/>
      <c r="B13" s="14"/>
      <c r="C13" s="14"/>
      <c r="D13" s="14"/>
      <c r="E13" s="14"/>
      <c r="F13" s="14"/>
      <c r="G13" s="14"/>
      <c r="H13" s="15"/>
    </row>
    <row r="14" ht="58" customHeight="1">
      <c r="A14" s="13"/>
      <c r="B14" t="s" s="16">
        <v>18</v>
      </c>
      <c r="C14" t="s" s="17">
        <v>19</v>
      </c>
      <c r="D14" s="11"/>
      <c r="E14" s="11"/>
      <c r="F14" s="11"/>
      <c r="G14" s="11"/>
      <c r="H14" s="12"/>
    </row>
    <row r="15" ht="15" customHeight="1">
      <c r="A15" s="13"/>
      <c r="B15" s="14"/>
      <c r="C15" s="14"/>
      <c r="D15" s="14"/>
      <c r="E15" s="14"/>
      <c r="F15" s="14"/>
      <c r="G15" s="14"/>
      <c r="H15" s="15"/>
    </row>
    <row r="16" ht="43.5" customHeight="1">
      <c r="A16" s="13"/>
      <c r="B16" t="s" s="16">
        <v>20</v>
      </c>
      <c r="C16" t="s" s="17">
        <v>21</v>
      </c>
      <c r="D16" s="11"/>
      <c r="E16" s="11"/>
      <c r="F16" s="11"/>
      <c r="G16" s="11"/>
      <c r="H16" s="12"/>
    </row>
    <row r="17" ht="15" customHeight="1">
      <c r="A17" s="13"/>
      <c r="B17" s="14"/>
      <c r="C17" s="14"/>
      <c r="D17" s="14"/>
      <c r="E17" s="14"/>
      <c r="F17" s="14"/>
      <c r="G17" s="14"/>
      <c r="H17" s="15"/>
    </row>
    <row r="18" ht="43.5" customHeight="1">
      <c r="A18" s="13"/>
      <c r="B18" t="s" s="16">
        <v>22</v>
      </c>
      <c r="C18" t="s" s="17">
        <v>23</v>
      </c>
      <c r="D18" s="11"/>
      <c r="E18" s="11"/>
      <c r="F18" s="11"/>
      <c r="G18" s="11"/>
      <c r="H18" s="12"/>
    </row>
    <row r="19" ht="15" customHeight="1">
      <c r="A19" s="13"/>
      <c r="B19" s="14"/>
      <c r="C19" s="14"/>
      <c r="D19" s="14"/>
      <c r="E19" s="14"/>
      <c r="F19" s="14"/>
      <c r="G19" s="14"/>
      <c r="H19" s="15"/>
    </row>
    <row r="20" ht="15" customHeight="1">
      <c r="A20" s="13"/>
      <c r="B20" s="14"/>
      <c r="C20" s="14"/>
      <c r="D20" s="14"/>
      <c r="E20" s="14"/>
      <c r="F20" s="14"/>
      <c r="G20" s="14"/>
      <c r="H20" s="15"/>
    </row>
    <row r="21" ht="15" customHeight="1">
      <c r="A21" s="13"/>
      <c r="B21" t="s" s="18">
        <v>24</v>
      </c>
      <c r="C21" s="14"/>
      <c r="D21" t="s" s="18">
        <v>25</v>
      </c>
      <c r="E21" s="14"/>
      <c r="F21" s="14"/>
      <c r="G21" s="14"/>
      <c r="H21" s="15"/>
    </row>
    <row r="22" ht="15" customHeight="1">
      <c r="A22" s="13"/>
      <c r="B22" t="s" s="19">
        <v>26</v>
      </c>
      <c r="C22" s="14"/>
      <c r="D22" t="s" s="20">
        <v>27</v>
      </c>
      <c r="E22" s="21">
        <v>590</v>
      </c>
      <c r="F22" s="14"/>
      <c r="G22" s="14"/>
      <c r="H22" s="15"/>
    </row>
    <row r="23" ht="15" customHeight="1">
      <c r="A23" s="13"/>
      <c r="B23" t="s" s="22">
        <v>28</v>
      </c>
      <c r="C23" s="14"/>
      <c r="D23" t="s" s="20">
        <v>29</v>
      </c>
      <c r="E23" s="21">
        <v>533</v>
      </c>
      <c r="F23" s="14"/>
      <c r="G23" s="14"/>
      <c r="H23" s="15"/>
    </row>
    <row r="24" ht="15" customHeight="1">
      <c r="A24" s="13"/>
      <c r="B24" t="s" s="23">
        <v>30</v>
      </c>
      <c r="C24" s="14"/>
      <c r="D24" t="s" s="20">
        <v>31</v>
      </c>
      <c r="E24" s="21">
        <v>511</v>
      </c>
      <c r="F24" s="14"/>
      <c r="G24" s="14"/>
      <c r="H24" s="15"/>
    </row>
    <row r="25" ht="15" customHeight="1">
      <c r="A25" s="13"/>
      <c r="B25" t="s" s="24">
        <v>32</v>
      </c>
      <c r="C25" s="14"/>
      <c r="D25" t="s" s="20">
        <v>33</v>
      </c>
      <c r="E25" s="21">
        <v>20</v>
      </c>
      <c r="F25" s="14"/>
      <c r="G25" s="14"/>
      <c r="H25" s="15"/>
    </row>
    <row r="26" ht="15" customHeight="1">
      <c r="A26" s="13"/>
      <c r="B26" s="14"/>
      <c r="C26" s="14"/>
      <c r="D26" t="s" s="20">
        <v>34</v>
      </c>
      <c r="E26" s="21">
        <v>20</v>
      </c>
      <c r="F26" s="14"/>
      <c r="G26" s="14"/>
      <c r="H26" s="15"/>
    </row>
    <row r="27" ht="15" customHeight="1">
      <c r="A27" s="13"/>
      <c r="B27" s="14"/>
      <c r="C27" s="14"/>
      <c r="D27" t="s" s="20">
        <v>35</v>
      </c>
      <c r="E27" s="21">
        <v>52</v>
      </c>
      <c r="F27" s="14"/>
      <c r="G27" s="14"/>
      <c r="H27" s="15"/>
    </row>
    <row r="28" ht="15" customHeight="1">
      <c r="A28" s="13"/>
      <c r="B28" s="14"/>
      <c r="C28" s="14"/>
      <c r="D28" t="s" s="20">
        <v>36</v>
      </c>
      <c r="E28" s="21">
        <v>39</v>
      </c>
      <c r="F28" s="14"/>
      <c r="G28" s="14"/>
      <c r="H28" s="15"/>
    </row>
    <row r="29" ht="15" customHeight="1">
      <c r="A29" s="13"/>
      <c r="B29" s="14"/>
      <c r="C29" s="14"/>
      <c r="D29" s="14"/>
      <c r="E29" s="14"/>
      <c r="F29" s="14"/>
      <c r="G29" s="14"/>
      <c r="H29" s="15"/>
    </row>
    <row r="30" ht="15" customHeight="1">
      <c r="A30" s="13"/>
      <c r="B30" t="s" s="18">
        <v>37</v>
      </c>
      <c r="C30" s="14"/>
      <c r="D30" s="14"/>
      <c r="E30" s="14"/>
      <c r="F30" s="14"/>
      <c r="G30" s="14"/>
      <c r="H30" s="15"/>
    </row>
    <row r="31" ht="15" customHeight="1">
      <c r="A31" s="13"/>
      <c r="B31" t="s" s="20">
        <v>38</v>
      </c>
      <c r="C31" t="s" s="25">
        <v>39</v>
      </c>
      <c r="D31" s="11"/>
      <c r="E31" s="11"/>
      <c r="F31" s="11"/>
      <c r="G31" s="11"/>
      <c r="H31" t="s" s="26">
        <v>40</v>
      </c>
    </row>
    <row r="32" ht="15" customHeight="1">
      <c r="A32" s="13"/>
      <c r="B32" t="s" s="20">
        <v>41</v>
      </c>
      <c r="C32" t="s" s="25">
        <v>42</v>
      </c>
      <c r="D32" s="11"/>
      <c r="E32" s="11"/>
      <c r="F32" s="11"/>
      <c r="G32" s="11"/>
      <c r="H32" t="s" s="26">
        <v>43</v>
      </c>
    </row>
    <row r="33" ht="15" customHeight="1">
      <c r="A33" s="13"/>
      <c r="B33" t="s" s="20">
        <v>44</v>
      </c>
      <c r="C33" t="s" s="25">
        <v>45</v>
      </c>
      <c r="D33" s="11"/>
      <c r="E33" s="11"/>
      <c r="F33" s="11"/>
      <c r="G33" s="11"/>
      <c r="H33" t="s" s="26">
        <v>46</v>
      </c>
    </row>
    <row r="34" ht="15" customHeight="1">
      <c r="A34" s="13"/>
      <c r="B34" t="s" s="20">
        <v>47</v>
      </c>
      <c r="C34" t="s" s="25">
        <v>48</v>
      </c>
      <c r="D34" s="11"/>
      <c r="E34" s="11"/>
      <c r="F34" s="11"/>
      <c r="G34" s="11"/>
      <c r="H34" t="s" s="26">
        <v>49</v>
      </c>
    </row>
    <row r="35" ht="15" customHeight="1">
      <c r="A35" s="13"/>
      <c r="B35" t="s" s="20">
        <v>50</v>
      </c>
      <c r="C35" t="s" s="25">
        <v>51</v>
      </c>
      <c r="D35" s="11"/>
      <c r="E35" s="11"/>
      <c r="F35" s="11"/>
      <c r="G35" s="11"/>
      <c r="H35" t="s" s="26">
        <v>52</v>
      </c>
    </row>
    <row r="36" ht="15" customHeight="1">
      <c r="A36" s="13"/>
      <c r="B36" t="s" s="20">
        <v>53</v>
      </c>
      <c r="C36" t="s" s="25">
        <v>54</v>
      </c>
      <c r="D36" s="11"/>
      <c r="E36" s="11"/>
      <c r="F36" s="11"/>
      <c r="G36" s="11"/>
      <c r="H36" t="s" s="26">
        <v>55</v>
      </c>
    </row>
    <row r="37" ht="15" customHeight="1">
      <c r="A37" s="13"/>
      <c r="B37" t="s" s="20">
        <v>56</v>
      </c>
      <c r="C37" t="s" s="25">
        <v>57</v>
      </c>
      <c r="D37" s="11"/>
      <c r="E37" s="11"/>
      <c r="F37" s="11"/>
      <c r="G37" s="11"/>
      <c r="H37" t="s" s="26">
        <v>58</v>
      </c>
    </row>
    <row r="38" ht="15" customHeight="1">
      <c r="A38" s="13"/>
      <c r="B38" t="s" s="20">
        <v>59</v>
      </c>
      <c r="C38" t="s" s="25">
        <v>60</v>
      </c>
      <c r="D38" s="11"/>
      <c r="E38" s="11"/>
      <c r="F38" s="11"/>
      <c r="G38" s="11"/>
      <c r="H38" t="s" s="26">
        <v>61</v>
      </c>
    </row>
    <row r="39" ht="15" customHeight="1">
      <c r="A39" s="13"/>
      <c r="B39" t="s" s="20">
        <v>62</v>
      </c>
      <c r="C39" t="s" s="25">
        <v>63</v>
      </c>
      <c r="D39" s="11"/>
      <c r="E39" s="11"/>
      <c r="F39" s="11"/>
      <c r="G39" s="11"/>
      <c r="H39" t="s" s="26">
        <v>64</v>
      </c>
    </row>
    <row r="40" ht="15.35" customHeight="1">
      <c r="A40" s="27"/>
      <c r="B40" t="s" s="28">
        <v>65</v>
      </c>
      <c r="C40" t="s" s="29">
        <v>66</v>
      </c>
      <c r="D40" s="30"/>
      <c r="E40" s="30"/>
      <c r="F40" s="30"/>
      <c r="G40" s="30"/>
      <c r="H40" t="s" s="31">
        <v>67</v>
      </c>
    </row>
  </sheetData>
  <mergeCells count="20">
    <mergeCell ref="C10:H10"/>
    <mergeCell ref="C16:H16"/>
    <mergeCell ref="C34:G34"/>
    <mergeCell ref="C33:G33"/>
    <mergeCell ref="A1:H1"/>
    <mergeCell ref="C12:H12"/>
    <mergeCell ref="C35:G35"/>
    <mergeCell ref="C8:H8"/>
    <mergeCell ref="C31:G31"/>
    <mergeCell ref="C40:G40"/>
    <mergeCell ref="A2:H2"/>
    <mergeCell ref="C18:H18"/>
    <mergeCell ref="C36:G36"/>
    <mergeCell ref="C39:G39"/>
    <mergeCell ref="C6:H6"/>
    <mergeCell ref="C14:H14"/>
    <mergeCell ref="C32:G32"/>
    <mergeCell ref="C38:G38"/>
    <mergeCell ref="C37:G37"/>
    <mergeCell ref="C4:H4"/>
  </mergeCells>
  <hyperlinks>
    <hyperlink ref="C31" r:id="rId1" location="" tooltip="" display="https://www.gazzetta.it/calcio/fantanews/lista-giocatori-fantacalcio-serie-a-2026-27/"/>
    <hyperlink ref="C32" r:id="rId2" location="" tooltip="" display="https://www.gazzetta.it/calcio/fantanews/05-08-2026/fantacalcio-2026-27-titolari-rigoristi-formazioni-squadre-serie-a.shtml"/>
    <hyperlink ref="C33" r:id="rId3" location="" tooltip="" display="https://www.gazzetta.it/Calcio/prob_form/"/>
    <hyperlink ref="C34" r:id="rId4" location="" tooltip="" display="https://www.gazzetta.it/calcio/fantanews/strumenti-fantacalcio/rigoristi/17-08-2026/rigoristi-serie-a-fantacalcio-tiratori-calci-da-fermo-punizioni.shtml"/>
    <hyperlink ref="C35" r:id="rId5" location="" tooltip="" display="https://www.gazzetta.it/calcio/fantanews/strumenti-fantacalcio/indisponibili/lista/"/>
    <hyperlink ref="C36" r:id="rId6" location="" tooltip="" display="https://www.fantacalcio.it/statistiche-serie-a/2026-27/italia"/>
    <hyperlink ref="C37" r:id="rId7" location="" tooltip="" display="https://www.fantacalcio.it/statistiche-serie-a/2025-26/italia"/>
    <hyperlink ref="C38" r:id="rId8" location="" tooltip="" display="https://serieaspelare.se/"/>
    <hyperlink ref="C39" r:id="rId9" location="" tooltip="" display="https://www.transfermarkt.com/"/>
    <hyperlink ref="C40" r:id="rId10" location="" tooltip="" display="https://www.legaseriea.it/serie-a/news/calendario-della-serie-a-enilive-2026-27"/>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16"/>
  <sheetViews>
    <sheetView workbookViewId="0" showGridLines="0" defaultGridColor="1"/>
  </sheetViews>
  <sheetFormatPr defaultColWidth="8.66667" defaultRowHeight="15" customHeight="1" outlineLevelRow="0" outlineLevelCol="0"/>
  <cols>
    <col min="1" max="1" width="21" style="32" customWidth="1"/>
    <col min="2" max="4" width="12" style="32" customWidth="1"/>
    <col min="5" max="5" width="16" style="32" customWidth="1"/>
    <col min="6" max="6" width="17" style="32" customWidth="1"/>
    <col min="7" max="8" width="14" style="32" customWidth="1"/>
    <col min="9" max="9" width="15" style="32" customWidth="1"/>
    <col min="10" max="16384" width="8.67188" style="32" customWidth="1"/>
  </cols>
  <sheetData>
    <row r="1" ht="33.75" customHeight="1">
      <c r="A1" t="s" s="7">
        <v>69</v>
      </c>
      <c r="B1" s="8"/>
      <c r="C1" s="8"/>
      <c r="D1" s="8"/>
      <c r="E1" s="8"/>
      <c r="F1" s="8"/>
      <c r="G1" s="8"/>
      <c r="H1" s="8"/>
      <c r="I1" s="9"/>
    </row>
    <row r="2" ht="24.75" customHeight="1">
      <c r="A2" t="s" s="10">
        <v>70</v>
      </c>
      <c r="B2" s="11"/>
      <c r="C2" s="11"/>
      <c r="D2" s="11"/>
      <c r="E2" s="11"/>
      <c r="F2" s="11"/>
      <c r="G2" s="11"/>
      <c r="H2" s="11"/>
      <c r="I2" s="12"/>
    </row>
    <row r="3" ht="15" customHeight="1">
      <c r="A3" s="13"/>
      <c r="B3" s="14"/>
      <c r="C3" s="14"/>
      <c r="D3" s="14"/>
      <c r="E3" s="14"/>
      <c r="F3" s="14"/>
      <c r="G3" s="14"/>
      <c r="H3" s="14"/>
      <c r="I3" s="15"/>
    </row>
    <row r="4" ht="26.85" customHeight="1">
      <c r="A4" t="s" s="33">
        <v>71</v>
      </c>
      <c r="B4" t="s" s="34">
        <v>72</v>
      </c>
      <c r="C4" t="s" s="34">
        <v>26</v>
      </c>
      <c r="D4" t="s" s="34">
        <v>28</v>
      </c>
      <c r="E4" t="s" s="34">
        <v>30</v>
      </c>
      <c r="F4" t="s" s="34">
        <v>32</v>
      </c>
      <c r="G4" t="s" s="34">
        <v>16</v>
      </c>
      <c r="H4" t="s" s="34">
        <v>73</v>
      </c>
      <c r="I4" t="s" s="35">
        <v>74</v>
      </c>
    </row>
    <row r="5" ht="15" customHeight="1">
      <c r="A5" t="s" s="36">
        <v>75</v>
      </c>
      <c r="B5" s="37" cm="1">
        <f t="array" ref="B5">COUNTA('Portieri'!$E$5:$E$76)</f>
        <v>72</v>
      </c>
      <c r="C5" s="38" cm="1">
        <f t="array" ref="C5">COUNTIF('Portieri'!$A$5:$A$76,"TOP")</f>
        <v>8</v>
      </c>
      <c r="D5" s="39" cm="1">
        <f t="array" ref="D5">COUNTIF('Portieri'!$A$5:$A$76,"SEMITOP")</f>
        <v>10</v>
      </c>
      <c r="E5" s="40" cm="1">
        <f t="array" ref="E5">COUNTIF('Portieri'!$A$5:$A$76,"TERZA FASCIA")</f>
        <v>18</v>
      </c>
      <c r="F5" s="41" cm="1">
        <f t="array" ref="F5">COUNTIF('Portieri'!$A$5:$A$76,"QUARTA FASCIA")</f>
        <v>36</v>
      </c>
      <c r="G5" s="42" cm="1">
        <f t="array" ref="G5">COUNTIF('Portieri'!$D$5:$D$76,"&lt;&gt;")</f>
        <v>4</v>
      </c>
      <c r="H5" s="43" cm="1">
        <f t="array" ref="H5">COUNTIF('Portieri'!$H$5:$H$76,"Titolare*")</f>
        <v>19</v>
      </c>
      <c r="I5" s="44" cm="1">
        <f t="array" ref="I5">COUNTIF('Portieri'!$O$5:$O$76,"&lt;&gt;")</f>
        <v>1</v>
      </c>
    </row>
    <row r="6" ht="15" customHeight="1">
      <c r="A6" t="s" s="36">
        <v>76</v>
      </c>
      <c r="B6" s="37" cm="1">
        <f t="array" ref="B6">COUNTA('Difensori'!$E$5:$E$203)</f>
        <v>199</v>
      </c>
      <c r="C6" s="38" cm="1">
        <f t="array" ref="C6">COUNTIF('Difensori'!$A$5:$A$203,"TOP")</f>
        <v>20</v>
      </c>
      <c r="D6" s="39" cm="1">
        <f t="array" ref="D6">COUNTIF('Difensori'!$A$5:$A$203,"SEMITOP")</f>
        <v>30</v>
      </c>
      <c r="E6" s="40" cm="1">
        <f t="array" ref="E6">COUNTIF('Difensori'!$A$5:$A$203,"TERZA FASCIA")</f>
        <v>50</v>
      </c>
      <c r="F6" s="41" cm="1">
        <f t="array" ref="F6">COUNTIF('Difensori'!$A$5:$A$203,"QUARTA FASCIA")</f>
        <v>99</v>
      </c>
      <c r="G6" s="42" cm="1">
        <f t="array" ref="G6">COUNTIF('Difensori'!$D$5:$D$203,"&lt;&gt;")</f>
        <v>40</v>
      </c>
      <c r="H6" s="43" cm="1">
        <f t="array" ref="H6">COUNTIF('Difensori'!$H$5:$H$203,"Titolare*")</f>
        <v>71</v>
      </c>
      <c r="I6" s="44" cm="1">
        <f t="array" ref="I6">COUNTIF('Difensori'!$O$5:$O$203,"&lt;&gt;")</f>
        <v>17</v>
      </c>
    </row>
    <row r="7" ht="15" customHeight="1">
      <c r="A7" t="s" s="36">
        <v>77</v>
      </c>
      <c r="B7" s="37" cm="1">
        <f t="array" ref="B7">COUNTA('Centrocampisti'!$E$5:$E$203)</f>
        <v>199</v>
      </c>
      <c r="C7" s="38" cm="1">
        <f t="array" ref="C7">COUNTIF('Centrocampisti'!$A$5:$A$203,"TOP")</f>
        <v>20</v>
      </c>
      <c r="D7" s="39" cm="1">
        <f t="array" ref="D7">COUNTIF('Centrocampisti'!$A$5:$A$203,"SEMITOP")</f>
        <v>30</v>
      </c>
      <c r="E7" s="40" cm="1">
        <f t="array" ref="E7">COUNTIF('Centrocampisti'!$A$5:$A$203,"TERZA FASCIA")</f>
        <v>50</v>
      </c>
      <c r="F7" s="41" cm="1">
        <f t="array" ref="F7">COUNTIF('Centrocampisti'!$A$5:$A$203,"QUARTA FASCIA")</f>
        <v>99</v>
      </c>
      <c r="G7" s="42" cm="1">
        <f t="array" ref="G7">COUNTIF('Centrocampisti'!$D$5:$D$203,"&lt;&gt;")</f>
        <v>47</v>
      </c>
      <c r="H7" s="43" cm="1">
        <f t="array" ref="H7">COUNTIF('Centrocampisti'!$H$5:$H$203,"Titolare*")</f>
        <v>66</v>
      </c>
      <c r="I7" s="44" cm="1">
        <f t="array" ref="I7">COUNTIF('Centrocampisti'!$O$5:$O$203,"&lt;&gt;")</f>
        <v>22</v>
      </c>
    </row>
    <row r="8" ht="15" customHeight="1">
      <c r="A8" t="s" s="36">
        <v>78</v>
      </c>
      <c r="B8" s="37" cm="1">
        <f t="array" ref="B8">COUNTA('Attaccanti'!$E$5:$E$124)</f>
        <v>120</v>
      </c>
      <c r="C8" s="38" cm="1">
        <f t="array" ref="C8">COUNTIF('Attaccanti'!$A$5:$A$124,"TOP")</f>
        <v>12</v>
      </c>
      <c r="D8" s="39" cm="1">
        <f t="array" ref="D8">COUNTIF('Attaccanti'!$A$5:$A$124,"SEMITOP")</f>
        <v>18</v>
      </c>
      <c r="E8" s="40" cm="1">
        <f t="array" ref="E8">COUNTIF('Attaccanti'!$A$5:$A$124,"TERZA FASCIA")</f>
        <v>30</v>
      </c>
      <c r="F8" s="41" cm="1">
        <f t="array" ref="F8">COUNTIF('Attaccanti'!$A$5:$A$124,"QUARTA FASCIA")</f>
        <v>60</v>
      </c>
      <c r="G8" s="42" cm="1">
        <f t="array" ref="G8">COUNTIF('Attaccanti'!$D$5:$D$124,"&lt;&gt;")</f>
        <v>35</v>
      </c>
      <c r="H8" s="43" cm="1">
        <f t="array" ref="H8">COUNTIF('Attaccanti'!$H$5:$H$124,"Titolare*")</f>
        <v>30</v>
      </c>
      <c r="I8" s="44" cm="1">
        <f t="array" ref="I8">COUNTIF('Attaccanti'!$O$5:$O$124,"&lt;&gt;")</f>
        <v>12</v>
      </c>
    </row>
    <row r="9" ht="15" customHeight="1">
      <c r="A9" t="s" s="45">
        <v>79</v>
      </c>
      <c r="B9" s="46" cm="1">
        <f t="array" ref="B9">SUM(B5:B8)</f>
        <v>590</v>
      </c>
      <c r="C9" s="47" cm="1">
        <f t="array" ref="C9">SUM(C5:C8)</f>
        <v>60</v>
      </c>
      <c r="D9" s="48" cm="1">
        <f t="array" ref="D9">SUM(D5:D8)</f>
        <v>88</v>
      </c>
      <c r="E9" s="49" cm="1">
        <f t="array" ref="E9">SUM(E5:E8)</f>
        <v>148</v>
      </c>
      <c r="F9" s="50" cm="1">
        <f t="array" ref="F9">SUM(F5:F8)</f>
        <v>294</v>
      </c>
      <c r="G9" s="51" cm="1">
        <f t="array" ref="G9">SUM(G5:G8)</f>
        <v>126</v>
      </c>
      <c r="H9" s="52" cm="1">
        <f t="array" ref="H9">SUM(H5:H8)</f>
        <v>186</v>
      </c>
      <c r="I9" s="53" cm="1">
        <f t="array" ref="I9">SUM(I5:I8)</f>
        <v>52</v>
      </c>
    </row>
    <row r="10" ht="15" customHeight="1">
      <c r="A10" s="13"/>
      <c r="B10" s="14"/>
      <c r="C10" s="14"/>
      <c r="D10" s="14"/>
      <c r="E10" s="14"/>
      <c r="F10" s="14"/>
      <c r="G10" s="14"/>
      <c r="H10" s="14"/>
      <c r="I10" s="15"/>
    </row>
    <row r="11" ht="15" customHeight="1">
      <c r="A11" s="13"/>
      <c r="B11" s="14"/>
      <c r="C11" s="14"/>
      <c r="D11" s="14"/>
      <c r="E11" s="14"/>
      <c r="F11" s="14"/>
      <c r="G11" s="14"/>
      <c r="H11" s="14"/>
      <c r="I11" s="15"/>
    </row>
    <row r="12" ht="16.15" customHeight="1">
      <c r="A12" t="s" s="54">
        <v>80</v>
      </c>
      <c r="B12" s="14"/>
      <c r="C12" s="14"/>
      <c r="D12" s="14"/>
      <c r="E12" s="14"/>
      <c r="F12" s="14"/>
      <c r="G12" s="14"/>
      <c r="H12" s="14"/>
      <c r="I12" s="15"/>
    </row>
    <row r="13" ht="15" customHeight="1">
      <c r="A13" t="s" s="55">
        <v>81</v>
      </c>
      <c r="B13" s="11"/>
      <c r="C13" s="11"/>
      <c r="D13" s="11"/>
      <c r="E13" s="11"/>
      <c r="F13" s="11"/>
      <c r="G13" s="11"/>
      <c r="H13" s="11"/>
      <c r="I13" s="12"/>
    </row>
    <row r="14" ht="15" customHeight="1">
      <c r="A14" t="s" s="55">
        <v>82</v>
      </c>
      <c r="B14" s="11"/>
      <c r="C14" s="11"/>
      <c r="D14" s="11"/>
      <c r="E14" s="11"/>
      <c r="F14" s="11"/>
      <c r="G14" s="11"/>
      <c r="H14" s="11"/>
      <c r="I14" s="12"/>
    </row>
    <row r="15" ht="15" customHeight="1">
      <c r="A15" t="s" s="55">
        <v>83</v>
      </c>
      <c r="B15" s="11"/>
      <c r="C15" s="11"/>
      <c r="D15" s="11"/>
      <c r="E15" s="11"/>
      <c r="F15" s="11"/>
      <c r="G15" s="11"/>
      <c r="H15" s="11"/>
      <c r="I15" s="12"/>
    </row>
    <row r="16" ht="15" customHeight="1">
      <c r="A16" t="s" s="56">
        <v>84</v>
      </c>
      <c r="B16" s="30"/>
      <c r="C16" s="30"/>
      <c r="D16" s="30"/>
      <c r="E16" s="30"/>
      <c r="F16" s="30"/>
      <c r="G16" s="30"/>
      <c r="H16" s="30"/>
      <c r="I16" s="57"/>
    </row>
  </sheetData>
  <mergeCells count="6">
    <mergeCell ref="A15:I15"/>
    <mergeCell ref="A2:I2"/>
    <mergeCell ref="A13:I13"/>
    <mergeCell ref="A14:I14"/>
    <mergeCell ref="A1:I1"/>
    <mergeCell ref="A16:I16"/>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E595"/>
  <sheetViews>
    <sheetView workbookViewId="0" showGridLines="0" defaultGridColor="1"/>
  </sheetViews>
  <sheetFormatPr defaultColWidth="8.66667" defaultRowHeight="15" customHeight="1" outlineLevelRow="0" outlineLevelCol="0"/>
  <cols>
    <col min="1" max="1" width="16" style="58" customWidth="1"/>
    <col min="2" max="2" width="11" style="58" customWidth="1"/>
    <col min="3" max="3" width="3.17188" style="58" customWidth="1"/>
    <col min="4" max="4" width="12" style="58" customWidth="1"/>
    <col min="5" max="5" width="22" style="58" customWidth="1"/>
    <col min="6" max="6" width="17" style="58" customWidth="1"/>
    <col min="7" max="7" width="13" style="58" customWidth="1"/>
    <col min="8" max="8" width="36" style="58" customWidth="1"/>
    <col min="9" max="9" width="54" style="58" customWidth="1"/>
    <col min="10" max="10" width="7" style="58" customWidth="1"/>
    <col min="11" max="11" width="23" style="58" customWidth="1"/>
    <col min="12" max="12" width="9" style="58" customWidth="1"/>
    <col min="13" max="14" width="10" style="58" customWidth="1"/>
    <col min="15" max="15" width="34" style="58" customWidth="1"/>
    <col min="16" max="19" width="9" style="58" customWidth="1"/>
    <col min="20" max="20" width="10" style="58" customWidth="1"/>
    <col min="21" max="21" width="12" style="58" customWidth="1"/>
    <col min="22" max="25" width="9" style="58" customWidth="1"/>
    <col min="26" max="26" width="10" style="58" customWidth="1"/>
    <col min="27" max="27" width="12" style="58" customWidth="1"/>
    <col min="28" max="28" width="16" style="58" customWidth="1"/>
    <col min="29" max="30" width="17" style="58" customWidth="1"/>
    <col min="31" max="31" width="8.67188" style="58" customWidth="1"/>
    <col min="32" max="16384" width="8.67188" style="58" customWidth="1"/>
  </cols>
  <sheetData>
    <row r="1" ht="33.75" customHeight="1">
      <c r="A1" t="s" s="7">
        <v>85</v>
      </c>
      <c r="B1" s="8"/>
      <c r="C1" s="8"/>
      <c r="D1" s="8"/>
      <c r="E1" s="8"/>
      <c r="F1" s="8"/>
      <c r="G1" s="8"/>
      <c r="H1" s="8"/>
      <c r="I1" s="8"/>
      <c r="J1" s="8"/>
      <c r="K1" s="8"/>
      <c r="L1" s="8"/>
      <c r="M1" s="8"/>
      <c r="N1" s="8"/>
      <c r="O1" s="8"/>
      <c r="P1" s="8"/>
      <c r="Q1" s="8"/>
      <c r="R1" s="8"/>
      <c r="S1" s="8"/>
      <c r="T1" s="8"/>
      <c r="U1" s="8"/>
      <c r="V1" s="8"/>
      <c r="W1" s="8"/>
      <c r="X1" s="8"/>
      <c r="Y1" s="8"/>
      <c r="Z1" s="8"/>
      <c r="AA1" s="8"/>
      <c r="AB1" s="8"/>
      <c r="AC1" s="8"/>
      <c r="AD1" s="8"/>
      <c r="AE1" s="59"/>
    </row>
    <row r="2" ht="24.75" customHeight="1">
      <c r="A2" t="s" s="10">
        <v>86</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60"/>
    </row>
    <row r="3" ht="15" customHeight="1">
      <c r="A3" s="61"/>
      <c r="B3" s="62"/>
      <c r="C3" s="63"/>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0"/>
    </row>
    <row r="4" ht="36" customHeight="1">
      <c r="A4" t="s" s="64">
        <v>87</v>
      </c>
      <c r="B4" t="s" s="65">
        <v>88</v>
      </c>
      <c r="C4" t="s" s="65">
        <v>89</v>
      </c>
      <c r="D4" t="s" s="65">
        <v>90</v>
      </c>
      <c r="E4" t="s" s="65">
        <v>91</v>
      </c>
      <c r="F4" t="s" s="65">
        <v>92</v>
      </c>
      <c r="G4" t="s" s="65">
        <v>93</v>
      </c>
      <c r="H4" t="s" s="65">
        <v>14</v>
      </c>
      <c r="I4" t="s" s="65">
        <v>94</v>
      </c>
      <c r="J4" t="s" s="65">
        <v>95</v>
      </c>
      <c r="K4" t="s" s="65">
        <v>96</v>
      </c>
      <c r="L4" t="s" s="65">
        <v>97</v>
      </c>
      <c r="M4" t="s" s="65">
        <v>98</v>
      </c>
      <c r="N4" t="s" s="65">
        <v>99</v>
      </c>
      <c r="O4" t="s" s="65">
        <v>100</v>
      </c>
      <c r="P4" t="s" s="65">
        <v>101</v>
      </c>
      <c r="Q4" t="s" s="65">
        <v>102</v>
      </c>
      <c r="R4" t="s" s="65">
        <v>103</v>
      </c>
      <c r="S4" t="s" s="65">
        <v>104</v>
      </c>
      <c r="T4" t="s" s="65">
        <v>105</v>
      </c>
      <c r="U4" t="s" s="65">
        <v>106</v>
      </c>
      <c r="V4" t="s" s="65">
        <v>107</v>
      </c>
      <c r="W4" t="s" s="65">
        <v>108</v>
      </c>
      <c r="X4" t="s" s="65">
        <v>109</v>
      </c>
      <c r="Y4" t="s" s="65">
        <v>110</v>
      </c>
      <c r="Z4" t="s" s="65">
        <v>111</v>
      </c>
      <c r="AA4" t="s" s="65">
        <v>112</v>
      </c>
      <c r="AB4" t="s" s="65">
        <v>113</v>
      </c>
      <c r="AC4" t="s" s="65">
        <v>114</v>
      </c>
      <c r="AD4" t="s" s="66">
        <v>115</v>
      </c>
      <c r="AE4" s="67"/>
    </row>
    <row r="5" ht="15" customHeight="1">
      <c r="A5" t="s" s="68">
        <v>26</v>
      </c>
      <c r="B5" s="69">
        <v>91.3</v>
      </c>
      <c r="C5" t="b" s="70">
        <v>0</v>
      </c>
      <c r="D5" s="71"/>
      <c r="E5" t="s" s="72">
        <v>116</v>
      </c>
      <c r="F5" t="s" s="72">
        <v>117</v>
      </c>
      <c r="G5" s="73">
        <v>40</v>
      </c>
      <c r="H5" t="s" s="72">
        <v>118</v>
      </c>
      <c r="I5" t="s" s="72">
        <v>119</v>
      </c>
      <c r="J5" s="73">
        <v>27</v>
      </c>
      <c r="K5" t="s" s="72">
        <v>120</v>
      </c>
      <c r="L5" t="s" s="72">
        <v>121</v>
      </c>
      <c r="M5" s="71"/>
      <c r="N5" s="71"/>
      <c r="O5" s="71"/>
      <c r="P5" s="73">
        <v>2</v>
      </c>
      <c r="Q5" s="74">
        <v>6.25</v>
      </c>
      <c r="R5" s="74">
        <v>6.25</v>
      </c>
      <c r="S5" s="73">
        <v>0</v>
      </c>
      <c r="T5" s="73">
        <v>0</v>
      </c>
      <c r="U5" t="s" s="72">
        <v>122</v>
      </c>
      <c r="V5" s="73">
        <v>38</v>
      </c>
      <c r="W5" s="74">
        <v>6.32</v>
      </c>
      <c r="X5" s="74">
        <v>5.5</v>
      </c>
      <c r="Y5" s="73">
        <v>0</v>
      </c>
      <c r="Z5" s="73">
        <v>0</v>
      </c>
      <c r="AA5" t="s" s="72">
        <v>123</v>
      </c>
      <c r="AB5" t="s" s="72">
        <v>124</v>
      </c>
      <c r="AC5" t="s" s="72">
        <v>124</v>
      </c>
      <c r="AD5" t="s" s="75">
        <v>125</v>
      </c>
      <c r="AE5" s="67"/>
    </row>
    <row r="6" ht="15" customHeight="1">
      <c r="A6" t="s" s="68">
        <v>26</v>
      </c>
      <c r="B6" s="76">
        <v>90.40000000000001</v>
      </c>
      <c r="C6" t="b" s="77">
        <v>0</v>
      </c>
      <c r="D6" s="78"/>
      <c r="E6" t="s" s="79">
        <v>126</v>
      </c>
      <c r="F6" t="s" s="79">
        <v>127</v>
      </c>
      <c r="G6" s="80">
        <v>35</v>
      </c>
      <c r="H6" t="s" s="79">
        <v>118</v>
      </c>
      <c r="I6" t="s" s="79">
        <v>119</v>
      </c>
      <c r="J6" s="80">
        <v>26</v>
      </c>
      <c r="K6" t="s" s="79">
        <v>128</v>
      </c>
      <c r="L6" t="s" s="79">
        <v>121</v>
      </c>
      <c r="M6" s="78"/>
      <c r="N6" s="78"/>
      <c r="O6" s="78"/>
      <c r="P6" s="80">
        <v>2</v>
      </c>
      <c r="Q6" s="81">
        <v>6.75</v>
      </c>
      <c r="R6" s="81">
        <v>6.75</v>
      </c>
      <c r="S6" s="80">
        <v>0</v>
      </c>
      <c r="T6" s="80">
        <v>1</v>
      </c>
      <c r="U6" t="s" s="79">
        <v>122</v>
      </c>
      <c r="V6" s="80">
        <v>37</v>
      </c>
      <c r="W6" s="81">
        <v>6.43</v>
      </c>
      <c r="X6" s="81">
        <v>5.65</v>
      </c>
      <c r="Y6" s="80">
        <v>0</v>
      </c>
      <c r="Z6" s="80">
        <v>0</v>
      </c>
      <c r="AA6" t="s" s="79">
        <v>123</v>
      </c>
      <c r="AB6" t="s" s="79">
        <v>124</v>
      </c>
      <c r="AC6" t="s" s="79">
        <v>124</v>
      </c>
      <c r="AD6" t="s" s="82">
        <v>125</v>
      </c>
      <c r="AE6" s="67"/>
    </row>
    <row r="7" ht="15" customHeight="1">
      <c r="A7" t="s" s="68">
        <v>26</v>
      </c>
      <c r="B7" s="69">
        <v>85.3</v>
      </c>
      <c r="C7" t="b" s="70">
        <v>0</v>
      </c>
      <c r="D7" s="71"/>
      <c r="E7" t="s" s="72">
        <v>129</v>
      </c>
      <c r="F7" t="s" s="72">
        <v>130</v>
      </c>
      <c r="G7" s="73">
        <v>34</v>
      </c>
      <c r="H7" t="s" s="72">
        <v>118</v>
      </c>
      <c r="I7" t="s" s="72">
        <v>131</v>
      </c>
      <c r="J7" s="73">
        <v>31</v>
      </c>
      <c r="K7" t="s" s="72">
        <v>132</v>
      </c>
      <c r="L7" t="s" s="72">
        <v>121</v>
      </c>
      <c r="M7" s="71"/>
      <c r="N7" s="71"/>
      <c r="O7" s="71"/>
      <c r="P7" s="73">
        <v>2</v>
      </c>
      <c r="Q7" s="74">
        <v>6</v>
      </c>
      <c r="R7" s="74">
        <v>5.5</v>
      </c>
      <c r="S7" s="73">
        <v>0</v>
      </c>
      <c r="T7" s="73">
        <v>0</v>
      </c>
      <c r="U7" t="s" s="72">
        <v>122</v>
      </c>
      <c r="V7" s="73">
        <v>37</v>
      </c>
      <c r="W7" s="74">
        <v>6.3</v>
      </c>
      <c r="X7" s="74">
        <v>5.46</v>
      </c>
      <c r="Y7" s="73">
        <v>0</v>
      </c>
      <c r="Z7" s="73">
        <v>0</v>
      </c>
      <c r="AA7" t="s" s="72">
        <v>123</v>
      </c>
      <c r="AB7" t="s" s="72">
        <v>124</v>
      </c>
      <c r="AC7" t="s" s="72">
        <v>124</v>
      </c>
      <c r="AD7" t="s" s="75">
        <v>125</v>
      </c>
      <c r="AE7" s="67"/>
    </row>
    <row r="8" ht="15" customHeight="1">
      <c r="A8" t="s" s="68">
        <v>26</v>
      </c>
      <c r="B8" s="76">
        <v>84</v>
      </c>
      <c r="C8" t="b" s="77">
        <v>0</v>
      </c>
      <c r="D8" s="78"/>
      <c r="E8" t="s" s="79">
        <v>133</v>
      </c>
      <c r="F8" t="s" s="79">
        <v>134</v>
      </c>
      <c r="G8" s="80">
        <v>29</v>
      </c>
      <c r="H8" t="s" s="79">
        <v>118</v>
      </c>
      <c r="I8" t="s" s="79">
        <v>135</v>
      </c>
      <c r="J8" s="80">
        <v>28</v>
      </c>
      <c r="K8" t="s" s="79">
        <v>136</v>
      </c>
      <c r="L8" t="s" s="79">
        <v>121</v>
      </c>
      <c r="M8" s="78"/>
      <c r="N8" s="78"/>
      <c r="O8" s="78"/>
      <c r="P8" s="80">
        <v>2</v>
      </c>
      <c r="Q8" s="81">
        <v>6</v>
      </c>
      <c r="R8" s="81">
        <v>5.5</v>
      </c>
      <c r="S8" s="80">
        <v>0</v>
      </c>
      <c r="T8" s="80">
        <v>0</v>
      </c>
      <c r="U8" t="s" s="79">
        <v>122</v>
      </c>
      <c r="V8" s="80">
        <v>5</v>
      </c>
      <c r="W8" s="81">
        <v>6</v>
      </c>
      <c r="X8" s="81">
        <v>5.2</v>
      </c>
      <c r="Y8" s="80">
        <v>0</v>
      </c>
      <c r="Z8" s="80">
        <v>0</v>
      </c>
      <c r="AA8" t="s" s="79">
        <v>123</v>
      </c>
      <c r="AB8" t="s" s="79">
        <v>124</v>
      </c>
      <c r="AC8" t="s" s="79">
        <v>124</v>
      </c>
      <c r="AD8" t="s" s="82">
        <v>125</v>
      </c>
      <c r="AE8" s="67"/>
    </row>
    <row r="9" ht="15" customHeight="1">
      <c r="A9" t="s" s="68">
        <v>26</v>
      </c>
      <c r="B9" s="69">
        <v>83.7</v>
      </c>
      <c r="C9" t="b" s="70">
        <v>0</v>
      </c>
      <c r="D9" s="71"/>
      <c r="E9" t="s" s="72">
        <v>137</v>
      </c>
      <c r="F9" t="s" s="72">
        <v>138</v>
      </c>
      <c r="G9" s="73">
        <v>32</v>
      </c>
      <c r="H9" t="s" s="72">
        <v>118</v>
      </c>
      <c r="I9" t="s" s="72">
        <v>139</v>
      </c>
      <c r="J9" s="73">
        <v>29</v>
      </c>
      <c r="K9" t="s" s="72">
        <v>128</v>
      </c>
      <c r="L9" t="s" s="72">
        <v>121</v>
      </c>
      <c r="M9" s="71"/>
      <c r="N9" s="71"/>
      <c r="O9" s="71"/>
      <c r="P9" s="73">
        <v>2</v>
      </c>
      <c r="Q9" s="74">
        <v>6.5</v>
      </c>
      <c r="R9" s="74">
        <v>6.5</v>
      </c>
      <c r="S9" s="73">
        <v>0</v>
      </c>
      <c r="T9" s="73">
        <v>0</v>
      </c>
      <c r="U9" t="s" s="72">
        <v>122</v>
      </c>
      <c r="V9" s="71"/>
      <c r="W9" s="71"/>
      <c r="X9" s="71"/>
      <c r="Y9" s="71"/>
      <c r="Z9" s="71"/>
      <c r="AA9" s="71"/>
      <c r="AB9" t="s" s="72">
        <v>124</v>
      </c>
      <c r="AC9" t="s" s="72">
        <v>124</v>
      </c>
      <c r="AD9" t="s" s="75">
        <v>125</v>
      </c>
      <c r="AE9" s="67"/>
    </row>
    <row r="10" ht="15" customHeight="1">
      <c r="A10" t="s" s="68">
        <v>26</v>
      </c>
      <c r="B10" s="76">
        <v>83.7</v>
      </c>
      <c r="C10" t="b" s="77">
        <v>0</v>
      </c>
      <c r="D10" s="78"/>
      <c r="E10" t="s" s="79">
        <v>140</v>
      </c>
      <c r="F10" t="s" s="79">
        <v>141</v>
      </c>
      <c r="G10" s="80">
        <v>31</v>
      </c>
      <c r="H10" t="s" s="79">
        <v>118</v>
      </c>
      <c r="I10" t="s" s="79">
        <v>131</v>
      </c>
      <c r="J10" s="80">
        <v>31</v>
      </c>
      <c r="K10" t="s" s="79">
        <v>142</v>
      </c>
      <c r="L10" t="s" s="79">
        <v>121</v>
      </c>
      <c r="M10" s="78"/>
      <c r="N10" s="78"/>
      <c r="O10" s="78"/>
      <c r="P10" s="80">
        <v>3</v>
      </c>
      <c r="Q10" s="81">
        <v>6.17</v>
      </c>
      <c r="R10" s="81">
        <v>5.17</v>
      </c>
      <c r="S10" s="80">
        <v>0</v>
      </c>
      <c r="T10" s="80">
        <v>0</v>
      </c>
      <c r="U10" t="s" s="79">
        <v>122</v>
      </c>
      <c r="V10" s="80">
        <v>38</v>
      </c>
      <c r="W10" s="81">
        <v>6.11</v>
      </c>
      <c r="X10" s="81">
        <v>5.41</v>
      </c>
      <c r="Y10" s="80">
        <v>0</v>
      </c>
      <c r="Z10" s="80">
        <v>1</v>
      </c>
      <c r="AA10" t="s" s="79">
        <v>123</v>
      </c>
      <c r="AB10" t="s" s="79">
        <v>124</v>
      </c>
      <c r="AC10" t="s" s="79">
        <v>124</v>
      </c>
      <c r="AD10" t="s" s="82">
        <v>125</v>
      </c>
      <c r="AE10" s="67"/>
    </row>
    <row r="11" ht="15" customHeight="1">
      <c r="A11" t="s" s="68">
        <v>26</v>
      </c>
      <c r="B11" s="69">
        <v>78.2</v>
      </c>
      <c r="C11" t="b" s="70">
        <v>0</v>
      </c>
      <c r="D11" s="71"/>
      <c r="E11" t="s" s="72">
        <v>143</v>
      </c>
      <c r="F11" t="s" s="72">
        <v>144</v>
      </c>
      <c r="G11" s="73">
        <v>22</v>
      </c>
      <c r="H11" t="s" s="72">
        <v>118</v>
      </c>
      <c r="I11" t="s" s="72">
        <v>118</v>
      </c>
      <c r="J11" s="73">
        <v>35</v>
      </c>
      <c r="K11" t="s" s="72">
        <v>145</v>
      </c>
      <c r="L11" t="s" s="72">
        <v>121</v>
      </c>
      <c r="M11" s="71"/>
      <c r="N11" s="71"/>
      <c r="O11" s="71"/>
      <c r="P11" s="73">
        <v>2</v>
      </c>
      <c r="Q11" s="74">
        <v>5.25</v>
      </c>
      <c r="R11" s="74">
        <v>4.25</v>
      </c>
      <c r="S11" s="73">
        <v>0</v>
      </c>
      <c r="T11" s="73">
        <v>0</v>
      </c>
      <c r="U11" t="s" s="72">
        <v>122</v>
      </c>
      <c r="V11" s="73">
        <v>18</v>
      </c>
      <c r="W11" s="74">
        <v>6.14</v>
      </c>
      <c r="X11" s="74">
        <v>5.22</v>
      </c>
      <c r="Y11" s="73">
        <v>0</v>
      </c>
      <c r="Z11" s="73">
        <v>0</v>
      </c>
      <c r="AA11" t="s" s="72">
        <v>123</v>
      </c>
      <c r="AB11" t="s" s="72">
        <v>124</v>
      </c>
      <c r="AC11" t="s" s="72">
        <v>124</v>
      </c>
      <c r="AD11" t="s" s="75">
        <v>125</v>
      </c>
      <c r="AE11" s="67"/>
    </row>
    <row r="12" ht="15" customHeight="1">
      <c r="A12" t="s" s="68">
        <v>26</v>
      </c>
      <c r="B12" s="76">
        <v>77.5</v>
      </c>
      <c r="C12" t="b" s="77">
        <v>0</v>
      </c>
      <c r="D12" s="78"/>
      <c r="E12" t="s" s="79">
        <v>146</v>
      </c>
      <c r="F12" t="s" s="79">
        <v>147</v>
      </c>
      <c r="G12" s="80">
        <v>21</v>
      </c>
      <c r="H12" t="s" s="79">
        <v>118</v>
      </c>
      <c r="I12" t="s" s="79">
        <v>131</v>
      </c>
      <c r="J12" s="80">
        <v>25</v>
      </c>
      <c r="K12" t="s" s="79">
        <v>128</v>
      </c>
      <c r="L12" t="s" s="79">
        <v>121</v>
      </c>
      <c r="M12" s="78"/>
      <c r="N12" s="78"/>
      <c r="O12" s="78"/>
      <c r="P12" s="80">
        <v>2</v>
      </c>
      <c r="Q12" s="81">
        <v>6.5</v>
      </c>
      <c r="R12" s="81">
        <v>6</v>
      </c>
      <c r="S12" s="80">
        <v>0</v>
      </c>
      <c r="T12" s="80">
        <v>0</v>
      </c>
      <c r="U12" t="s" s="79">
        <v>122</v>
      </c>
      <c r="V12" s="80">
        <v>38</v>
      </c>
      <c r="W12" s="81">
        <v>6.29</v>
      </c>
      <c r="X12" s="81">
        <v>4.87</v>
      </c>
      <c r="Y12" s="80">
        <v>0</v>
      </c>
      <c r="Z12" s="80">
        <v>0</v>
      </c>
      <c r="AA12" t="s" s="79">
        <v>123</v>
      </c>
      <c r="AB12" t="s" s="79">
        <v>124</v>
      </c>
      <c r="AC12" t="s" s="79">
        <v>124</v>
      </c>
      <c r="AD12" t="s" s="82">
        <v>125</v>
      </c>
      <c r="AE12" s="67"/>
    </row>
    <row r="13" ht="15" customHeight="1">
      <c r="A13" t="s" s="83">
        <v>28</v>
      </c>
      <c r="B13" s="69">
        <v>77.40000000000001</v>
      </c>
      <c r="C13" t="b" s="70">
        <v>0</v>
      </c>
      <c r="D13" s="71"/>
      <c r="E13" t="s" s="72">
        <v>148</v>
      </c>
      <c r="F13" t="s" s="72">
        <v>149</v>
      </c>
      <c r="G13" s="73">
        <v>29</v>
      </c>
      <c r="H13" t="s" s="72">
        <v>118</v>
      </c>
      <c r="I13" t="s" s="72">
        <v>150</v>
      </c>
      <c r="J13" s="73">
        <v>24</v>
      </c>
      <c r="K13" t="s" s="72">
        <v>151</v>
      </c>
      <c r="L13" t="s" s="72">
        <v>121</v>
      </c>
      <c r="M13" s="71"/>
      <c r="N13" s="71"/>
      <c r="O13" s="71"/>
      <c r="P13" s="73">
        <v>2</v>
      </c>
      <c r="Q13" s="74">
        <v>6.5</v>
      </c>
      <c r="R13" s="74">
        <v>6.5</v>
      </c>
      <c r="S13" s="73">
        <v>0</v>
      </c>
      <c r="T13" s="73">
        <v>0</v>
      </c>
      <c r="U13" t="s" s="72">
        <v>122</v>
      </c>
      <c r="V13" s="73">
        <v>0</v>
      </c>
      <c r="W13" s="74">
        <v>0</v>
      </c>
      <c r="X13" s="74">
        <v>0</v>
      </c>
      <c r="Y13" s="73">
        <v>0</v>
      </c>
      <c r="Z13" s="73">
        <v>0</v>
      </c>
      <c r="AA13" t="s" s="72">
        <v>123</v>
      </c>
      <c r="AB13" t="s" s="72">
        <v>124</v>
      </c>
      <c r="AC13" t="s" s="72">
        <v>124</v>
      </c>
      <c r="AD13" t="s" s="75">
        <v>125</v>
      </c>
      <c r="AE13" s="67"/>
    </row>
    <row r="14" ht="15" customHeight="1">
      <c r="A14" t="s" s="83">
        <v>28</v>
      </c>
      <c r="B14" s="76">
        <v>75.09999999999999</v>
      </c>
      <c r="C14" t="b" s="77">
        <v>0</v>
      </c>
      <c r="D14" s="78"/>
      <c r="E14" t="s" s="79">
        <v>152</v>
      </c>
      <c r="F14" t="s" s="79">
        <v>153</v>
      </c>
      <c r="G14" s="80">
        <v>15</v>
      </c>
      <c r="H14" t="s" s="79">
        <v>118</v>
      </c>
      <c r="I14" t="s" s="79">
        <v>135</v>
      </c>
      <c r="J14" s="80">
        <v>29</v>
      </c>
      <c r="K14" t="s" s="79">
        <v>128</v>
      </c>
      <c r="L14" t="s" s="79">
        <v>154</v>
      </c>
      <c r="M14" s="78"/>
      <c r="N14" s="78"/>
      <c r="O14" s="78"/>
      <c r="P14" s="80">
        <v>2</v>
      </c>
      <c r="Q14" s="81">
        <v>6</v>
      </c>
      <c r="R14" s="81">
        <v>5</v>
      </c>
      <c r="S14" s="80">
        <v>0</v>
      </c>
      <c r="T14" s="80">
        <v>0</v>
      </c>
      <c r="U14" t="s" s="79">
        <v>122</v>
      </c>
      <c r="V14" s="80">
        <v>11</v>
      </c>
      <c r="W14" s="81">
        <v>6.18</v>
      </c>
      <c r="X14" s="81">
        <v>5.14</v>
      </c>
      <c r="Y14" s="80">
        <v>0</v>
      </c>
      <c r="Z14" s="80">
        <v>1</v>
      </c>
      <c r="AA14" t="s" s="79">
        <v>123</v>
      </c>
      <c r="AB14" t="s" s="79">
        <v>124</v>
      </c>
      <c r="AC14" t="s" s="79">
        <v>124</v>
      </c>
      <c r="AD14" t="s" s="82">
        <v>125</v>
      </c>
      <c r="AE14" s="67"/>
    </row>
    <row r="15" ht="15" customHeight="1">
      <c r="A15" t="s" s="83">
        <v>28</v>
      </c>
      <c r="B15" s="69">
        <v>75.09999999999999</v>
      </c>
      <c r="C15" t="b" s="70">
        <v>0</v>
      </c>
      <c r="D15" s="71"/>
      <c r="E15" t="s" s="72">
        <v>155</v>
      </c>
      <c r="F15" t="s" s="72">
        <v>156</v>
      </c>
      <c r="G15" s="73">
        <v>17</v>
      </c>
      <c r="H15" t="s" s="72">
        <v>118</v>
      </c>
      <c r="I15" t="s" s="72">
        <v>118</v>
      </c>
      <c r="J15" s="73">
        <v>28</v>
      </c>
      <c r="K15" t="s" s="72">
        <v>157</v>
      </c>
      <c r="L15" t="s" s="72">
        <v>121</v>
      </c>
      <c r="M15" s="71"/>
      <c r="N15" s="71"/>
      <c r="O15" s="71"/>
      <c r="P15" s="73">
        <v>3</v>
      </c>
      <c r="Q15" s="74">
        <v>5.33</v>
      </c>
      <c r="R15" s="74">
        <v>3</v>
      </c>
      <c r="S15" s="73">
        <v>0</v>
      </c>
      <c r="T15" s="73">
        <v>0</v>
      </c>
      <c r="U15" t="s" s="72">
        <v>122</v>
      </c>
      <c r="V15" s="73">
        <v>16</v>
      </c>
      <c r="W15" s="74">
        <v>6.09</v>
      </c>
      <c r="X15" s="74">
        <v>4.81</v>
      </c>
      <c r="Y15" s="73">
        <v>0</v>
      </c>
      <c r="Z15" s="73">
        <v>0</v>
      </c>
      <c r="AA15" t="s" s="72">
        <v>123</v>
      </c>
      <c r="AB15" t="s" s="72">
        <v>124</v>
      </c>
      <c r="AC15" t="s" s="72">
        <v>124</v>
      </c>
      <c r="AD15" t="s" s="75">
        <v>125</v>
      </c>
      <c r="AE15" s="67"/>
    </row>
    <row r="16" ht="15" customHeight="1">
      <c r="A16" t="s" s="83">
        <v>28</v>
      </c>
      <c r="B16" s="76">
        <v>74.3</v>
      </c>
      <c r="C16" t="b" s="77">
        <v>0</v>
      </c>
      <c r="D16" s="78"/>
      <c r="E16" t="s" s="79">
        <v>158</v>
      </c>
      <c r="F16" t="s" s="79">
        <v>159</v>
      </c>
      <c r="G16" s="80">
        <v>16</v>
      </c>
      <c r="H16" t="s" s="79">
        <v>118</v>
      </c>
      <c r="I16" t="s" s="79">
        <v>131</v>
      </c>
      <c r="J16" s="80">
        <v>27</v>
      </c>
      <c r="K16" t="s" s="79">
        <v>160</v>
      </c>
      <c r="L16" t="s" s="79">
        <v>121</v>
      </c>
      <c r="M16" s="78"/>
      <c r="N16" s="78"/>
      <c r="O16" s="78"/>
      <c r="P16" s="80">
        <v>2</v>
      </c>
      <c r="Q16" s="81">
        <v>6.25</v>
      </c>
      <c r="R16" s="81">
        <v>4.75</v>
      </c>
      <c r="S16" s="80">
        <v>0</v>
      </c>
      <c r="T16" s="80">
        <v>0</v>
      </c>
      <c r="U16" t="s" s="79">
        <v>122</v>
      </c>
      <c r="V16" s="80">
        <v>30</v>
      </c>
      <c r="W16" s="81">
        <v>6.08</v>
      </c>
      <c r="X16" s="81">
        <v>5.1</v>
      </c>
      <c r="Y16" s="80">
        <v>0</v>
      </c>
      <c r="Z16" s="80">
        <v>1</v>
      </c>
      <c r="AA16" t="s" s="79">
        <v>123</v>
      </c>
      <c r="AB16" t="s" s="79">
        <v>124</v>
      </c>
      <c r="AC16" t="s" s="79">
        <v>124</v>
      </c>
      <c r="AD16" t="s" s="82">
        <v>125</v>
      </c>
      <c r="AE16" s="67"/>
    </row>
    <row r="17" ht="15" customHeight="1">
      <c r="A17" t="s" s="83">
        <v>28</v>
      </c>
      <c r="B17" s="69">
        <v>73.5</v>
      </c>
      <c r="C17" t="b" s="70">
        <v>0</v>
      </c>
      <c r="D17" t="s" s="84">
        <v>161</v>
      </c>
      <c r="E17" t="s" s="72">
        <v>162</v>
      </c>
      <c r="F17" t="s" s="72">
        <v>163</v>
      </c>
      <c r="G17" s="73">
        <v>22</v>
      </c>
      <c r="H17" t="s" s="72">
        <v>164</v>
      </c>
      <c r="I17" t="s" s="72">
        <v>165</v>
      </c>
      <c r="J17" s="73">
        <v>28</v>
      </c>
      <c r="K17" t="s" s="72">
        <v>166</v>
      </c>
      <c r="L17" t="s" s="72">
        <v>121</v>
      </c>
      <c r="M17" s="71"/>
      <c r="N17" s="71"/>
      <c r="O17" s="71"/>
      <c r="P17" s="73">
        <v>0</v>
      </c>
      <c r="Q17" s="74">
        <v>0</v>
      </c>
      <c r="R17" s="74">
        <v>0</v>
      </c>
      <c r="S17" s="73">
        <v>0</v>
      </c>
      <c r="T17" s="73">
        <v>0</v>
      </c>
      <c r="U17" t="s" s="72">
        <v>122</v>
      </c>
      <c r="V17" s="71"/>
      <c r="W17" s="71"/>
      <c r="X17" s="71"/>
      <c r="Y17" s="71"/>
      <c r="Z17" s="71"/>
      <c r="AA17" s="71"/>
      <c r="AB17" t="s" s="72">
        <v>124</v>
      </c>
      <c r="AC17" t="s" s="72">
        <v>124</v>
      </c>
      <c r="AD17" t="s" s="75">
        <v>125</v>
      </c>
      <c r="AE17" s="67"/>
    </row>
    <row r="18" ht="15" customHeight="1">
      <c r="A18" t="s" s="83">
        <v>28</v>
      </c>
      <c r="B18" s="76">
        <v>72.5</v>
      </c>
      <c r="C18" t="b" s="77">
        <v>0</v>
      </c>
      <c r="D18" s="78"/>
      <c r="E18" t="s" s="79">
        <v>167</v>
      </c>
      <c r="F18" t="s" s="79">
        <v>168</v>
      </c>
      <c r="G18" s="80">
        <v>15</v>
      </c>
      <c r="H18" t="s" s="79">
        <v>118</v>
      </c>
      <c r="I18" t="s" s="79">
        <v>131</v>
      </c>
      <c r="J18" s="80">
        <v>31</v>
      </c>
      <c r="K18" t="s" s="79">
        <v>128</v>
      </c>
      <c r="L18" t="s" s="79">
        <v>121</v>
      </c>
      <c r="M18" s="78"/>
      <c r="N18" s="78"/>
      <c r="O18" s="78"/>
      <c r="P18" s="80">
        <v>2</v>
      </c>
      <c r="Q18" s="81">
        <v>6.25</v>
      </c>
      <c r="R18" s="81">
        <v>4.25</v>
      </c>
      <c r="S18" s="80">
        <v>0</v>
      </c>
      <c r="T18" s="80">
        <v>0</v>
      </c>
      <c r="U18" t="s" s="79">
        <v>122</v>
      </c>
      <c r="V18" s="80">
        <v>38</v>
      </c>
      <c r="W18" s="81">
        <v>6.45</v>
      </c>
      <c r="X18" s="81">
        <v>5.26</v>
      </c>
      <c r="Y18" s="80">
        <v>0</v>
      </c>
      <c r="Z18" s="80">
        <v>0</v>
      </c>
      <c r="AA18" t="s" s="79">
        <v>123</v>
      </c>
      <c r="AB18" t="s" s="79">
        <v>124</v>
      </c>
      <c r="AC18" t="s" s="79">
        <v>124</v>
      </c>
      <c r="AD18" t="s" s="82">
        <v>125</v>
      </c>
      <c r="AE18" s="67"/>
    </row>
    <row r="19" ht="15" customHeight="1">
      <c r="A19" t="s" s="83">
        <v>28</v>
      </c>
      <c r="B19" s="69">
        <v>72.3</v>
      </c>
      <c r="C19" t="b" s="70">
        <v>0</v>
      </c>
      <c r="D19" s="71"/>
      <c r="E19" t="s" s="72">
        <v>169</v>
      </c>
      <c r="F19" t="s" s="72">
        <v>170</v>
      </c>
      <c r="G19" s="73">
        <v>15</v>
      </c>
      <c r="H19" t="s" s="72">
        <v>118</v>
      </c>
      <c r="I19" t="s" s="72">
        <v>131</v>
      </c>
      <c r="J19" s="73">
        <v>35</v>
      </c>
      <c r="K19" t="s" s="72">
        <v>136</v>
      </c>
      <c r="L19" t="s" s="72">
        <v>121</v>
      </c>
      <c r="M19" s="71"/>
      <c r="N19" s="71"/>
      <c r="O19" s="71"/>
      <c r="P19" s="73">
        <v>2</v>
      </c>
      <c r="Q19" s="74">
        <v>5</v>
      </c>
      <c r="R19" s="74">
        <v>1.5</v>
      </c>
      <c r="S19" s="73">
        <v>0</v>
      </c>
      <c r="T19" s="73">
        <v>0</v>
      </c>
      <c r="U19" t="s" s="72">
        <v>122</v>
      </c>
      <c r="V19" s="73">
        <v>37</v>
      </c>
      <c r="W19" s="74">
        <v>6.22</v>
      </c>
      <c r="X19" s="74">
        <v>4.97</v>
      </c>
      <c r="Y19" s="73">
        <v>0</v>
      </c>
      <c r="Z19" s="73">
        <v>0</v>
      </c>
      <c r="AA19" t="s" s="72">
        <v>123</v>
      </c>
      <c r="AB19" t="s" s="72">
        <v>124</v>
      </c>
      <c r="AC19" t="s" s="72">
        <v>124</v>
      </c>
      <c r="AD19" t="s" s="75">
        <v>125</v>
      </c>
      <c r="AE19" s="67"/>
    </row>
    <row r="20" ht="15" customHeight="1">
      <c r="A20" t="s" s="83">
        <v>28</v>
      </c>
      <c r="B20" s="76">
        <v>72.09999999999999</v>
      </c>
      <c r="C20" t="b" s="77">
        <v>0</v>
      </c>
      <c r="D20" s="78"/>
      <c r="E20" t="s" s="79">
        <v>171</v>
      </c>
      <c r="F20" t="s" s="79">
        <v>172</v>
      </c>
      <c r="G20" s="80">
        <v>15</v>
      </c>
      <c r="H20" t="s" s="79">
        <v>118</v>
      </c>
      <c r="I20" t="s" s="79">
        <v>131</v>
      </c>
      <c r="J20" s="80">
        <v>27</v>
      </c>
      <c r="K20" t="s" s="79">
        <v>173</v>
      </c>
      <c r="L20" t="s" s="79">
        <v>121</v>
      </c>
      <c r="M20" s="78"/>
      <c r="N20" s="78"/>
      <c r="O20" s="78"/>
      <c r="P20" s="80">
        <v>2</v>
      </c>
      <c r="Q20" s="81">
        <v>6.5</v>
      </c>
      <c r="R20" s="81">
        <v>5</v>
      </c>
      <c r="S20" s="80">
        <v>0</v>
      </c>
      <c r="T20" s="80">
        <v>0</v>
      </c>
      <c r="U20" t="s" s="79">
        <v>122</v>
      </c>
      <c r="V20" s="80">
        <v>32</v>
      </c>
      <c r="W20" s="81">
        <v>6.06</v>
      </c>
      <c r="X20" s="81">
        <v>4.75</v>
      </c>
      <c r="Y20" s="80">
        <v>0</v>
      </c>
      <c r="Z20" s="80">
        <v>0</v>
      </c>
      <c r="AA20" t="s" s="79">
        <v>123</v>
      </c>
      <c r="AB20" t="s" s="79">
        <v>124</v>
      </c>
      <c r="AC20" t="s" s="79">
        <v>124</v>
      </c>
      <c r="AD20" t="s" s="82">
        <v>125</v>
      </c>
      <c r="AE20" s="67"/>
    </row>
    <row r="21" ht="15" customHeight="1">
      <c r="A21" t="s" s="83">
        <v>28</v>
      </c>
      <c r="B21" s="69">
        <v>70.90000000000001</v>
      </c>
      <c r="C21" t="b" s="70">
        <v>0</v>
      </c>
      <c r="D21" s="71"/>
      <c r="E21" t="s" s="72">
        <v>174</v>
      </c>
      <c r="F21" t="s" s="72">
        <v>153</v>
      </c>
      <c r="G21" s="73">
        <v>28</v>
      </c>
      <c r="H21" t="s" s="72">
        <v>175</v>
      </c>
      <c r="I21" t="s" s="72">
        <v>176</v>
      </c>
      <c r="J21" s="73">
        <v>29</v>
      </c>
      <c r="K21" t="s" s="72">
        <v>177</v>
      </c>
      <c r="L21" t="s" s="72">
        <v>121</v>
      </c>
      <c r="M21" s="71"/>
      <c r="N21" s="71"/>
      <c r="O21" s="71"/>
      <c r="P21" s="73">
        <v>0</v>
      </c>
      <c r="Q21" s="74">
        <v>0</v>
      </c>
      <c r="R21" s="74">
        <v>0</v>
      </c>
      <c r="S21" s="73">
        <v>0</v>
      </c>
      <c r="T21" s="73">
        <v>0</v>
      </c>
      <c r="U21" t="s" s="72">
        <v>122</v>
      </c>
      <c r="V21" s="73">
        <v>27</v>
      </c>
      <c r="W21" s="74">
        <v>6.17</v>
      </c>
      <c r="X21" s="74">
        <v>5.61</v>
      </c>
      <c r="Y21" s="73">
        <v>0</v>
      </c>
      <c r="Z21" s="73">
        <v>0</v>
      </c>
      <c r="AA21" t="s" s="72">
        <v>123</v>
      </c>
      <c r="AB21" t="s" s="72">
        <v>124</v>
      </c>
      <c r="AC21" t="s" s="72">
        <v>124</v>
      </c>
      <c r="AD21" t="s" s="75">
        <v>125</v>
      </c>
      <c r="AE21" s="67"/>
    </row>
    <row r="22" ht="15" customHeight="1">
      <c r="A22" t="s" s="83">
        <v>28</v>
      </c>
      <c r="B22" s="76">
        <v>67.59999999999999</v>
      </c>
      <c r="C22" t="b" s="77">
        <v>0</v>
      </c>
      <c r="D22" t="s" s="85">
        <v>178</v>
      </c>
      <c r="E22" t="s" s="79">
        <v>179</v>
      </c>
      <c r="F22" t="s" s="79">
        <v>180</v>
      </c>
      <c r="G22" s="80">
        <v>14</v>
      </c>
      <c r="H22" t="s" s="79">
        <v>118</v>
      </c>
      <c r="I22" t="s" s="79">
        <v>181</v>
      </c>
      <c r="J22" s="80">
        <v>22</v>
      </c>
      <c r="K22" t="s" s="79">
        <v>128</v>
      </c>
      <c r="L22" t="s" s="79">
        <v>121</v>
      </c>
      <c r="M22" s="78"/>
      <c r="N22" s="78"/>
      <c r="O22" s="78"/>
      <c r="P22" s="80">
        <v>2</v>
      </c>
      <c r="Q22" s="81">
        <v>6.25</v>
      </c>
      <c r="R22" s="81">
        <v>5.75</v>
      </c>
      <c r="S22" s="80">
        <v>0</v>
      </c>
      <c r="T22" s="80">
        <v>0</v>
      </c>
      <c r="U22" t="s" s="79">
        <v>122</v>
      </c>
      <c r="V22" s="78"/>
      <c r="W22" s="78"/>
      <c r="X22" s="78"/>
      <c r="Y22" s="78"/>
      <c r="Z22" s="78"/>
      <c r="AA22" s="78"/>
      <c r="AB22" t="s" s="79">
        <v>124</v>
      </c>
      <c r="AC22" t="s" s="79">
        <v>124</v>
      </c>
      <c r="AD22" t="s" s="82">
        <v>125</v>
      </c>
      <c r="AE22" s="67"/>
    </row>
    <row r="23" ht="15" customHeight="1">
      <c r="A23" t="s" s="86">
        <v>30</v>
      </c>
      <c r="B23" s="69">
        <v>64.59999999999999</v>
      </c>
      <c r="C23" t="b" s="70">
        <v>0</v>
      </c>
      <c r="D23" s="71"/>
      <c r="E23" t="s" s="72">
        <v>182</v>
      </c>
      <c r="F23" t="s" s="72">
        <v>183</v>
      </c>
      <c r="G23" s="73">
        <v>11</v>
      </c>
      <c r="H23" t="s" s="72">
        <v>118</v>
      </c>
      <c r="I23" t="s" s="72">
        <v>150</v>
      </c>
      <c r="J23" s="73">
        <v>24</v>
      </c>
      <c r="K23" t="s" s="72">
        <v>184</v>
      </c>
      <c r="L23" t="s" s="72">
        <v>121</v>
      </c>
      <c r="M23" s="71"/>
      <c r="N23" s="71"/>
      <c r="O23" s="71"/>
      <c r="P23" s="73">
        <v>2</v>
      </c>
      <c r="Q23" s="74">
        <v>6</v>
      </c>
      <c r="R23" s="74">
        <v>4</v>
      </c>
      <c r="S23" s="73">
        <v>0</v>
      </c>
      <c r="T23" s="73">
        <v>0</v>
      </c>
      <c r="U23" t="s" s="72">
        <v>122</v>
      </c>
      <c r="V23" s="71"/>
      <c r="W23" s="71"/>
      <c r="X23" s="71"/>
      <c r="Y23" s="71"/>
      <c r="Z23" s="71"/>
      <c r="AA23" s="71"/>
      <c r="AB23" t="s" s="72">
        <v>124</v>
      </c>
      <c r="AC23" t="s" s="72">
        <v>124</v>
      </c>
      <c r="AD23" t="s" s="75">
        <v>125</v>
      </c>
      <c r="AE23" s="67"/>
    </row>
    <row r="24" ht="15" customHeight="1">
      <c r="A24" t="s" s="86">
        <v>30</v>
      </c>
      <c r="B24" s="76">
        <v>62.5</v>
      </c>
      <c r="C24" t="b" s="77">
        <v>0</v>
      </c>
      <c r="D24" s="78"/>
      <c r="E24" t="s" s="79">
        <v>185</v>
      </c>
      <c r="F24" t="s" s="79">
        <v>163</v>
      </c>
      <c r="G24" s="80">
        <v>17</v>
      </c>
      <c r="H24" t="s" s="79">
        <v>175</v>
      </c>
      <c r="I24" t="s" s="79">
        <v>175</v>
      </c>
      <c r="J24" s="80">
        <v>34</v>
      </c>
      <c r="K24" t="s" s="79">
        <v>128</v>
      </c>
      <c r="L24" t="s" s="79">
        <v>121</v>
      </c>
      <c r="M24" s="78"/>
      <c r="N24" s="78"/>
      <c r="O24" s="78"/>
      <c r="P24" s="80">
        <v>0</v>
      </c>
      <c r="Q24" s="81">
        <v>0</v>
      </c>
      <c r="R24" s="81">
        <v>0</v>
      </c>
      <c r="S24" s="80">
        <v>0</v>
      </c>
      <c r="T24" s="80">
        <v>0</v>
      </c>
      <c r="U24" t="s" s="79">
        <v>122</v>
      </c>
      <c r="V24" s="80">
        <v>29</v>
      </c>
      <c r="W24" s="81">
        <v>6.12</v>
      </c>
      <c r="X24" s="81">
        <v>4.55</v>
      </c>
      <c r="Y24" s="80">
        <v>0</v>
      </c>
      <c r="Z24" s="80">
        <v>0</v>
      </c>
      <c r="AA24" t="s" s="79">
        <v>123</v>
      </c>
      <c r="AB24" t="s" s="79">
        <v>124</v>
      </c>
      <c r="AC24" t="s" s="79">
        <v>124</v>
      </c>
      <c r="AD24" t="s" s="82">
        <v>125</v>
      </c>
      <c r="AE24" s="67"/>
    </row>
    <row r="25" ht="15" customHeight="1">
      <c r="A25" t="s" s="86">
        <v>30</v>
      </c>
      <c r="B25" s="69">
        <v>52.2</v>
      </c>
      <c r="C25" t="b" s="70">
        <v>0</v>
      </c>
      <c r="D25" s="71"/>
      <c r="E25" t="s" s="72">
        <v>186</v>
      </c>
      <c r="F25" t="s" s="72">
        <v>187</v>
      </c>
      <c r="G25" s="73">
        <v>7</v>
      </c>
      <c r="H25" t="s" s="72">
        <v>188</v>
      </c>
      <c r="I25" t="s" s="72">
        <v>189</v>
      </c>
      <c r="J25" s="73">
        <v>28</v>
      </c>
      <c r="K25" t="s" s="72">
        <v>190</v>
      </c>
      <c r="L25" t="s" s="72">
        <v>121</v>
      </c>
      <c r="M25" s="71"/>
      <c r="N25" s="71"/>
      <c r="O25" s="71"/>
      <c r="P25" s="73">
        <v>1</v>
      </c>
      <c r="Q25" s="74">
        <v>4.5</v>
      </c>
      <c r="R25" s="74">
        <v>1.5</v>
      </c>
      <c r="S25" s="73">
        <v>0</v>
      </c>
      <c r="T25" s="73">
        <v>0</v>
      </c>
      <c r="U25" t="s" s="72">
        <v>122</v>
      </c>
      <c r="V25" s="71"/>
      <c r="W25" s="71"/>
      <c r="X25" s="71"/>
      <c r="Y25" s="71"/>
      <c r="Z25" s="71"/>
      <c r="AA25" s="71"/>
      <c r="AB25" t="s" s="72">
        <v>124</v>
      </c>
      <c r="AC25" t="s" s="72">
        <v>124</v>
      </c>
      <c r="AD25" t="s" s="75">
        <v>125</v>
      </c>
      <c r="AE25" s="67"/>
    </row>
    <row r="26" ht="15" customHeight="1">
      <c r="A26" t="s" s="86">
        <v>30</v>
      </c>
      <c r="B26" s="76">
        <v>36.1</v>
      </c>
      <c r="C26" t="b" s="77">
        <v>0</v>
      </c>
      <c r="D26" t="s" s="85">
        <v>191</v>
      </c>
      <c r="E26" t="s" s="79">
        <v>192</v>
      </c>
      <c r="F26" t="s" s="79">
        <v>193</v>
      </c>
      <c r="G26" s="80">
        <v>1</v>
      </c>
      <c r="H26" t="s" s="79">
        <v>164</v>
      </c>
      <c r="I26" t="s" s="79">
        <v>194</v>
      </c>
      <c r="J26" s="80">
        <v>21</v>
      </c>
      <c r="K26" t="s" s="79">
        <v>128</v>
      </c>
      <c r="L26" t="s" s="79">
        <v>121</v>
      </c>
      <c r="M26" s="78"/>
      <c r="N26" s="78"/>
      <c r="O26" s="78"/>
      <c r="P26" s="80">
        <v>0</v>
      </c>
      <c r="Q26" s="81">
        <v>0</v>
      </c>
      <c r="R26" s="81">
        <v>0</v>
      </c>
      <c r="S26" s="80">
        <v>0</v>
      </c>
      <c r="T26" s="80">
        <v>0</v>
      </c>
      <c r="U26" t="s" s="79">
        <v>122</v>
      </c>
      <c r="V26" s="78"/>
      <c r="W26" s="78"/>
      <c r="X26" s="78"/>
      <c r="Y26" s="78"/>
      <c r="Z26" s="78"/>
      <c r="AA26" s="78"/>
      <c r="AB26" t="s" s="79">
        <v>124</v>
      </c>
      <c r="AC26" t="s" s="79">
        <v>124</v>
      </c>
      <c r="AD26" t="s" s="82">
        <v>125</v>
      </c>
      <c r="AE26" s="67"/>
    </row>
    <row r="27" ht="15" customHeight="1">
      <c r="A27" t="s" s="86">
        <v>30</v>
      </c>
      <c r="B27" s="69">
        <v>36.1</v>
      </c>
      <c r="C27" t="b" s="70">
        <v>0</v>
      </c>
      <c r="D27" s="71"/>
      <c r="E27" t="s" s="72">
        <v>195</v>
      </c>
      <c r="F27" t="s" s="72">
        <v>187</v>
      </c>
      <c r="G27" s="73">
        <v>1</v>
      </c>
      <c r="H27" t="s" s="72">
        <v>196</v>
      </c>
      <c r="I27" t="s" s="72">
        <v>196</v>
      </c>
      <c r="J27" s="73">
        <v>24</v>
      </c>
      <c r="K27" t="s" s="72">
        <v>197</v>
      </c>
      <c r="L27" t="s" s="72">
        <v>154</v>
      </c>
      <c r="M27" s="71"/>
      <c r="N27" s="71"/>
      <c r="O27" s="71"/>
      <c r="P27" s="73">
        <v>0</v>
      </c>
      <c r="Q27" s="74">
        <v>0</v>
      </c>
      <c r="R27" s="74">
        <v>0</v>
      </c>
      <c r="S27" s="73">
        <v>0</v>
      </c>
      <c r="T27" s="73">
        <v>0</v>
      </c>
      <c r="U27" t="s" s="72">
        <v>122</v>
      </c>
      <c r="V27" s="73">
        <v>0</v>
      </c>
      <c r="W27" s="74">
        <v>0</v>
      </c>
      <c r="X27" s="74">
        <v>0</v>
      </c>
      <c r="Y27" s="73">
        <v>0</v>
      </c>
      <c r="Z27" s="73">
        <v>0</v>
      </c>
      <c r="AA27" t="s" s="72">
        <v>123</v>
      </c>
      <c r="AB27" t="s" s="72">
        <v>124</v>
      </c>
      <c r="AC27" t="s" s="72">
        <v>124</v>
      </c>
      <c r="AD27" t="s" s="75">
        <v>125</v>
      </c>
      <c r="AE27" s="67"/>
    </row>
    <row r="28" ht="15" customHeight="1">
      <c r="A28" t="s" s="86">
        <v>30</v>
      </c>
      <c r="B28" s="76">
        <v>32.7</v>
      </c>
      <c r="C28" t="b" s="77">
        <v>0</v>
      </c>
      <c r="D28" s="78"/>
      <c r="E28" t="s" s="79">
        <v>198</v>
      </c>
      <c r="F28" t="s" s="79">
        <v>193</v>
      </c>
      <c r="G28" s="80">
        <v>1</v>
      </c>
      <c r="H28" t="s" s="79">
        <v>175</v>
      </c>
      <c r="I28" t="s" s="79">
        <v>175</v>
      </c>
      <c r="J28" s="80">
        <v>25</v>
      </c>
      <c r="K28" t="s" s="79">
        <v>128</v>
      </c>
      <c r="L28" t="s" s="79">
        <v>121</v>
      </c>
      <c r="M28" s="78"/>
      <c r="N28" s="78"/>
      <c r="O28" s="78"/>
      <c r="P28" s="80">
        <v>2</v>
      </c>
      <c r="Q28" s="81">
        <v>6.25</v>
      </c>
      <c r="R28" s="81">
        <v>4.75</v>
      </c>
      <c r="S28" s="80">
        <v>0</v>
      </c>
      <c r="T28" s="80">
        <v>0</v>
      </c>
      <c r="U28" t="s" s="79">
        <v>122</v>
      </c>
      <c r="V28" s="80">
        <v>17</v>
      </c>
      <c r="W28" s="81">
        <v>6.24</v>
      </c>
      <c r="X28" s="81">
        <v>5.15</v>
      </c>
      <c r="Y28" s="80">
        <v>0</v>
      </c>
      <c r="Z28" s="80">
        <v>0</v>
      </c>
      <c r="AA28" t="s" s="79">
        <v>123</v>
      </c>
      <c r="AB28" t="s" s="79">
        <v>124</v>
      </c>
      <c r="AC28" t="s" s="79">
        <v>124</v>
      </c>
      <c r="AD28" t="s" s="82">
        <v>125</v>
      </c>
      <c r="AE28" s="67"/>
    </row>
    <row r="29" ht="15" customHeight="1">
      <c r="A29" t="s" s="86">
        <v>30</v>
      </c>
      <c r="B29" s="69">
        <v>30.4</v>
      </c>
      <c r="C29" t="b" s="70">
        <v>0</v>
      </c>
      <c r="D29" s="71"/>
      <c r="E29" t="s" s="72">
        <v>199</v>
      </c>
      <c r="F29" t="s" s="72">
        <v>183</v>
      </c>
      <c r="G29" s="73">
        <v>1</v>
      </c>
      <c r="H29" t="s" s="72">
        <v>175</v>
      </c>
      <c r="I29" t="s" s="72">
        <v>200</v>
      </c>
      <c r="J29" s="73">
        <v>30</v>
      </c>
      <c r="K29" t="s" s="72">
        <v>128</v>
      </c>
      <c r="L29" t="s" s="72">
        <v>121</v>
      </c>
      <c r="M29" s="71"/>
      <c r="N29" s="71"/>
      <c r="O29" s="71"/>
      <c r="P29" s="73">
        <v>0</v>
      </c>
      <c r="Q29" s="74">
        <v>0</v>
      </c>
      <c r="R29" s="74">
        <v>0</v>
      </c>
      <c r="S29" s="73">
        <v>0</v>
      </c>
      <c r="T29" s="73">
        <v>0</v>
      </c>
      <c r="U29" t="s" s="72">
        <v>122</v>
      </c>
      <c r="V29" s="73">
        <v>35</v>
      </c>
      <c r="W29" s="74">
        <v>6.14</v>
      </c>
      <c r="X29" s="74">
        <v>4.89</v>
      </c>
      <c r="Y29" s="73">
        <v>0</v>
      </c>
      <c r="Z29" s="73">
        <v>1</v>
      </c>
      <c r="AA29" t="s" s="72">
        <v>123</v>
      </c>
      <c r="AB29" t="s" s="72">
        <v>124</v>
      </c>
      <c r="AC29" t="s" s="72">
        <v>124</v>
      </c>
      <c r="AD29" t="s" s="75">
        <v>125</v>
      </c>
      <c r="AE29" s="67"/>
    </row>
    <row r="30" ht="15" customHeight="1">
      <c r="A30" t="s" s="86">
        <v>30</v>
      </c>
      <c r="B30" s="76">
        <v>29.9</v>
      </c>
      <c r="C30" t="b" s="77">
        <v>0</v>
      </c>
      <c r="D30" s="78"/>
      <c r="E30" t="s" s="79">
        <v>201</v>
      </c>
      <c r="F30" t="s" s="79">
        <v>134</v>
      </c>
      <c r="G30" s="80">
        <v>1</v>
      </c>
      <c r="H30" t="s" s="79">
        <v>175</v>
      </c>
      <c r="I30" t="s" s="79">
        <v>175</v>
      </c>
      <c r="J30" s="80">
        <v>32</v>
      </c>
      <c r="K30" t="s" s="79">
        <v>128</v>
      </c>
      <c r="L30" t="s" s="79">
        <v>121</v>
      </c>
      <c r="M30" s="78"/>
      <c r="N30" s="78"/>
      <c r="O30" s="78"/>
      <c r="P30" s="80">
        <v>0</v>
      </c>
      <c r="Q30" s="81">
        <v>0</v>
      </c>
      <c r="R30" s="81">
        <v>0</v>
      </c>
      <c r="S30" s="80">
        <v>0</v>
      </c>
      <c r="T30" s="80">
        <v>0</v>
      </c>
      <c r="U30" t="s" s="79">
        <v>122</v>
      </c>
      <c r="V30" s="80">
        <v>27</v>
      </c>
      <c r="W30" s="81">
        <v>6.28</v>
      </c>
      <c r="X30" s="81">
        <v>5.37</v>
      </c>
      <c r="Y30" s="80">
        <v>0</v>
      </c>
      <c r="Z30" s="80">
        <v>0</v>
      </c>
      <c r="AA30" t="s" s="79">
        <v>123</v>
      </c>
      <c r="AB30" t="s" s="79">
        <v>124</v>
      </c>
      <c r="AC30" t="s" s="79">
        <v>124</v>
      </c>
      <c r="AD30" t="s" s="82">
        <v>125</v>
      </c>
      <c r="AE30" s="67"/>
    </row>
    <row r="31" ht="15" customHeight="1">
      <c r="A31" t="s" s="86">
        <v>30</v>
      </c>
      <c r="B31" s="69">
        <v>29.6</v>
      </c>
      <c r="C31" t="b" s="70">
        <v>0</v>
      </c>
      <c r="D31" s="71"/>
      <c r="E31" t="s" s="72">
        <v>202</v>
      </c>
      <c r="F31" t="s" s="72">
        <v>193</v>
      </c>
      <c r="G31" s="73">
        <v>1</v>
      </c>
      <c r="H31" t="s" s="72">
        <v>175</v>
      </c>
      <c r="I31" t="s" s="72">
        <v>203</v>
      </c>
      <c r="J31" s="73">
        <v>18</v>
      </c>
      <c r="K31" t="s" s="72">
        <v>204</v>
      </c>
      <c r="L31" s="71"/>
      <c r="M31" s="71"/>
      <c r="N31" s="71"/>
      <c r="O31" s="71"/>
      <c r="P31" s="71"/>
      <c r="Q31" s="71"/>
      <c r="R31" s="71"/>
      <c r="S31" s="71"/>
      <c r="T31" s="71"/>
      <c r="U31" s="71"/>
      <c r="V31" s="73">
        <v>9</v>
      </c>
      <c r="W31" s="74">
        <v>5.83</v>
      </c>
      <c r="X31" s="74">
        <v>5.83</v>
      </c>
      <c r="Y31" s="73">
        <v>0</v>
      </c>
      <c r="Z31" s="73">
        <v>1</v>
      </c>
      <c r="AA31" t="s" s="72">
        <v>123</v>
      </c>
      <c r="AB31" t="s" s="72">
        <v>125</v>
      </c>
      <c r="AC31" s="71"/>
      <c r="AD31" t="s" s="75">
        <v>125</v>
      </c>
      <c r="AE31" s="67"/>
    </row>
    <row r="32" ht="15" customHeight="1">
      <c r="A32" t="s" s="86">
        <v>30</v>
      </c>
      <c r="B32" s="76">
        <v>29.4</v>
      </c>
      <c r="C32" t="b" s="77">
        <v>0</v>
      </c>
      <c r="D32" s="78"/>
      <c r="E32" t="s" s="79">
        <v>205</v>
      </c>
      <c r="F32" t="s" s="79">
        <v>170</v>
      </c>
      <c r="G32" s="80">
        <v>1</v>
      </c>
      <c r="H32" t="s" s="79">
        <v>175</v>
      </c>
      <c r="I32" t="s" s="79">
        <v>175</v>
      </c>
      <c r="J32" s="80">
        <v>27</v>
      </c>
      <c r="K32" t="s" s="79">
        <v>206</v>
      </c>
      <c r="L32" t="s" s="79">
        <v>121</v>
      </c>
      <c r="M32" s="78"/>
      <c r="N32" s="78"/>
      <c r="O32" s="78"/>
      <c r="P32" s="80">
        <v>0</v>
      </c>
      <c r="Q32" s="81">
        <v>0</v>
      </c>
      <c r="R32" s="81">
        <v>0</v>
      </c>
      <c r="S32" s="80">
        <v>0</v>
      </c>
      <c r="T32" s="80">
        <v>0</v>
      </c>
      <c r="U32" t="s" s="79">
        <v>122</v>
      </c>
      <c r="V32" s="80">
        <v>1</v>
      </c>
      <c r="W32" s="81">
        <v>7.5</v>
      </c>
      <c r="X32" s="81">
        <v>6.5</v>
      </c>
      <c r="Y32" s="80">
        <v>0</v>
      </c>
      <c r="Z32" s="80">
        <v>0</v>
      </c>
      <c r="AA32" t="s" s="79">
        <v>123</v>
      </c>
      <c r="AB32" t="s" s="79">
        <v>124</v>
      </c>
      <c r="AC32" t="s" s="79">
        <v>124</v>
      </c>
      <c r="AD32" t="s" s="82">
        <v>125</v>
      </c>
      <c r="AE32" s="67"/>
    </row>
    <row r="33" ht="15" customHeight="1">
      <c r="A33" t="s" s="86">
        <v>30</v>
      </c>
      <c r="B33" s="69">
        <v>29.2</v>
      </c>
      <c r="C33" t="b" s="70">
        <v>0</v>
      </c>
      <c r="D33" s="71"/>
      <c r="E33" t="s" s="72">
        <v>207</v>
      </c>
      <c r="F33" t="s" s="72">
        <v>130</v>
      </c>
      <c r="G33" s="73">
        <v>1</v>
      </c>
      <c r="H33" t="s" s="72">
        <v>175</v>
      </c>
      <c r="I33" t="s" s="72">
        <v>175</v>
      </c>
      <c r="J33" s="73">
        <v>36</v>
      </c>
      <c r="K33" t="s" s="72">
        <v>128</v>
      </c>
      <c r="L33" t="s" s="72">
        <v>121</v>
      </c>
      <c r="M33" s="71"/>
      <c r="N33" s="71"/>
      <c r="O33" s="71"/>
      <c r="P33" s="73">
        <v>0</v>
      </c>
      <c r="Q33" s="74">
        <v>0</v>
      </c>
      <c r="R33" s="74">
        <v>0</v>
      </c>
      <c r="S33" s="73">
        <v>0</v>
      </c>
      <c r="T33" s="73">
        <v>0</v>
      </c>
      <c r="U33" t="s" s="72">
        <v>122</v>
      </c>
      <c r="V33" s="73">
        <v>2</v>
      </c>
      <c r="W33" s="74">
        <v>6</v>
      </c>
      <c r="X33" s="74">
        <v>6</v>
      </c>
      <c r="Y33" s="73">
        <v>0</v>
      </c>
      <c r="Z33" s="73">
        <v>0</v>
      </c>
      <c r="AA33" t="s" s="72">
        <v>123</v>
      </c>
      <c r="AB33" t="s" s="72">
        <v>124</v>
      </c>
      <c r="AC33" t="s" s="72">
        <v>124</v>
      </c>
      <c r="AD33" t="s" s="75">
        <v>125</v>
      </c>
      <c r="AE33" s="67"/>
    </row>
    <row r="34" ht="15" customHeight="1">
      <c r="A34" t="s" s="86">
        <v>30</v>
      </c>
      <c r="B34" s="76">
        <v>29.1</v>
      </c>
      <c r="C34" t="b" s="77">
        <v>0</v>
      </c>
      <c r="D34" s="78"/>
      <c r="E34" t="s" s="79">
        <v>208</v>
      </c>
      <c r="F34" t="s" s="79">
        <v>163</v>
      </c>
      <c r="G34" s="80">
        <v>1</v>
      </c>
      <c r="H34" t="s" s="79">
        <v>175</v>
      </c>
      <c r="I34" t="s" s="79">
        <v>203</v>
      </c>
      <c r="J34" s="80">
        <v>19</v>
      </c>
      <c r="K34" t="s" s="79">
        <v>128</v>
      </c>
      <c r="L34" t="s" s="79">
        <v>121</v>
      </c>
      <c r="M34" s="78"/>
      <c r="N34" s="78"/>
      <c r="O34" s="78"/>
      <c r="P34" s="80">
        <v>2</v>
      </c>
      <c r="Q34" s="81">
        <v>6</v>
      </c>
      <c r="R34" s="81">
        <v>4</v>
      </c>
      <c r="S34" s="80">
        <v>0</v>
      </c>
      <c r="T34" s="80">
        <v>0</v>
      </c>
      <c r="U34" t="s" s="79">
        <v>122</v>
      </c>
      <c r="V34" s="78"/>
      <c r="W34" s="78"/>
      <c r="X34" s="78"/>
      <c r="Y34" s="78"/>
      <c r="Z34" s="78"/>
      <c r="AA34" s="78"/>
      <c r="AB34" t="s" s="79">
        <v>124</v>
      </c>
      <c r="AC34" t="s" s="79">
        <v>124</v>
      </c>
      <c r="AD34" t="s" s="82">
        <v>125</v>
      </c>
      <c r="AE34" s="67"/>
    </row>
    <row r="35" ht="15" customHeight="1">
      <c r="A35" t="s" s="86">
        <v>30</v>
      </c>
      <c r="B35" s="69">
        <v>29</v>
      </c>
      <c r="C35" t="b" s="70">
        <v>0</v>
      </c>
      <c r="D35" s="71"/>
      <c r="E35" t="s" s="72">
        <v>209</v>
      </c>
      <c r="F35" t="s" s="72">
        <v>149</v>
      </c>
      <c r="G35" s="73">
        <v>1</v>
      </c>
      <c r="H35" t="s" s="72">
        <v>175</v>
      </c>
      <c r="I35" t="s" s="72">
        <v>203</v>
      </c>
      <c r="J35" s="73">
        <v>21</v>
      </c>
      <c r="K35" t="s" s="72">
        <v>128</v>
      </c>
      <c r="L35" t="s" s="72">
        <v>121</v>
      </c>
      <c r="M35" s="71"/>
      <c r="N35" s="71"/>
      <c r="O35" s="71"/>
      <c r="P35" s="73">
        <v>0</v>
      </c>
      <c r="Q35" s="74">
        <v>0</v>
      </c>
      <c r="R35" s="74">
        <v>0</v>
      </c>
      <c r="S35" s="73">
        <v>0</v>
      </c>
      <c r="T35" s="73">
        <v>0</v>
      </c>
      <c r="U35" t="s" s="72">
        <v>122</v>
      </c>
      <c r="V35" s="73">
        <v>9</v>
      </c>
      <c r="W35" s="74">
        <v>6</v>
      </c>
      <c r="X35" s="74">
        <v>5.17</v>
      </c>
      <c r="Y35" s="73">
        <v>0</v>
      </c>
      <c r="Z35" s="73">
        <v>0</v>
      </c>
      <c r="AA35" t="s" s="72">
        <v>123</v>
      </c>
      <c r="AB35" t="s" s="72">
        <v>124</v>
      </c>
      <c r="AC35" t="s" s="72">
        <v>124</v>
      </c>
      <c r="AD35" t="s" s="75">
        <v>125</v>
      </c>
      <c r="AE35" s="67"/>
    </row>
    <row r="36" ht="15" customHeight="1">
      <c r="A36" t="s" s="86">
        <v>30</v>
      </c>
      <c r="B36" s="76">
        <v>28.9</v>
      </c>
      <c r="C36" t="b" s="77">
        <v>0</v>
      </c>
      <c r="D36" s="78"/>
      <c r="E36" t="s" s="79">
        <v>210</v>
      </c>
      <c r="F36" t="s" s="79">
        <v>144</v>
      </c>
      <c r="G36" s="80">
        <v>1</v>
      </c>
      <c r="H36" t="s" s="79">
        <v>175</v>
      </c>
      <c r="I36" t="s" s="79">
        <v>203</v>
      </c>
      <c r="J36" s="80">
        <v>18</v>
      </c>
      <c r="K36" t="s" s="79">
        <v>144</v>
      </c>
      <c r="L36" t="s" s="79">
        <v>121</v>
      </c>
      <c r="M36" s="78"/>
      <c r="N36" s="78"/>
      <c r="O36" s="78"/>
      <c r="P36" s="80">
        <v>0</v>
      </c>
      <c r="Q36" s="81">
        <v>0</v>
      </c>
      <c r="R36" s="81">
        <v>0</v>
      </c>
      <c r="S36" s="80">
        <v>0</v>
      </c>
      <c r="T36" s="80">
        <v>0</v>
      </c>
      <c r="U36" t="s" s="79">
        <v>122</v>
      </c>
      <c r="V36" s="80">
        <v>4</v>
      </c>
      <c r="W36" s="81">
        <v>6.12</v>
      </c>
      <c r="X36" s="81">
        <v>5.62</v>
      </c>
      <c r="Y36" s="80">
        <v>0</v>
      </c>
      <c r="Z36" s="80">
        <v>0</v>
      </c>
      <c r="AA36" t="s" s="79">
        <v>123</v>
      </c>
      <c r="AB36" t="s" s="79">
        <v>124</v>
      </c>
      <c r="AC36" t="s" s="79">
        <v>124</v>
      </c>
      <c r="AD36" t="s" s="82">
        <v>125</v>
      </c>
      <c r="AE36" s="67"/>
    </row>
    <row r="37" ht="15" customHeight="1">
      <c r="A37" t="s" s="86">
        <v>30</v>
      </c>
      <c r="B37" s="69">
        <v>28.8</v>
      </c>
      <c r="C37" t="b" s="70">
        <v>0</v>
      </c>
      <c r="D37" s="71"/>
      <c r="E37" t="s" s="72">
        <v>211</v>
      </c>
      <c r="F37" t="s" s="72">
        <v>172</v>
      </c>
      <c r="G37" s="73">
        <v>1</v>
      </c>
      <c r="H37" t="s" s="72">
        <v>175</v>
      </c>
      <c r="I37" t="s" s="72">
        <v>175</v>
      </c>
      <c r="J37" s="73">
        <v>25</v>
      </c>
      <c r="K37" t="s" s="72">
        <v>128</v>
      </c>
      <c r="L37" t="s" s="72">
        <v>121</v>
      </c>
      <c r="M37" s="71"/>
      <c r="N37" s="71"/>
      <c r="O37" s="71"/>
      <c r="P37" s="73">
        <v>0</v>
      </c>
      <c r="Q37" s="74">
        <v>0</v>
      </c>
      <c r="R37" s="74">
        <v>0</v>
      </c>
      <c r="S37" s="73">
        <v>0</v>
      </c>
      <c r="T37" s="73">
        <v>0</v>
      </c>
      <c r="U37" t="s" s="72">
        <v>122</v>
      </c>
      <c r="V37" s="73">
        <v>6</v>
      </c>
      <c r="W37" s="74">
        <v>6.25</v>
      </c>
      <c r="X37" s="74">
        <v>5.08</v>
      </c>
      <c r="Y37" s="73">
        <v>0</v>
      </c>
      <c r="Z37" s="73">
        <v>0</v>
      </c>
      <c r="AA37" t="s" s="72">
        <v>123</v>
      </c>
      <c r="AB37" t="s" s="72">
        <v>124</v>
      </c>
      <c r="AC37" t="s" s="72">
        <v>124</v>
      </c>
      <c r="AD37" t="s" s="75">
        <v>125</v>
      </c>
      <c r="AE37" s="67"/>
    </row>
    <row r="38" ht="15" customHeight="1">
      <c r="A38" t="s" s="86">
        <v>30</v>
      </c>
      <c r="B38" s="76">
        <v>28.6</v>
      </c>
      <c r="C38" t="b" s="77">
        <v>0</v>
      </c>
      <c r="D38" s="78"/>
      <c r="E38" t="s" s="79">
        <v>212</v>
      </c>
      <c r="F38" t="s" s="79">
        <v>159</v>
      </c>
      <c r="G38" s="80">
        <v>1</v>
      </c>
      <c r="H38" t="s" s="79">
        <v>175</v>
      </c>
      <c r="I38" t="s" s="79">
        <v>175</v>
      </c>
      <c r="J38" s="80">
        <v>40</v>
      </c>
      <c r="K38" t="s" s="79">
        <v>128</v>
      </c>
      <c r="L38" t="s" s="79">
        <v>121</v>
      </c>
      <c r="M38" s="78"/>
      <c r="N38" s="78"/>
      <c r="O38" s="78"/>
      <c r="P38" s="80">
        <v>0</v>
      </c>
      <c r="Q38" s="81">
        <v>0</v>
      </c>
      <c r="R38" s="81">
        <v>0</v>
      </c>
      <c r="S38" s="80">
        <v>0</v>
      </c>
      <c r="T38" s="80">
        <v>0</v>
      </c>
      <c r="U38" t="s" s="79">
        <v>122</v>
      </c>
      <c r="V38" s="80">
        <v>2</v>
      </c>
      <c r="W38" s="81">
        <v>6.25</v>
      </c>
      <c r="X38" s="81">
        <v>5.25</v>
      </c>
      <c r="Y38" s="80">
        <v>0</v>
      </c>
      <c r="Z38" s="80">
        <v>0</v>
      </c>
      <c r="AA38" t="s" s="79">
        <v>123</v>
      </c>
      <c r="AB38" t="s" s="79">
        <v>124</v>
      </c>
      <c r="AC38" t="s" s="79">
        <v>124</v>
      </c>
      <c r="AD38" t="s" s="82">
        <v>125</v>
      </c>
      <c r="AE38" s="67"/>
    </row>
    <row r="39" ht="15" customHeight="1">
      <c r="A39" t="s" s="86">
        <v>30</v>
      </c>
      <c r="B39" s="69">
        <v>28.5</v>
      </c>
      <c r="C39" t="b" s="70">
        <v>0</v>
      </c>
      <c r="D39" s="71"/>
      <c r="E39" t="s" s="72">
        <v>213</v>
      </c>
      <c r="F39" t="s" s="72">
        <v>149</v>
      </c>
      <c r="G39" s="73">
        <v>1</v>
      </c>
      <c r="H39" t="s" s="72">
        <v>175</v>
      </c>
      <c r="I39" t="s" s="72">
        <v>175</v>
      </c>
      <c r="J39" s="73">
        <v>24</v>
      </c>
      <c r="K39" t="s" s="72">
        <v>204</v>
      </c>
      <c r="L39" s="71"/>
      <c r="M39" s="71"/>
      <c r="N39" s="71"/>
      <c r="O39" s="71"/>
      <c r="P39" s="71"/>
      <c r="Q39" s="71"/>
      <c r="R39" s="71"/>
      <c r="S39" s="71"/>
      <c r="T39" s="71"/>
      <c r="U39" s="71"/>
      <c r="V39" s="73">
        <v>2</v>
      </c>
      <c r="W39" s="74">
        <v>6.5</v>
      </c>
      <c r="X39" s="74">
        <v>5</v>
      </c>
      <c r="Y39" s="73">
        <v>0</v>
      </c>
      <c r="Z39" s="73">
        <v>0</v>
      </c>
      <c r="AA39" t="s" s="72">
        <v>123</v>
      </c>
      <c r="AB39" t="s" s="72">
        <v>125</v>
      </c>
      <c r="AC39" s="71"/>
      <c r="AD39" t="s" s="75">
        <v>125</v>
      </c>
      <c r="AE39" s="67"/>
    </row>
    <row r="40" ht="15" customHeight="1">
      <c r="A40" t="s" s="86">
        <v>30</v>
      </c>
      <c r="B40" s="76">
        <v>28.5</v>
      </c>
      <c r="C40" t="b" s="77">
        <v>0</v>
      </c>
      <c r="D40" s="78"/>
      <c r="E40" t="s" s="79">
        <v>214</v>
      </c>
      <c r="F40" t="s" s="79">
        <v>156</v>
      </c>
      <c r="G40" s="80">
        <v>1</v>
      </c>
      <c r="H40" t="s" s="79">
        <v>175</v>
      </c>
      <c r="I40" t="s" s="79">
        <v>175</v>
      </c>
      <c r="J40" s="80">
        <v>29</v>
      </c>
      <c r="K40" t="s" s="79">
        <v>128</v>
      </c>
      <c r="L40" t="s" s="79">
        <v>121</v>
      </c>
      <c r="M40" s="78"/>
      <c r="N40" s="78"/>
      <c r="O40" s="78"/>
      <c r="P40" s="80">
        <v>0</v>
      </c>
      <c r="Q40" s="81">
        <v>0</v>
      </c>
      <c r="R40" s="81">
        <v>0</v>
      </c>
      <c r="S40" s="80">
        <v>0</v>
      </c>
      <c r="T40" s="80">
        <v>0</v>
      </c>
      <c r="U40" t="s" s="79">
        <v>122</v>
      </c>
      <c r="V40" s="80">
        <v>2</v>
      </c>
      <c r="W40" s="81">
        <v>5.75</v>
      </c>
      <c r="X40" s="81">
        <v>3.75</v>
      </c>
      <c r="Y40" s="80">
        <v>0</v>
      </c>
      <c r="Z40" s="80">
        <v>0</v>
      </c>
      <c r="AA40" t="s" s="79">
        <v>123</v>
      </c>
      <c r="AB40" t="s" s="79">
        <v>124</v>
      </c>
      <c r="AC40" t="s" s="79">
        <v>124</v>
      </c>
      <c r="AD40" t="s" s="82">
        <v>125</v>
      </c>
      <c r="AE40" s="67"/>
    </row>
    <row r="41" ht="15" customHeight="1">
      <c r="A41" t="s" s="87">
        <v>32</v>
      </c>
      <c r="B41" s="69">
        <v>28.3</v>
      </c>
      <c r="C41" t="b" s="70">
        <v>0</v>
      </c>
      <c r="D41" s="71"/>
      <c r="E41" t="s" s="72">
        <v>215</v>
      </c>
      <c r="F41" t="s" s="72">
        <v>127</v>
      </c>
      <c r="G41" s="73">
        <v>1</v>
      </c>
      <c r="H41" t="s" s="72">
        <v>175</v>
      </c>
      <c r="I41" t="s" s="72">
        <v>175</v>
      </c>
      <c r="J41" s="73">
        <v>34</v>
      </c>
      <c r="K41" t="s" s="72">
        <v>128</v>
      </c>
      <c r="L41" t="s" s="72">
        <v>121</v>
      </c>
      <c r="M41" s="71"/>
      <c r="N41" s="71"/>
      <c r="O41" s="71"/>
      <c r="P41" s="73">
        <v>0</v>
      </c>
      <c r="Q41" s="74">
        <v>0</v>
      </c>
      <c r="R41" s="74">
        <v>0</v>
      </c>
      <c r="S41" s="73">
        <v>0</v>
      </c>
      <c r="T41" s="73">
        <v>0</v>
      </c>
      <c r="U41" t="s" s="72">
        <v>122</v>
      </c>
      <c r="V41" s="73">
        <v>1</v>
      </c>
      <c r="W41" s="74">
        <v>5.5</v>
      </c>
      <c r="X41" s="74">
        <v>4.5</v>
      </c>
      <c r="Y41" s="73">
        <v>0</v>
      </c>
      <c r="Z41" s="73">
        <v>0</v>
      </c>
      <c r="AA41" t="s" s="72">
        <v>123</v>
      </c>
      <c r="AB41" t="s" s="72">
        <v>124</v>
      </c>
      <c r="AC41" t="s" s="72">
        <v>124</v>
      </c>
      <c r="AD41" t="s" s="75">
        <v>125</v>
      </c>
      <c r="AE41" s="67"/>
    </row>
    <row r="42" ht="15" customHeight="1">
      <c r="A42" t="s" s="87">
        <v>32</v>
      </c>
      <c r="B42" s="76">
        <v>28.3</v>
      </c>
      <c r="C42" t="b" s="77">
        <v>0</v>
      </c>
      <c r="D42" s="78"/>
      <c r="E42" t="s" s="79">
        <v>216</v>
      </c>
      <c r="F42" t="s" s="79">
        <v>134</v>
      </c>
      <c r="G42" s="80">
        <v>1</v>
      </c>
      <c r="H42" t="s" s="79">
        <v>175</v>
      </c>
      <c r="I42" t="s" s="79">
        <v>175</v>
      </c>
      <c r="J42" s="80">
        <v>32</v>
      </c>
      <c r="K42" t="s" s="79">
        <v>128</v>
      </c>
      <c r="L42" t="s" s="79">
        <v>121</v>
      </c>
      <c r="M42" s="78"/>
      <c r="N42" s="78"/>
      <c r="O42" s="78"/>
      <c r="P42" s="80">
        <v>0</v>
      </c>
      <c r="Q42" s="81">
        <v>0</v>
      </c>
      <c r="R42" s="81">
        <v>0</v>
      </c>
      <c r="S42" s="80">
        <v>0</v>
      </c>
      <c r="T42" s="80">
        <v>0</v>
      </c>
      <c r="U42" t="s" s="79">
        <v>122</v>
      </c>
      <c r="V42" s="80">
        <v>1</v>
      </c>
      <c r="W42" s="81">
        <v>6</v>
      </c>
      <c r="X42" s="81">
        <v>5</v>
      </c>
      <c r="Y42" s="80">
        <v>0</v>
      </c>
      <c r="Z42" s="80">
        <v>0</v>
      </c>
      <c r="AA42" t="s" s="79">
        <v>123</v>
      </c>
      <c r="AB42" t="s" s="79">
        <v>124</v>
      </c>
      <c r="AC42" t="s" s="79">
        <v>124</v>
      </c>
      <c r="AD42" t="s" s="82">
        <v>125</v>
      </c>
      <c r="AE42" s="67"/>
    </row>
    <row r="43" ht="15" customHeight="1">
      <c r="A43" t="s" s="87">
        <v>32</v>
      </c>
      <c r="B43" s="69">
        <v>28.1</v>
      </c>
      <c r="C43" t="b" s="70">
        <v>0</v>
      </c>
      <c r="D43" t="s" s="84">
        <v>191</v>
      </c>
      <c r="E43" t="s" s="72">
        <v>217</v>
      </c>
      <c r="F43" t="s" s="72">
        <v>180</v>
      </c>
      <c r="G43" s="73">
        <v>1</v>
      </c>
      <c r="H43" t="s" s="72">
        <v>175</v>
      </c>
      <c r="I43" t="s" s="72">
        <v>218</v>
      </c>
      <c r="J43" s="73">
        <v>23</v>
      </c>
      <c r="K43" t="s" s="72">
        <v>219</v>
      </c>
      <c r="L43" t="s" s="72">
        <v>154</v>
      </c>
      <c r="M43" s="71"/>
      <c r="N43" s="71"/>
      <c r="O43" s="71"/>
      <c r="P43" s="73">
        <v>0</v>
      </c>
      <c r="Q43" s="74">
        <v>0</v>
      </c>
      <c r="R43" s="74">
        <v>0</v>
      </c>
      <c r="S43" s="73">
        <v>0</v>
      </c>
      <c r="T43" s="73">
        <v>0</v>
      </c>
      <c r="U43" t="s" s="72">
        <v>122</v>
      </c>
      <c r="V43" s="71"/>
      <c r="W43" s="71"/>
      <c r="X43" s="71"/>
      <c r="Y43" s="71"/>
      <c r="Z43" s="71"/>
      <c r="AA43" s="71"/>
      <c r="AB43" t="s" s="72">
        <v>124</v>
      </c>
      <c r="AC43" t="s" s="72">
        <v>124</v>
      </c>
      <c r="AD43" t="s" s="75">
        <v>125</v>
      </c>
      <c r="AE43" s="67"/>
    </row>
    <row r="44" ht="15" customHeight="1">
      <c r="A44" t="s" s="87">
        <v>32</v>
      </c>
      <c r="B44" s="76">
        <v>26.1</v>
      </c>
      <c r="C44" t="b" s="77">
        <v>0</v>
      </c>
      <c r="D44" s="78"/>
      <c r="E44" t="s" s="79">
        <v>220</v>
      </c>
      <c r="F44" t="s" s="79">
        <v>147</v>
      </c>
      <c r="G44" s="80">
        <v>1</v>
      </c>
      <c r="H44" t="s" s="79">
        <v>175</v>
      </c>
      <c r="I44" t="s" s="79">
        <v>175</v>
      </c>
      <c r="J44" s="80">
        <v>28</v>
      </c>
      <c r="K44" t="s" s="79">
        <v>221</v>
      </c>
      <c r="L44" t="s" s="79">
        <v>121</v>
      </c>
      <c r="M44" s="78"/>
      <c r="N44" s="78"/>
      <c r="O44" s="78"/>
      <c r="P44" s="80">
        <v>0</v>
      </c>
      <c r="Q44" s="81">
        <v>0</v>
      </c>
      <c r="R44" s="81">
        <v>0</v>
      </c>
      <c r="S44" s="80">
        <v>0</v>
      </c>
      <c r="T44" s="80">
        <v>0</v>
      </c>
      <c r="U44" t="s" s="79">
        <v>122</v>
      </c>
      <c r="V44" s="80">
        <v>0</v>
      </c>
      <c r="W44" s="81">
        <v>0</v>
      </c>
      <c r="X44" s="81">
        <v>0</v>
      </c>
      <c r="Y44" s="80">
        <v>0</v>
      </c>
      <c r="Z44" s="80">
        <v>0</v>
      </c>
      <c r="AA44" t="s" s="79">
        <v>123</v>
      </c>
      <c r="AB44" t="s" s="79">
        <v>124</v>
      </c>
      <c r="AC44" t="s" s="79">
        <v>124</v>
      </c>
      <c r="AD44" t="s" s="82">
        <v>125</v>
      </c>
      <c r="AE44" s="67"/>
    </row>
    <row r="45" ht="15" customHeight="1">
      <c r="A45" t="s" s="87">
        <v>32</v>
      </c>
      <c r="B45" s="69">
        <v>26.1</v>
      </c>
      <c r="C45" t="b" s="70">
        <v>0</v>
      </c>
      <c r="D45" s="71"/>
      <c r="E45" t="s" s="72">
        <v>222</v>
      </c>
      <c r="F45" t="s" s="72">
        <v>183</v>
      </c>
      <c r="G45" s="73">
        <v>1</v>
      </c>
      <c r="H45" t="s" s="72">
        <v>175</v>
      </c>
      <c r="I45" t="s" s="72">
        <v>175</v>
      </c>
      <c r="J45" s="73">
        <v>25</v>
      </c>
      <c r="K45" t="s" s="72">
        <v>128</v>
      </c>
      <c r="L45" t="s" s="72">
        <v>121</v>
      </c>
      <c r="M45" s="71"/>
      <c r="N45" s="71"/>
      <c r="O45" s="71"/>
      <c r="P45" s="73">
        <v>0</v>
      </c>
      <c r="Q45" s="74">
        <v>0</v>
      </c>
      <c r="R45" s="74">
        <v>0</v>
      </c>
      <c r="S45" s="73">
        <v>0</v>
      </c>
      <c r="T45" s="73">
        <v>0</v>
      </c>
      <c r="U45" t="s" s="72">
        <v>122</v>
      </c>
      <c r="V45" s="71"/>
      <c r="W45" s="71"/>
      <c r="X45" s="71"/>
      <c r="Y45" s="71"/>
      <c r="Z45" s="71"/>
      <c r="AA45" s="71"/>
      <c r="AB45" t="s" s="72">
        <v>124</v>
      </c>
      <c r="AC45" t="s" s="72">
        <v>124</v>
      </c>
      <c r="AD45" t="s" s="75">
        <v>125</v>
      </c>
      <c r="AE45" s="67"/>
    </row>
    <row r="46" ht="15" customHeight="1">
      <c r="A46" t="s" s="87">
        <v>32</v>
      </c>
      <c r="B46" s="76">
        <v>26.1</v>
      </c>
      <c r="C46" t="b" s="77">
        <v>0</v>
      </c>
      <c r="D46" s="78"/>
      <c r="E46" t="s" s="79">
        <v>223</v>
      </c>
      <c r="F46" t="s" s="79">
        <v>187</v>
      </c>
      <c r="G46" s="80">
        <v>1</v>
      </c>
      <c r="H46" t="s" s="79">
        <v>175</v>
      </c>
      <c r="I46" t="s" s="79">
        <v>203</v>
      </c>
      <c r="J46" s="80">
        <v>19</v>
      </c>
      <c r="K46" t="s" s="79">
        <v>224</v>
      </c>
      <c r="L46" t="s" s="79">
        <v>121</v>
      </c>
      <c r="M46" s="78"/>
      <c r="N46" s="78"/>
      <c r="O46" s="78"/>
      <c r="P46" s="80">
        <v>0</v>
      </c>
      <c r="Q46" s="81">
        <v>0</v>
      </c>
      <c r="R46" s="81">
        <v>0</v>
      </c>
      <c r="S46" s="80">
        <v>0</v>
      </c>
      <c r="T46" s="80">
        <v>0</v>
      </c>
      <c r="U46" t="s" s="79">
        <v>122</v>
      </c>
      <c r="V46" s="78"/>
      <c r="W46" s="78"/>
      <c r="X46" s="78"/>
      <c r="Y46" s="78"/>
      <c r="Z46" s="78"/>
      <c r="AA46" s="78"/>
      <c r="AB46" t="s" s="79">
        <v>124</v>
      </c>
      <c r="AC46" t="s" s="79">
        <v>124</v>
      </c>
      <c r="AD46" t="s" s="82">
        <v>125</v>
      </c>
      <c r="AE46" s="67"/>
    </row>
    <row r="47" ht="15" customHeight="1">
      <c r="A47" t="s" s="87">
        <v>32</v>
      </c>
      <c r="B47" s="69">
        <v>26.1</v>
      </c>
      <c r="C47" t="b" s="70">
        <v>0</v>
      </c>
      <c r="D47" s="71"/>
      <c r="E47" t="s" s="72">
        <v>225</v>
      </c>
      <c r="F47" t="s" s="72">
        <v>159</v>
      </c>
      <c r="G47" s="73">
        <v>1</v>
      </c>
      <c r="H47" t="s" s="72">
        <v>175</v>
      </c>
      <c r="I47" t="s" s="72">
        <v>175</v>
      </c>
      <c r="J47" s="73">
        <v>26</v>
      </c>
      <c r="K47" t="s" s="72">
        <v>145</v>
      </c>
      <c r="L47" t="s" s="72">
        <v>121</v>
      </c>
      <c r="M47" s="71"/>
      <c r="N47" s="71"/>
      <c r="O47" s="71"/>
      <c r="P47" s="73">
        <v>0</v>
      </c>
      <c r="Q47" s="74">
        <v>0</v>
      </c>
      <c r="R47" s="74">
        <v>0</v>
      </c>
      <c r="S47" s="73">
        <v>0</v>
      </c>
      <c r="T47" s="73">
        <v>0</v>
      </c>
      <c r="U47" t="s" s="72">
        <v>122</v>
      </c>
      <c r="V47" s="71"/>
      <c r="W47" s="71"/>
      <c r="X47" s="71"/>
      <c r="Y47" s="71"/>
      <c r="Z47" s="71"/>
      <c r="AA47" s="71"/>
      <c r="AB47" t="s" s="72">
        <v>124</v>
      </c>
      <c r="AC47" t="s" s="72">
        <v>124</v>
      </c>
      <c r="AD47" t="s" s="75">
        <v>125</v>
      </c>
      <c r="AE47" s="67"/>
    </row>
    <row r="48" ht="15" customHeight="1">
      <c r="A48" t="s" s="87">
        <v>32</v>
      </c>
      <c r="B48" s="76">
        <v>26.1</v>
      </c>
      <c r="C48" t="b" s="77">
        <v>0</v>
      </c>
      <c r="D48" s="78"/>
      <c r="E48" t="s" s="79">
        <v>226</v>
      </c>
      <c r="F48" t="s" s="79">
        <v>147</v>
      </c>
      <c r="G48" s="80">
        <v>1</v>
      </c>
      <c r="H48" t="s" s="79">
        <v>175</v>
      </c>
      <c r="I48" t="s" s="79">
        <v>175</v>
      </c>
      <c r="J48" s="80">
        <v>30</v>
      </c>
      <c r="K48" t="s" s="79">
        <v>184</v>
      </c>
      <c r="L48" t="s" s="79">
        <v>121</v>
      </c>
      <c r="M48" s="78"/>
      <c r="N48" s="78"/>
      <c r="O48" s="78"/>
      <c r="P48" s="80">
        <v>0</v>
      </c>
      <c r="Q48" s="81">
        <v>0</v>
      </c>
      <c r="R48" s="81">
        <v>0</v>
      </c>
      <c r="S48" s="80">
        <v>0</v>
      </c>
      <c r="T48" s="80">
        <v>0</v>
      </c>
      <c r="U48" t="s" s="79">
        <v>122</v>
      </c>
      <c r="V48" s="80">
        <v>0</v>
      </c>
      <c r="W48" s="81">
        <v>0</v>
      </c>
      <c r="X48" s="81">
        <v>0</v>
      </c>
      <c r="Y48" s="80">
        <v>0</v>
      </c>
      <c r="Z48" s="80">
        <v>0</v>
      </c>
      <c r="AA48" t="s" s="79">
        <v>123</v>
      </c>
      <c r="AB48" t="s" s="79">
        <v>124</v>
      </c>
      <c r="AC48" t="s" s="79">
        <v>124</v>
      </c>
      <c r="AD48" t="s" s="82">
        <v>125</v>
      </c>
      <c r="AE48" s="67"/>
    </row>
    <row r="49" ht="15" customHeight="1">
      <c r="A49" t="s" s="87">
        <v>32</v>
      </c>
      <c r="B49" s="69">
        <v>26.1</v>
      </c>
      <c r="C49" t="b" s="70">
        <v>0</v>
      </c>
      <c r="D49" s="71"/>
      <c r="E49" t="s" s="72">
        <v>227</v>
      </c>
      <c r="F49" t="s" s="72">
        <v>138</v>
      </c>
      <c r="G49" s="73">
        <v>1</v>
      </c>
      <c r="H49" t="s" s="72">
        <v>175</v>
      </c>
      <c r="I49" t="s" s="72">
        <v>175</v>
      </c>
      <c r="J49" s="73">
        <v>36</v>
      </c>
      <c r="K49" t="s" s="72">
        <v>128</v>
      </c>
      <c r="L49" t="s" s="72">
        <v>154</v>
      </c>
      <c r="M49" s="71"/>
      <c r="N49" s="71"/>
      <c r="O49" s="71"/>
      <c r="P49" s="73">
        <v>0</v>
      </c>
      <c r="Q49" s="74">
        <v>0</v>
      </c>
      <c r="R49" s="74">
        <v>0</v>
      </c>
      <c r="S49" s="73">
        <v>0</v>
      </c>
      <c r="T49" s="73">
        <v>0</v>
      </c>
      <c r="U49" t="s" s="72">
        <v>122</v>
      </c>
      <c r="V49" s="73">
        <v>0</v>
      </c>
      <c r="W49" s="74">
        <v>0</v>
      </c>
      <c r="X49" s="74">
        <v>0</v>
      </c>
      <c r="Y49" s="73">
        <v>0</v>
      </c>
      <c r="Z49" s="73">
        <v>0</v>
      </c>
      <c r="AA49" t="s" s="72">
        <v>123</v>
      </c>
      <c r="AB49" t="s" s="72">
        <v>124</v>
      </c>
      <c r="AC49" t="s" s="72">
        <v>124</v>
      </c>
      <c r="AD49" t="s" s="75">
        <v>125</v>
      </c>
      <c r="AE49" s="67"/>
    </row>
    <row r="50" ht="15" customHeight="1">
      <c r="A50" t="s" s="87">
        <v>32</v>
      </c>
      <c r="B50" s="76">
        <v>26.1</v>
      </c>
      <c r="C50" t="b" s="77">
        <v>0</v>
      </c>
      <c r="D50" s="78"/>
      <c r="E50" t="s" s="79">
        <v>228</v>
      </c>
      <c r="F50" t="s" s="79">
        <v>149</v>
      </c>
      <c r="G50" s="80">
        <v>1</v>
      </c>
      <c r="H50" t="s" s="79">
        <v>175</v>
      </c>
      <c r="I50" t="s" s="79">
        <v>203</v>
      </c>
      <c r="J50" s="80">
        <v>20</v>
      </c>
      <c r="K50" t="s" s="79">
        <v>128</v>
      </c>
      <c r="L50" t="s" s="79">
        <v>121</v>
      </c>
      <c r="M50" s="78"/>
      <c r="N50" s="78"/>
      <c r="O50" s="78"/>
      <c r="P50" s="80">
        <v>0</v>
      </c>
      <c r="Q50" s="81">
        <v>0</v>
      </c>
      <c r="R50" s="81">
        <v>0</v>
      </c>
      <c r="S50" s="80">
        <v>0</v>
      </c>
      <c r="T50" s="80">
        <v>0</v>
      </c>
      <c r="U50" t="s" s="79">
        <v>122</v>
      </c>
      <c r="V50" s="78"/>
      <c r="W50" s="78"/>
      <c r="X50" s="78"/>
      <c r="Y50" s="78"/>
      <c r="Z50" s="78"/>
      <c r="AA50" s="78"/>
      <c r="AB50" t="s" s="79">
        <v>124</v>
      </c>
      <c r="AC50" t="s" s="79">
        <v>124</v>
      </c>
      <c r="AD50" t="s" s="82">
        <v>125</v>
      </c>
      <c r="AE50" s="67"/>
    </row>
    <row r="51" ht="15" customHeight="1">
      <c r="A51" t="s" s="87">
        <v>32</v>
      </c>
      <c r="B51" s="69">
        <v>26.1</v>
      </c>
      <c r="C51" t="b" s="70">
        <v>0</v>
      </c>
      <c r="D51" s="71"/>
      <c r="E51" t="s" s="72">
        <v>229</v>
      </c>
      <c r="F51" t="s" s="72">
        <v>117</v>
      </c>
      <c r="G51" s="73">
        <v>1</v>
      </c>
      <c r="H51" t="s" s="72">
        <v>175</v>
      </c>
      <c r="I51" t="s" s="72">
        <v>175</v>
      </c>
      <c r="J51" s="73">
        <v>28</v>
      </c>
      <c r="K51" t="s" s="72">
        <v>230</v>
      </c>
      <c r="L51" t="s" s="72">
        <v>121</v>
      </c>
      <c r="M51" s="71"/>
      <c r="N51" s="71"/>
      <c r="O51" s="71"/>
      <c r="P51" s="71"/>
      <c r="Q51" s="71"/>
      <c r="R51" s="71"/>
      <c r="S51" s="71"/>
      <c r="T51" s="71"/>
      <c r="U51" s="71"/>
      <c r="V51" s="73">
        <v>0</v>
      </c>
      <c r="W51" s="74">
        <v>0</v>
      </c>
      <c r="X51" s="74">
        <v>0</v>
      </c>
      <c r="Y51" s="73">
        <v>0</v>
      </c>
      <c r="Z51" s="73">
        <v>0</v>
      </c>
      <c r="AA51" t="s" s="72">
        <v>123</v>
      </c>
      <c r="AB51" t="s" s="72">
        <v>125</v>
      </c>
      <c r="AC51" s="71"/>
      <c r="AD51" t="s" s="75">
        <v>125</v>
      </c>
      <c r="AE51" s="67"/>
    </row>
    <row r="52" ht="15" customHeight="1">
      <c r="A52" t="s" s="87">
        <v>32</v>
      </c>
      <c r="B52" s="76">
        <v>26.1</v>
      </c>
      <c r="C52" t="b" s="77">
        <v>0</v>
      </c>
      <c r="D52" s="78"/>
      <c r="E52" t="s" s="79">
        <v>231</v>
      </c>
      <c r="F52" t="s" s="79">
        <v>159</v>
      </c>
      <c r="G52" s="80">
        <v>1</v>
      </c>
      <c r="H52" t="s" s="79">
        <v>175</v>
      </c>
      <c r="I52" t="s" s="79">
        <v>203</v>
      </c>
      <c r="J52" s="80">
        <v>22</v>
      </c>
      <c r="K52" t="s" s="79">
        <v>128</v>
      </c>
      <c r="L52" t="s" s="79">
        <v>121</v>
      </c>
      <c r="M52" s="78"/>
      <c r="N52" s="78"/>
      <c r="O52" s="78"/>
      <c r="P52" s="80">
        <v>0</v>
      </c>
      <c r="Q52" s="81">
        <v>0</v>
      </c>
      <c r="R52" s="81">
        <v>0</v>
      </c>
      <c r="S52" s="80">
        <v>0</v>
      </c>
      <c r="T52" s="80">
        <v>0</v>
      </c>
      <c r="U52" t="s" s="79">
        <v>122</v>
      </c>
      <c r="V52" s="78"/>
      <c r="W52" s="78"/>
      <c r="X52" s="78"/>
      <c r="Y52" s="78"/>
      <c r="Z52" s="78"/>
      <c r="AA52" s="78"/>
      <c r="AB52" t="s" s="79">
        <v>124</v>
      </c>
      <c r="AC52" t="s" s="79">
        <v>124</v>
      </c>
      <c r="AD52" t="s" s="82">
        <v>125</v>
      </c>
      <c r="AE52" s="67"/>
    </row>
    <row r="53" ht="15" customHeight="1">
      <c r="A53" t="s" s="87">
        <v>32</v>
      </c>
      <c r="B53" s="69">
        <v>26.1</v>
      </c>
      <c r="C53" t="b" s="70">
        <v>0</v>
      </c>
      <c r="D53" s="71"/>
      <c r="E53" t="s" s="72">
        <v>232</v>
      </c>
      <c r="F53" t="s" s="72">
        <v>180</v>
      </c>
      <c r="G53" s="73">
        <v>1</v>
      </c>
      <c r="H53" t="s" s="72">
        <v>175</v>
      </c>
      <c r="I53" t="s" s="72">
        <v>203</v>
      </c>
      <c r="J53" s="73">
        <v>22</v>
      </c>
      <c r="K53" t="s" s="72">
        <v>233</v>
      </c>
      <c r="L53" t="s" s="72">
        <v>121</v>
      </c>
      <c r="M53" s="71"/>
      <c r="N53" s="71"/>
      <c r="O53" s="71"/>
      <c r="P53" s="73">
        <v>0</v>
      </c>
      <c r="Q53" s="74">
        <v>0</v>
      </c>
      <c r="R53" s="74">
        <v>0</v>
      </c>
      <c r="S53" s="73">
        <v>0</v>
      </c>
      <c r="T53" s="73">
        <v>0</v>
      </c>
      <c r="U53" t="s" s="72">
        <v>122</v>
      </c>
      <c r="V53" s="71"/>
      <c r="W53" s="71"/>
      <c r="X53" s="71"/>
      <c r="Y53" s="71"/>
      <c r="Z53" s="71"/>
      <c r="AA53" s="71"/>
      <c r="AB53" t="s" s="72">
        <v>124</v>
      </c>
      <c r="AC53" t="s" s="72">
        <v>124</v>
      </c>
      <c r="AD53" t="s" s="75">
        <v>125</v>
      </c>
      <c r="AE53" s="67"/>
    </row>
    <row r="54" ht="15" customHeight="1">
      <c r="A54" t="s" s="87">
        <v>32</v>
      </c>
      <c r="B54" s="76">
        <v>26.1</v>
      </c>
      <c r="C54" t="b" s="77">
        <v>0</v>
      </c>
      <c r="D54" s="78"/>
      <c r="E54" t="s" s="79">
        <v>234</v>
      </c>
      <c r="F54" t="s" s="79">
        <v>127</v>
      </c>
      <c r="G54" s="80">
        <v>1</v>
      </c>
      <c r="H54" t="s" s="79">
        <v>175</v>
      </c>
      <c r="I54" t="s" s="79">
        <v>175</v>
      </c>
      <c r="J54" s="80">
        <v>35</v>
      </c>
      <c r="K54" t="s" s="79">
        <v>128</v>
      </c>
      <c r="L54" t="s" s="79">
        <v>121</v>
      </c>
      <c r="M54" s="78"/>
      <c r="N54" s="78"/>
      <c r="O54" s="78"/>
      <c r="P54" s="80">
        <v>0</v>
      </c>
      <c r="Q54" s="81">
        <v>0</v>
      </c>
      <c r="R54" s="81">
        <v>0</v>
      </c>
      <c r="S54" s="80">
        <v>0</v>
      </c>
      <c r="T54" s="80">
        <v>0</v>
      </c>
      <c r="U54" t="s" s="79">
        <v>122</v>
      </c>
      <c r="V54" s="80">
        <v>0</v>
      </c>
      <c r="W54" s="81">
        <v>0</v>
      </c>
      <c r="X54" s="81">
        <v>0</v>
      </c>
      <c r="Y54" s="80">
        <v>0</v>
      </c>
      <c r="Z54" s="80">
        <v>0</v>
      </c>
      <c r="AA54" t="s" s="79">
        <v>123</v>
      </c>
      <c r="AB54" t="s" s="79">
        <v>124</v>
      </c>
      <c r="AC54" t="s" s="79">
        <v>124</v>
      </c>
      <c r="AD54" t="s" s="82">
        <v>125</v>
      </c>
      <c r="AE54" s="67"/>
    </row>
    <row r="55" ht="15" customHeight="1">
      <c r="A55" t="s" s="87">
        <v>32</v>
      </c>
      <c r="B55" s="69">
        <v>26.1</v>
      </c>
      <c r="C55" t="b" s="70">
        <v>0</v>
      </c>
      <c r="D55" s="71"/>
      <c r="E55" t="s" s="72">
        <v>235</v>
      </c>
      <c r="F55" t="s" s="72">
        <v>156</v>
      </c>
      <c r="G55" s="73">
        <v>1</v>
      </c>
      <c r="H55" t="s" s="72">
        <v>175</v>
      </c>
      <c r="I55" t="s" s="72">
        <v>175</v>
      </c>
      <c r="J55" s="73">
        <v>25</v>
      </c>
      <c r="K55" t="s" s="72">
        <v>236</v>
      </c>
      <c r="L55" t="s" s="72">
        <v>121</v>
      </c>
      <c r="M55" s="71"/>
      <c r="N55" s="71"/>
      <c r="O55" s="71"/>
      <c r="P55" s="73">
        <v>0</v>
      </c>
      <c r="Q55" s="74">
        <v>0</v>
      </c>
      <c r="R55" s="74">
        <v>0</v>
      </c>
      <c r="S55" s="73">
        <v>0</v>
      </c>
      <c r="T55" s="73">
        <v>0</v>
      </c>
      <c r="U55" t="s" s="72">
        <v>122</v>
      </c>
      <c r="V55" s="71"/>
      <c r="W55" s="71"/>
      <c r="X55" s="71"/>
      <c r="Y55" s="71"/>
      <c r="Z55" s="71"/>
      <c r="AA55" s="71"/>
      <c r="AB55" t="s" s="72">
        <v>124</v>
      </c>
      <c r="AC55" t="s" s="72">
        <v>124</v>
      </c>
      <c r="AD55" t="s" s="75">
        <v>125</v>
      </c>
      <c r="AE55" s="67"/>
    </row>
    <row r="56" ht="15" customHeight="1">
      <c r="A56" t="s" s="87">
        <v>32</v>
      </c>
      <c r="B56" s="76">
        <v>26.1</v>
      </c>
      <c r="C56" t="b" s="77">
        <v>0</v>
      </c>
      <c r="D56" s="78"/>
      <c r="E56" t="s" s="79">
        <v>237</v>
      </c>
      <c r="F56" t="s" s="79">
        <v>172</v>
      </c>
      <c r="G56" s="80">
        <v>1</v>
      </c>
      <c r="H56" t="s" s="79">
        <v>175</v>
      </c>
      <c r="I56" t="s" s="79">
        <v>175</v>
      </c>
      <c r="J56" s="80">
        <v>27</v>
      </c>
      <c r="K56" t="s" s="79">
        <v>128</v>
      </c>
      <c r="L56" t="s" s="79">
        <v>121</v>
      </c>
      <c r="M56" s="78"/>
      <c r="N56" s="78"/>
      <c r="O56" s="78"/>
      <c r="P56" s="80">
        <v>0</v>
      </c>
      <c r="Q56" s="81">
        <v>0</v>
      </c>
      <c r="R56" s="81">
        <v>0</v>
      </c>
      <c r="S56" s="80">
        <v>0</v>
      </c>
      <c r="T56" s="80">
        <v>0</v>
      </c>
      <c r="U56" t="s" s="79">
        <v>122</v>
      </c>
      <c r="V56" s="80">
        <v>0</v>
      </c>
      <c r="W56" s="81">
        <v>0</v>
      </c>
      <c r="X56" s="81">
        <v>0</v>
      </c>
      <c r="Y56" s="80">
        <v>0</v>
      </c>
      <c r="Z56" s="80">
        <v>0</v>
      </c>
      <c r="AA56" t="s" s="79">
        <v>123</v>
      </c>
      <c r="AB56" t="s" s="79">
        <v>124</v>
      </c>
      <c r="AC56" t="s" s="79">
        <v>124</v>
      </c>
      <c r="AD56" t="s" s="82">
        <v>125</v>
      </c>
      <c r="AE56" s="67"/>
    </row>
    <row r="57" ht="15" customHeight="1">
      <c r="A57" t="s" s="87">
        <v>32</v>
      </c>
      <c r="B57" s="69">
        <v>26.1</v>
      </c>
      <c r="C57" t="b" s="70">
        <v>0</v>
      </c>
      <c r="D57" s="71"/>
      <c r="E57" t="s" s="72">
        <v>238</v>
      </c>
      <c r="F57" t="s" s="72">
        <v>117</v>
      </c>
      <c r="G57" s="73">
        <v>1</v>
      </c>
      <c r="H57" t="s" s="72">
        <v>175</v>
      </c>
      <c r="I57" t="s" s="72">
        <v>203</v>
      </c>
      <c r="J57" s="73">
        <v>19</v>
      </c>
      <c r="K57" t="s" s="72">
        <v>239</v>
      </c>
      <c r="L57" t="s" s="72">
        <v>121</v>
      </c>
      <c r="M57" s="71"/>
      <c r="N57" s="71"/>
      <c r="O57" s="71"/>
      <c r="P57" s="73">
        <v>0</v>
      </c>
      <c r="Q57" s="74">
        <v>0</v>
      </c>
      <c r="R57" s="74">
        <v>0</v>
      </c>
      <c r="S57" s="73">
        <v>0</v>
      </c>
      <c r="T57" s="73">
        <v>0</v>
      </c>
      <c r="U57" t="s" s="72">
        <v>122</v>
      </c>
      <c r="V57" s="71"/>
      <c r="W57" s="71"/>
      <c r="X57" s="71"/>
      <c r="Y57" s="71"/>
      <c r="Z57" s="71"/>
      <c r="AA57" s="71"/>
      <c r="AB57" t="s" s="72">
        <v>124</v>
      </c>
      <c r="AC57" t="s" s="72">
        <v>124</v>
      </c>
      <c r="AD57" t="s" s="75">
        <v>125</v>
      </c>
      <c r="AE57" s="67"/>
    </row>
    <row r="58" ht="15" customHeight="1">
      <c r="A58" t="s" s="87">
        <v>32</v>
      </c>
      <c r="B58" s="76">
        <v>26.1</v>
      </c>
      <c r="C58" t="b" s="77">
        <v>0</v>
      </c>
      <c r="D58" s="78"/>
      <c r="E58" t="s" s="79">
        <v>240</v>
      </c>
      <c r="F58" t="s" s="79">
        <v>138</v>
      </c>
      <c r="G58" s="80">
        <v>1</v>
      </c>
      <c r="H58" t="s" s="79">
        <v>175</v>
      </c>
      <c r="I58" t="s" s="79">
        <v>175</v>
      </c>
      <c r="J58" s="80">
        <v>27</v>
      </c>
      <c r="K58" t="s" s="79">
        <v>145</v>
      </c>
      <c r="L58" t="s" s="79">
        <v>121</v>
      </c>
      <c r="M58" s="78"/>
      <c r="N58" s="78"/>
      <c r="O58" s="78"/>
      <c r="P58" s="80">
        <v>0</v>
      </c>
      <c r="Q58" s="81">
        <v>0</v>
      </c>
      <c r="R58" s="81">
        <v>0</v>
      </c>
      <c r="S58" s="80">
        <v>0</v>
      </c>
      <c r="T58" s="80">
        <v>0</v>
      </c>
      <c r="U58" t="s" s="79">
        <v>122</v>
      </c>
      <c r="V58" s="78"/>
      <c r="W58" s="78"/>
      <c r="X58" s="78"/>
      <c r="Y58" s="78"/>
      <c r="Z58" s="78"/>
      <c r="AA58" s="78"/>
      <c r="AB58" t="s" s="79">
        <v>124</v>
      </c>
      <c r="AC58" t="s" s="79">
        <v>124</v>
      </c>
      <c r="AD58" t="s" s="82">
        <v>125</v>
      </c>
      <c r="AE58" s="67"/>
    </row>
    <row r="59" ht="15" customHeight="1">
      <c r="A59" t="s" s="87">
        <v>32</v>
      </c>
      <c r="B59" s="69">
        <v>26.1</v>
      </c>
      <c r="C59" t="b" s="70">
        <v>0</v>
      </c>
      <c r="D59" s="71"/>
      <c r="E59" t="s" s="72">
        <v>241</v>
      </c>
      <c r="F59" t="s" s="72">
        <v>163</v>
      </c>
      <c r="G59" s="73">
        <v>1</v>
      </c>
      <c r="H59" t="s" s="72">
        <v>175</v>
      </c>
      <c r="I59" t="s" s="72">
        <v>203</v>
      </c>
      <c r="J59" s="73">
        <v>19</v>
      </c>
      <c r="K59" t="s" s="72">
        <v>128</v>
      </c>
      <c r="L59" t="s" s="72">
        <v>121</v>
      </c>
      <c r="M59" s="71"/>
      <c r="N59" s="71"/>
      <c r="O59" s="71"/>
      <c r="P59" s="73">
        <v>0</v>
      </c>
      <c r="Q59" s="74">
        <v>0</v>
      </c>
      <c r="R59" s="74">
        <v>0</v>
      </c>
      <c r="S59" s="73">
        <v>0</v>
      </c>
      <c r="T59" s="73">
        <v>0</v>
      </c>
      <c r="U59" t="s" s="72">
        <v>122</v>
      </c>
      <c r="V59" s="73">
        <v>0</v>
      </c>
      <c r="W59" s="74">
        <v>0</v>
      </c>
      <c r="X59" s="74">
        <v>0</v>
      </c>
      <c r="Y59" s="73">
        <v>0</v>
      </c>
      <c r="Z59" s="73">
        <v>0</v>
      </c>
      <c r="AA59" t="s" s="72">
        <v>123</v>
      </c>
      <c r="AB59" t="s" s="72">
        <v>124</v>
      </c>
      <c r="AC59" t="s" s="72">
        <v>124</v>
      </c>
      <c r="AD59" t="s" s="75">
        <v>125</v>
      </c>
      <c r="AE59" s="67"/>
    </row>
    <row r="60" ht="15" customHeight="1">
      <c r="A60" t="s" s="87">
        <v>32</v>
      </c>
      <c r="B60" s="76">
        <v>26.1</v>
      </c>
      <c r="C60" t="b" s="77">
        <v>0</v>
      </c>
      <c r="D60" s="78"/>
      <c r="E60" t="s" s="79">
        <v>242</v>
      </c>
      <c r="F60" t="s" s="79">
        <v>130</v>
      </c>
      <c r="G60" s="80">
        <v>1</v>
      </c>
      <c r="H60" t="s" s="79">
        <v>175</v>
      </c>
      <c r="I60" t="s" s="79">
        <v>203</v>
      </c>
      <c r="J60" s="80">
        <v>21</v>
      </c>
      <c r="K60" t="s" s="79">
        <v>128</v>
      </c>
      <c r="L60" t="s" s="79">
        <v>121</v>
      </c>
      <c r="M60" s="78"/>
      <c r="N60" s="78"/>
      <c r="O60" s="78"/>
      <c r="P60" s="80">
        <v>0</v>
      </c>
      <c r="Q60" s="81">
        <v>0</v>
      </c>
      <c r="R60" s="81">
        <v>0</v>
      </c>
      <c r="S60" s="80">
        <v>0</v>
      </c>
      <c r="T60" s="80">
        <v>0</v>
      </c>
      <c r="U60" t="s" s="79">
        <v>122</v>
      </c>
      <c r="V60" s="80">
        <v>0</v>
      </c>
      <c r="W60" s="81">
        <v>0</v>
      </c>
      <c r="X60" s="81">
        <v>0</v>
      </c>
      <c r="Y60" s="80">
        <v>0</v>
      </c>
      <c r="Z60" s="80">
        <v>0</v>
      </c>
      <c r="AA60" t="s" s="79">
        <v>123</v>
      </c>
      <c r="AB60" t="s" s="79">
        <v>124</v>
      </c>
      <c r="AC60" t="s" s="79">
        <v>124</v>
      </c>
      <c r="AD60" t="s" s="82">
        <v>125</v>
      </c>
      <c r="AE60" s="67"/>
    </row>
    <row r="61" ht="15" customHeight="1">
      <c r="A61" t="s" s="87">
        <v>32</v>
      </c>
      <c r="B61" s="69">
        <v>26.1</v>
      </c>
      <c r="C61" t="b" s="70">
        <v>0</v>
      </c>
      <c r="D61" s="71"/>
      <c r="E61" t="s" s="72">
        <v>243</v>
      </c>
      <c r="F61" t="s" s="72">
        <v>170</v>
      </c>
      <c r="G61" s="73">
        <v>1</v>
      </c>
      <c r="H61" t="s" s="72">
        <v>175</v>
      </c>
      <c r="I61" t="s" s="72">
        <v>175</v>
      </c>
      <c r="J61" s="73">
        <v>31</v>
      </c>
      <c r="K61" t="s" s="72">
        <v>128</v>
      </c>
      <c r="L61" t="s" s="72">
        <v>121</v>
      </c>
      <c r="M61" s="71"/>
      <c r="N61" s="71"/>
      <c r="O61" s="71"/>
      <c r="P61" s="73">
        <v>0</v>
      </c>
      <c r="Q61" s="74">
        <v>0</v>
      </c>
      <c r="R61" s="74">
        <v>0</v>
      </c>
      <c r="S61" s="73">
        <v>0</v>
      </c>
      <c r="T61" s="73">
        <v>0</v>
      </c>
      <c r="U61" t="s" s="72">
        <v>122</v>
      </c>
      <c r="V61" s="73">
        <v>0</v>
      </c>
      <c r="W61" s="74">
        <v>0</v>
      </c>
      <c r="X61" s="74">
        <v>0</v>
      </c>
      <c r="Y61" s="73">
        <v>0</v>
      </c>
      <c r="Z61" s="73">
        <v>0</v>
      </c>
      <c r="AA61" t="s" s="72">
        <v>123</v>
      </c>
      <c r="AB61" t="s" s="72">
        <v>124</v>
      </c>
      <c r="AC61" t="s" s="72">
        <v>124</v>
      </c>
      <c r="AD61" t="s" s="75">
        <v>125</v>
      </c>
      <c r="AE61" s="67"/>
    </row>
    <row r="62" ht="15" customHeight="1">
      <c r="A62" t="s" s="87">
        <v>32</v>
      </c>
      <c r="B62" s="76">
        <v>26.1</v>
      </c>
      <c r="C62" t="b" s="77">
        <v>0</v>
      </c>
      <c r="D62" s="78"/>
      <c r="E62" t="s" s="79">
        <v>244</v>
      </c>
      <c r="F62" t="s" s="79">
        <v>168</v>
      </c>
      <c r="G62" s="80">
        <v>1</v>
      </c>
      <c r="H62" t="s" s="79">
        <v>175</v>
      </c>
      <c r="I62" t="s" s="79">
        <v>175</v>
      </c>
      <c r="J62" s="80">
        <v>30</v>
      </c>
      <c r="K62" t="s" s="79">
        <v>128</v>
      </c>
      <c r="L62" t="s" s="79">
        <v>121</v>
      </c>
      <c r="M62" s="78"/>
      <c r="N62" s="78"/>
      <c r="O62" s="78"/>
      <c r="P62" s="80">
        <v>0</v>
      </c>
      <c r="Q62" s="81">
        <v>0</v>
      </c>
      <c r="R62" s="81">
        <v>0</v>
      </c>
      <c r="S62" s="80">
        <v>0</v>
      </c>
      <c r="T62" s="80">
        <v>0</v>
      </c>
      <c r="U62" t="s" s="79">
        <v>122</v>
      </c>
      <c r="V62" s="78"/>
      <c r="W62" s="78"/>
      <c r="X62" s="78"/>
      <c r="Y62" s="78"/>
      <c r="Z62" s="78"/>
      <c r="AA62" s="78"/>
      <c r="AB62" t="s" s="79">
        <v>124</v>
      </c>
      <c r="AC62" t="s" s="79">
        <v>124</v>
      </c>
      <c r="AD62" t="s" s="82">
        <v>125</v>
      </c>
      <c r="AE62" s="67"/>
    </row>
    <row r="63" ht="15" customHeight="1">
      <c r="A63" t="s" s="87">
        <v>32</v>
      </c>
      <c r="B63" s="69">
        <v>26.1</v>
      </c>
      <c r="C63" t="b" s="70">
        <v>0</v>
      </c>
      <c r="D63" s="71"/>
      <c r="E63" t="s" s="72">
        <v>245</v>
      </c>
      <c r="F63" t="s" s="72">
        <v>183</v>
      </c>
      <c r="G63" s="73">
        <v>1</v>
      </c>
      <c r="H63" t="s" s="72">
        <v>175</v>
      </c>
      <c r="I63" t="s" s="72">
        <v>175</v>
      </c>
      <c r="J63" s="73">
        <v>33</v>
      </c>
      <c r="K63" t="s" s="72">
        <v>128</v>
      </c>
      <c r="L63" t="s" s="72">
        <v>121</v>
      </c>
      <c r="M63" s="71"/>
      <c r="N63" s="71"/>
      <c r="O63" s="71"/>
      <c r="P63" s="73">
        <v>0</v>
      </c>
      <c r="Q63" s="74">
        <v>0</v>
      </c>
      <c r="R63" s="74">
        <v>0</v>
      </c>
      <c r="S63" s="73">
        <v>0</v>
      </c>
      <c r="T63" s="73">
        <v>0</v>
      </c>
      <c r="U63" t="s" s="72">
        <v>122</v>
      </c>
      <c r="V63" s="71"/>
      <c r="W63" s="71"/>
      <c r="X63" s="71"/>
      <c r="Y63" s="71"/>
      <c r="Z63" s="71"/>
      <c r="AA63" s="71"/>
      <c r="AB63" t="s" s="72">
        <v>124</v>
      </c>
      <c r="AC63" t="s" s="72">
        <v>124</v>
      </c>
      <c r="AD63" t="s" s="75">
        <v>125</v>
      </c>
      <c r="AE63" s="67"/>
    </row>
    <row r="64" ht="15" customHeight="1">
      <c r="A64" t="s" s="87">
        <v>32</v>
      </c>
      <c r="B64" s="76">
        <v>26.1</v>
      </c>
      <c r="C64" t="b" s="77">
        <v>0</v>
      </c>
      <c r="D64" s="78"/>
      <c r="E64" t="s" s="79">
        <v>246</v>
      </c>
      <c r="F64" t="s" s="79">
        <v>180</v>
      </c>
      <c r="G64" s="80">
        <v>1</v>
      </c>
      <c r="H64" t="s" s="79">
        <v>175</v>
      </c>
      <c r="I64" t="s" s="79">
        <v>175</v>
      </c>
      <c r="J64" s="80">
        <v>34</v>
      </c>
      <c r="K64" t="s" s="79">
        <v>128</v>
      </c>
      <c r="L64" t="s" s="79">
        <v>121</v>
      </c>
      <c r="M64" s="78"/>
      <c r="N64" s="78"/>
      <c r="O64" s="78"/>
      <c r="P64" s="80">
        <v>0</v>
      </c>
      <c r="Q64" s="81">
        <v>0</v>
      </c>
      <c r="R64" s="81">
        <v>0</v>
      </c>
      <c r="S64" s="80">
        <v>0</v>
      </c>
      <c r="T64" s="80">
        <v>0</v>
      </c>
      <c r="U64" t="s" s="79">
        <v>122</v>
      </c>
      <c r="V64" s="78"/>
      <c r="W64" s="78"/>
      <c r="X64" s="78"/>
      <c r="Y64" s="78"/>
      <c r="Z64" s="78"/>
      <c r="AA64" s="78"/>
      <c r="AB64" t="s" s="79">
        <v>124</v>
      </c>
      <c r="AC64" t="s" s="79">
        <v>124</v>
      </c>
      <c r="AD64" t="s" s="82">
        <v>125</v>
      </c>
      <c r="AE64" s="67"/>
    </row>
    <row r="65" ht="15" customHeight="1">
      <c r="A65" t="s" s="87">
        <v>32</v>
      </c>
      <c r="B65" s="69">
        <v>26.1</v>
      </c>
      <c r="C65" t="b" s="70">
        <v>0</v>
      </c>
      <c r="D65" s="71"/>
      <c r="E65" t="s" s="72">
        <v>247</v>
      </c>
      <c r="F65" t="s" s="72">
        <v>130</v>
      </c>
      <c r="G65" s="73">
        <v>1</v>
      </c>
      <c r="H65" t="s" s="72">
        <v>175</v>
      </c>
      <c r="I65" t="s" s="72">
        <v>203</v>
      </c>
      <c r="J65" s="73">
        <v>18</v>
      </c>
      <c r="K65" t="s" s="72">
        <v>204</v>
      </c>
      <c r="L65" s="71"/>
      <c r="M65" s="71"/>
      <c r="N65" s="71"/>
      <c r="O65" s="71"/>
      <c r="P65" s="71"/>
      <c r="Q65" s="71"/>
      <c r="R65" s="71"/>
      <c r="S65" s="71"/>
      <c r="T65" s="71"/>
      <c r="U65" s="71"/>
      <c r="V65" s="71"/>
      <c r="W65" s="71"/>
      <c r="X65" s="71"/>
      <c r="Y65" s="71"/>
      <c r="Z65" s="71"/>
      <c r="AA65" s="71"/>
      <c r="AB65" t="s" s="72">
        <v>125</v>
      </c>
      <c r="AC65" s="71"/>
      <c r="AD65" t="s" s="75">
        <v>125</v>
      </c>
      <c r="AE65" s="67"/>
    </row>
    <row r="66" ht="15" customHeight="1">
      <c r="A66" t="s" s="87">
        <v>32</v>
      </c>
      <c r="B66" s="76">
        <v>26.1</v>
      </c>
      <c r="C66" t="b" s="77">
        <v>0</v>
      </c>
      <c r="D66" s="78"/>
      <c r="E66" t="s" s="79">
        <v>248</v>
      </c>
      <c r="F66" t="s" s="79">
        <v>141</v>
      </c>
      <c r="G66" s="80">
        <v>1</v>
      </c>
      <c r="H66" t="s" s="79">
        <v>175</v>
      </c>
      <c r="I66" t="s" s="79">
        <v>175</v>
      </c>
      <c r="J66" s="80">
        <v>36</v>
      </c>
      <c r="K66" t="s" s="79">
        <v>128</v>
      </c>
      <c r="L66" t="s" s="79">
        <v>121</v>
      </c>
      <c r="M66" s="78"/>
      <c r="N66" s="78"/>
      <c r="O66" s="78"/>
      <c r="P66" s="80">
        <v>0</v>
      </c>
      <c r="Q66" s="81">
        <v>0</v>
      </c>
      <c r="R66" s="81">
        <v>0</v>
      </c>
      <c r="S66" s="80">
        <v>0</v>
      </c>
      <c r="T66" s="80">
        <v>0</v>
      </c>
      <c r="U66" t="s" s="79">
        <v>122</v>
      </c>
      <c r="V66" s="80">
        <v>0</v>
      </c>
      <c r="W66" s="81">
        <v>0</v>
      </c>
      <c r="X66" s="81">
        <v>0</v>
      </c>
      <c r="Y66" s="80">
        <v>0</v>
      </c>
      <c r="Z66" s="80">
        <v>0</v>
      </c>
      <c r="AA66" t="s" s="79">
        <v>123</v>
      </c>
      <c r="AB66" t="s" s="79">
        <v>124</v>
      </c>
      <c r="AC66" t="s" s="79">
        <v>124</v>
      </c>
      <c r="AD66" t="s" s="82">
        <v>125</v>
      </c>
      <c r="AE66" s="67"/>
    </row>
    <row r="67" ht="15" customHeight="1">
      <c r="A67" t="s" s="87">
        <v>32</v>
      </c>
      <c r="B67" s="69">
        <v>26.1</v>
      </c>
      <c r="C67" t="b" s="70">
        <v>0</v>
      </c>
      <c r="D67" s="71"/>
      <c r="E67" t="s" s="72">
        <v>249</v>
      </c>
      <c r="F67" t="s" s="72">
        <v>153</v>
      </c>
      <c r="G67" s="73">
        <v>1</v>
      </c>
      <c r="H67" t="s" s="72">
        <v>175</v>
      </c>
      <c r="I67" t="s" s="72">
        <v>175</v>
      </c>
      <c r="J67" s="73">
        <v>30</v>
      </c>
      <c r="K67" t="s" s="72">
        <v>250</v>
      </c>
      <c r="L67" t="s" s="72">
        <v>121</v>
      </c>
      <c r="M67" s="71"/>
      <c r="N67" s="71"/>
      <c r="O67" s="71"/>
      <c r="P67" s="73">
        <v>0</v>
      </c>
      <c r="Q67" s="74">
        <v>0</v>
      </c>
      <c r="R67" s="74">
        <v>0</v>
      </c>
      <c r="S67" s="73">
        <v>0</v>
      </c>
      <c r="T67" s="73">
        <v>0</v>
      </c>
      <c r="U67" t="s" s="72">
        <v>122</v>
      </c>
      <c r="V67" s="73">
        <v>0</v>
      </c>
      <c r="W67" s="74">
        <v>0</v>
      </c>
      <c r="X67" s="74">
        <v>0</v>
      </c>
      <c r="Y67" s="73">
        <v>0</v>
      </c>
      <c r="Z67" s="73">
        <v>0</v>
      </c>
      <c r="AA67" t="s" s="72">
        <v>123</v>
      </c>
      <c r="AB67" t="s" s="72">
        <v>124</v>
      </c>
      <c r="AC67" t="s" s="72">
        <v>124</v>
      </c>
      <c r="AD67" t="s" s="75">
        <v>125</v>
      </c>
      <c r="AE67" s="67"/>
    </row>
    <row r="68" ht="15" customHeight="1">
      <c r="A68" t="s" s="87">
        <v>32</v>
      </c>
      <c r="B68" s="76">
        <v>26.1</v>
      </c>
      <c r="C68" t="b" s="77">
        <v>0</v>
      </c>
      <c r="D68" s="78"/>
      <c r="E68" t="s" s="79">
        <v>251</v>
      </c>
      <c r="F68" t="s" s="79">
        <v>117</v>
      </c>
      <c r="G68" s="80">
        <v>1</v>
      </c>
      <c r="H68" t="s" s="79">
        <v>175</v>
      </c>
      <c r="I68" t="s" s="79">
        <v>175</v>
      </c>
      <c r="J68" s="80">
        <v>31</v>
      </c>
      <c r="K68" t="s" s="79">
        <v>128</v>
      </c>
      <c r="L68" t="s" s="79">
        <v>121</v>
      </c>
      <c r="M68" s="78"/>
      <c r="N68" s="78"/>
      <c r="O68" s="78"/>
      <c r="P68" s="80">
        <v>0</v>
      </c>
      <c r="Q68" s="81">
        <v>0</v>
      </c>
      <c r="R68" s="81">
        <v>0</v>
      </c>
      <c r="S68" s="80">
        <v>0</v>
      </c>
      <c r="T68" s="80">
        <v>0</v>
      </c>
      <c r="U68" t="s" s="79">
        <v>122</v>
      </c>
      <c r="V68" s="80">
        <v>0</v>
      </c>
      <c r="W68" s="81">
        <v>0</v>
      </c>
      <c r="X68" s="81">
        <v>0</v>
      </c>
      <c r="Y68" s="80">
        <v>0</v>
      </c>
      <c r="Z68" s="80">
        <v>0</v>
      </c>
      <c r="AA68" t="s" s="79">
        <v>123</v>
      </c>
      <c r="AB68" t="s" s="79">
        <v>124</v>
      </c>
      <c r="AC68" t="s" s="79">
        <v>124</v>
      </c>
      <c r="AD68" t="s" s="82">
        <v>125</v>
      </c>
      <c r="AE68" s="67"/>
    </row>
    <row r="69" ht="15" customHeight="1">
      <c r="A69" t="s" s="87">
        <v>32</v>
      </c>
      <c r="B69" s="69">
        <v>26.1</v>
      </c>
      <c r="C69" t="b" s="70">
        <v>0</v>
      </c>
      <c r="D69" s="71"/>
      <c r="E69" t="s" s="72">
        <v>252</v>
      </c>
      <c r="F69" t="s" s="72">
        <v>127</v>
      </c>
      <c r="G69" s="73">
        <v>1</v>
      </c>
      <c r="H69" t="s" s="72">
        <v>175</v>
      </c>
      <c r="I69" t="s" s="72">
        <v>203</v>
      </c>
      <c r="J69" s="73">
        <v>21</v>
      </c>
      <c r="K69" t="s" s="72">
        <v>253</v>
      </c>
      <c r="L69" s="71"/>
      <c r="M69" s="71"/>
      <c r="N69" s="71"/>
      <c r="O69" s="71"/>
      <c r="P69" s="71"/>
      <c r="Q69" s="71"/>
      <c r="R69" s="71"/>
      <c r="S69" s="71"/>
      <c r="T69" s="71"/>
      <c r="U69" s="71"/>
      <c r="V69" s="71"/>
      <c r="W69" s="71"/>
      <c r="X69" s="71"/>
      <c r="Y69" s="71"/>
      <c r="Z69" s="71"/>
      <c r="AA69" s="71"/>
      <c r="AB69" t="s" s="72">
        <v>125</v>
      </c>
      <c r="AC69" s="71"/>
      <c r="AD69" t="s" s="75">
        <v>125</v>
      </c>
      <c r="AE69" s="67"/>
    </row>
    <row r="70" ht="15" customHeight="1">
      <c r="A70" t="s" s="87">
        <v>32</v>
      </c>
      <c r="B70" s="76">
        <v>26.1</v>
      </c>
      <c r="C70" t="b" s="77">
        <v>0</v>
      </c>
      <c r="D70" s="78"/>
      <c r="E70" t="s" s="79">
        <v>254</v>
      </c>
      <c r="F70" t="s" s="79">
        <v>168</v>
      </c>
      <c r="G70" s="80">
        <v>1</v>
      </c>
      <c r="H70" t="s" s="79">
        <v>175</v>
      </c>
      <c r="I70" t="s" s="79">
        <v>203</v>
      </c>
      <c r="J70" s="80">
        <v>18</v>
      </c>
      <c r="K70" t="s" s="79">
        <v>255</v>
      </c>
      <c r="L70" t="s" s="79">
        <v>154</v>
      </c>
      <c r="M70" s="78"/>
      <c r="N70" s="78"/>
      <c r="O70" s="78"/>
      <c r="P70" s="80">
        <v>0</v>
      </c>
      <c r="Q70" s="81">
        <v>0</v>
      </c>
      <c r="R70" s="81">
        <v>0</v>
      </c>
      <c r="S70" s="80">
        <v>0</v>
      </c>
      <c r="T70" s="80">
        <v>0</v>
      </c>
      <c r="U70" t="s" s="79">
        <v>122</v>
      </c>
      <c r="V70" s="78"/>
      <c r="W70" s="78"/>
      <c r="X70" s="78"/>
      <c r="Y70" s="78"/>
      <c r="Z70" s="78"/>
      <c r="AA70" s="78"/>
      <c r="AB70" t="s" s="79">
        <v>124</v>
      </c>
      <c r="AC70" t="s" s="79">
        <v>124</v>
      </c>
      <c r="AD70" t="s" s="82">
        <v>125</v>
      </c>
      <c r="AE70" s="67"/>
    </row>
    <row r="71" ht="15" customHeight="1">
      <c r="A71" t="s" s="87">
        <v>32</v>
      </c>
      <c r="B71" s="69">
        <v>26.1</v>
      </c>
      <c r="C71" t="b" s="70">
        <v>0</v>
      </c>
      <c r="D71" s="71"/>
      <c r="E71" t="s" s="72">
        <v>256</v>
      </c>
      <c r="F71" t="s" s="72">
        <v>138</v>
      </c>
      <c r="G71" s="73">
        <v>1</v>
      </c>
      <c r="H71" t="s" s="72">
        <v>175</v>
      </c>
      <c r="I71" t="s" s="72">
        <v>203</v>
      </c>
      <c r="J71" s="73">
        <v>19</v>
      </c>
      <c r="K71" t="s" s="72">
        <v>257</v>
      </c>
      <c r="L71" t="s" s="72">
        <v>258</v>
      </c>
      <c r="M71" s="71"/>
      <c r="N71" s="71"/>
      <c r="O71" s="71"/>
      <c r="P71" s="71"/>
      <c r="Q71" s="71"/>
      <c r="R71" s="71"/>
      <c r="S71" s="71"/>
      <c r="T71" s="71"/>
      <c r="U71" s="71"/>
      <c r="V71" s="71"/>
      <c r="W71" s="71"/>
      <c r="X71" s="71"/>
      <c r="Y71" s="71"/>
      <c r="Z71" s="71"/>
      <c r="AA71" s="71"/>
      <c r="AB71" t="s" s="72">
        <v>125</v>
      </c>
      <c r="AC71" s="71"/>
      <c r="AD71" t="s" s="75">
        <v>125</v>
      </c>
      <c r="AE71" s="67"/>
    </row>
    <row r="72" ht="15" customHeight="1">
      <c r="A72" t="s" s="87">
        <v>32</v>
      </c>
      <c r="B72" s="76">
        <v>26.1</v>
      </c>
      <c r="C72" t="b" s="77">
        <v>0</v>
      </c>
      <c r="D72" s="78"/>
      <c r="E72" t="s" s="79">
        <v>259</v>
      </c>
      <c r="F72" t="s" s="79">
        <v>141</v>
      </c>
      <c r="G72" s="80">
        <v>1</v>
      </c>
      <c r="H72" t="s" s="79">
        <v>175</v>
      </c>
      <c r="I72" t="s" s="79">
        <v>175</v>
      </c>
      <c r="J72" s="80">
        <v>28</v>
      </c>
      <c r="K72" t="s" s="79">
        <v>260</v>
      </c>
      <c r="L72" t="s" s="79">
        <v>121</v>
      </c>
      <c r="M72" s="78"/>
      <c r="N72" s="78"/>
      <c r="O72" s="78"/>
      <c r="P72" s="80">
        <v>0</v>
      </c>
      <c r="Q72" s="81">
        <v>0</v>
      </c>
      <c r="R72" s="81">
        <v>0</v>
      </c>
      <c r="S72" s="80">
        <v>0</v>
      </c>
      <c r="T72" s="80">
        <v>0</v>
      </c>
      <c r="U72" t="s" s="79">
        <v>122</v>
      </c>
      <c r="V72" s="80">
        <v>0</v>
      </c>
      <c r="W72" s="81">
        <v>0</v>
      </c>
      <c r="X72" s="81">
        <v>0</v>
      </c>
      <c r="Y72" s="80">
        <v>0</v>
      </c>
      <c r="Z72" s="80">
        <v>0</v>
      </c>
      <c r="AA72" t="s" s="79">
        <v>123</v>
      </c>
      <c r="AB72" t="s" s="79">
        <v>124</v>
      </c>
      <c r="AC72" t="s" s="79">
        <v>124</v>
      </c>
      <c r="AD72" t="s" s="82">
        <v>125</v>
      </c>
      <c r="AE72" s="67"/>
    </row>
    <row r="73" ht="15" customHeight="1">
      <c r="A73" t="s" s="87">
        <v>32</v>
      </c>
      <c r="B73" s="69">
        <v>26.1</v>
      </c>
      <c r="C73" t="b" s="70">
        <v>0</v>
      </c>
      <c r="D73" s="71"/>
      <c r="E73" t="s" s="72">
        <v>261</v>
      </c>
      <c r="F73" t="s" s="72">
        <v>193</v>
      </c>
      <c r="G73" s="73">
        <v>1</v>
      </c>
      <c r="H73" t="s" s="72">
        <v>175</v>
      </c>
      <c r="I73" t="s" s="72">
        <v>175</v>
      </c>
      <c r="J73" s="73">
        <v>26</v>
      </c>
      <c r="K73" t="s" s="72">
        <v>128</v>
      </c>
      <c r="L73" t="s" s="72">
        <v>121</v>
      </c>
      <c r="M73" s="71"/>
      <c r="N73" s="71"/>
      <c r="O73" s="71"/>
      <c r="P73" s="73">
        <v>0</v>
      </c>
      <c r="Q73" s="74">
        <v>0</v>
      </c>
      <c r="R73" s="74">
        <v>0</v>
      </c>
      <c r="S73" s="73">
        <v>0</v>
      </c>
      <c r="T73" s="73">
        <v>0</v>
      </c>
      <c r="U73" t="s" s="72">
        <v>122</v>
      </c>
      <c r="V73" s="71"/>
      <c r="W73" s="71"/>
      <c r="X73" s="71"/>
      <c r="Y73" s="71"/>
      <c r="Z73" s="71"/>
      <c r="AA73" s="71"/>
      <c r="AB73" t="s" s="72">
        <v>124</v>
      </c>
      <c r="AC73" t="s" s="72">
        <v>124</v>
      </c>
      <c r="AD73" t="s" s="75">
        <v>125</v>
      </c>
      <c r="AE73" s="67"/>
    </row>
    <row r="74" ht="15" customHeight="1">
      <c r="A74" t="s" s="87">
        <v>32</v>
      </c>
      <c r="B74" s="76">
        <v>26.1</v>
      </c>
      <c r="C74" t="b" s="77">
        <v>0</v>
      </c>
      <c r="D74" s="78"/>
      <c r="E74" t="s" s="79">
        <v>262</v>
      </c>
      <c r="F74" t="s" s="79">
        <v>127</v>
      </c>
      <c r="G74" s="80">
        <v>1</v>
      </c>
      <c r="H74" t="s" s="79">
        <v>175</v>
      </c>
      <c r="I74" t="s" s="79">
        <v>203</v>
      </c>
      <c r="J74" s="80">
        <v>20</v>
      </c>
      <c r="K74" t="s" s="79">
        <v>128</v>
      </c>
      <c r="L74" t="s" s="79">
        <v>154</v>
      </c>
      <c r="M74" s="78"/>
      <c r="N74" s="78"/>
      <c r="O74" s="78"/>
      <c r="P74" s="80">
        <v>0</v>
      </c>
      <c r="Q74" s="81">
        <v>0</v>
      </c>
      <c r="R74" s="81">
        <v>0</v>
      </c>
      <c r="S74" s="80">
        <v>0</v>
      </c>
      <c r="T74" s="80">
        <v>0</v>
      </c>
      <c r="U74" t="s" s="79">
        <v>122</v>
      </c>
      <c r="V74" s="78"/>
      <c r="W74" s="78"/>
      <c r="X74" s="78"/>
      <c r="Y74" s="78"/>
      <c r="Z74" s="78"/>
      <c r="AA74" s="78"/>
      <c r="AB74" t="s" s="79">
        <v>124</v>
      </c>
      <c r="AC74" t="s" s="79">
        <v>124</v>
      </c>
      <c r="AD74" t="s" s="82">
        <v>125</v>
      </c>
      <c r="AE74" s="67"/>
    </row>
    <row r="75" ht="15" customHeight="1">
      <c r="A75" t="s" s="87">
        <v>32</v>
      </c>
      <c r="B75" s="69">
        <v>26.1</v>
      </c>
      <c r="C75" t="b" s="70">
        <v>0</v>
      </c>
      <c r="D75" s="71"/>
      <c r="E75" t="s" s="72">
        <v>263</v>
      </c>
      <c r="F75" t="s" s="72">
        <v>144</v>
      </c>
      <c r="G75" s="73">
        <v>1</v>
      </c>
      <c r="H75" t="s" s="72">
        <v>175</v>
      </c>
      <c r="I75" t="s" s="72">
        <v>203</v>
      </c>
      <c r="J75" s="73">
        <v>19</v>
      </c>
      <c r="K75" t="s" s="72">
        <v>264</v>
      </c>
      <c r="L75" t="s" s="72">
        <v>121</v>
      </c>
      <c r="M75" s="71"/>
      <c r="N75" s="71"/>
      <c r="O75" s="71"/>
      <c r="P75" s="73">
        <v>0</v>
      </c>
      <c r="Q75" s="74">
        <v>0</v>
      </c>
      <c r="R75" s="74">
        <v>0</v>
      </c>
      <c r="S75" s="73">
        <v>0</v>
      </c>
      <c r="T75" s="73">
        <v>0</v>
      </c>
      <c r="U75" t="s" s="72">
        <v>122</v>
      </c>
      <c r="V75" s="71"/>
      <c r="W75" s="71"/>
      <c r="X75" s="71"/>
      <c r="Y75" s="71"/>
      <c r="Z75" s="71"/>
      <c r="AA75" s="71"/>
      <c r="AB75" t="s" s="72">
        <v>124</v>
      </c>
      <c r="AC75" t="s" s="72">
        <v>124</v>
      </c>
      <c r="AD75" t="s" s="75">
        <v>125</v>
      </c>
      <c r="AE75" s="67"/>
    </row>
    <row r="76" ht="15" customHeight="1">
      <c r="A76" t="s" s="87">
        <v>32</v>
      </c>
      <c r="B76" s="76">
        <v>24</v>
      </c>
      <c r="C76" t="b" s="77">
        <v>0</v>
      </c>
      <c r="D76" s="78"/>
      <c r="E76" t="s" s="79">
        <v>265</v>
      </c>
      <c r="F76" t="s" s="79">
        <v>163</v>
      </c>
      <c r="G76" s="80">
        <v>1</v>
      </c>
      <c r="H76" t="s" s="79">
        <v>175</v>
      </c>
      <c r="I76" t="s" s="79">
        <v>266</v>
      </c>
      <c r="J76" s="80">
        <v>26</v>
      </c>
      <c r="K76" t="s" s="79">
        <v>267</v>
      </c>
      <c r="L76" s="78"/>
      <c r="M76" s="78"/>
      <c r="N76" s="78"/>
      <c r="O76" t="s" s="88">
        <v>268</v>
      </c>
      <c r="P76" s="78"/>
      <c r="Q76" s="78"/>
      <c r="R76" s="78"/>
      <c r="S76" s="78"/>
      <c r="T76" s="78"/>
      <c r="U76" s="78"/>
      <c r="V76" s="80">
        <v>9</v>
      </c>
      <c r="W76" s="81">
        <v>5.83</v>
      </c>
      <c r="X76" s="81">
        <v>3.78</v>
      </c>
      <c r="Y76" s="80">
        <v>0</v>
      </c>
      <c r="Z76" s="80">
        <v>0</v>
      </c>
      <c r="AA76" t="s" s="79">
        <v>123</v>
      </c>
      <c r="AB76" t="s" s="79">
        <v>125</v>
      </c>
      <c r="AC76" s="78"/>
      <c r="AD76" t="s" s="82">
        <v>125</v>
      </c>
      <c r="AE76" s="67"/>
    </row>
    <row r="77" ht="15" customHeight="1">
      <c r="A77" t="s" s="68">
        <v>26</v>
      </c>
      <c r="B77" s="69">
        <v>92.8</v>
      </c>
      <c r="C77" t="b" s="70">
        <v>0</v>
      </c>
      <c r="D77" s="71"/>
      <c r="E77" t="s" s="72">
        <v>269</v>
      </c>
      <c r="F77" t="s" s="72">
        <v>134</v>
      </c>
      <c r="G77" s="73">
        <v>42</v>
      </c>
      <c r="H77" t="s" s="72">
        <v>270</v>
      </c>
      <c r="I77" t="s" s="72">
        <v>271</v>
      </c>
      <c r="J77" s="73">
        <v>28</v>
      </c>
      <c r="K77" t="s" s="72">
        <v>128</v>
      </c>
      <c r="L77" t="s" s="72">
        <v>154</v>
      </c>
      <c r="M77" s="71"/>
      <c r="N77" t="s" s="72">
        <v>272</v>
      </c>
      <c r="O77" s="71"/>
      <c r="P77" s="73">
        <v>2</v>
      </c>
      <c r="Q77" s="74">
        <v>6.25</v>
      </c>
      <c r="R77" s="74">
        <v>6.25</v>
      </c>
      <c r="S77" s="73">
        <v>0</v>
      </c>
      <c r="T77" s="73">
        <v>0</v>
      </c>
      <c r="U77" t="s" s="72">
        <v>122</v>
      </c>
      <c r="V77" s="73">
        <v>35</v>
      </c>
      <c r="W77" s="74">
        <v>6.64</v>
      </c>
      <c r="X77" s="74">
        <v>7.69</v>
      </c>
      <c r="Y77" s="73">
        <v>7</v>
      </c>
      <c r="Z77" s="73">
        <v>17</v>
      </c>
      <c r="AA77" t="s" s="72">
        <v>123</v>
      </c>
      <c r="AB77" t="s" s="72">
        <v>124</v>
      </c>
      <c r="AC77" t="s" s="72">
        <v>124</v>
      </c>
      <c r="AD77" t="s" s="75">
        <v>125</v>
      </c>
      <c r="AE77" s="67"/>
    </row>
    <row r="78" ht="15" customHeight="1">
      <c r="A78" t="s" s="68">
        <v>26</v>
      </c>
      <c r="B78" s="76">
        <v>92.8</v>
      </c>
      <c r="C78" t="b" s="77">
        <v>0</v>
      </c>
      <c r="D78" t="s" s="85">
        <v>161</v>
      </c>
      <c r="E78" t="s" s="79">
        <v>273</v>
      </c>
      <c r="F78" t="s" s="79">
        <v>117</v>
      </c>
      <c r="G78" s="80">
        <v>36</v>
      </c>
      <c r="H78" t="s" s="79">
        <v>118</v>
      </c>
      <c r="I78" t="s" s="79">
        <v>274</v>
      </c>
      <c r="J78" s="80">
        <v>30</v>
      </c>
      <c r="K78" t="s" s="79">
        <v>128</v>
      </c>
      <c r="L78" t="s" s="79">
        <v>121</v>
      </c>
      <c r="M78" s="78"/>
      <c r="N78" s="78"/>
      <c r="O78" s="78"/>
      <c r="P78" s="80">
        <v>2</v>
      </c>
      <c r="Q78" s="81">
        <v>6.5</v>
      </c>
      <c r="R78" s="81">
        <v>7</v>
      </c>
      <c r="S78" s="80">
        <v>0</v>
      </c>
      <c r="T78" s="80">
        <v>1</v>
      </c>
      <c r="U78" t="s" s="79">
        <v>122</v>
      </c>
      <c r="V78" s="80">
        <v>36</v>
      </c>
      <c r="W78" s="81">
        <v>6.31</v>
      </c>
      <c r="X78" s="81">
        <v>6.57</v>
      </c>
      <c r="Y78" s="80">
        <v>4</v>
      </c>
      <c r="Z78" s="80">
        <v>2</v>
      </c>
      <c r="AA78" t="s" s="79">
        <v>123</v>
      </c>
      <c r="AB78" t="s" s="79">
        <v>124</v>
      </c>
      <c r="AC78" t="s" s="79">
        <v>124</v>
      </c>
      <c r="AD78" t="s" s="82">
        <v>125</v>
      </c>
      <c r="AE78" s="67"/>
    </row>
    <row r="79" ht="15" customHeight="1">
      <c r="A79" t="s" s="68">
        <v>26</v>
      </c>
      <c r="B79" s="69">
        <v>91.09999999999999</v>
      </c>
      <c r="C79" t="b" s="70">
        <v>0</v>
      </c>
      <c r="D79" s="71"/>
      <c r="E79" t="s" s="72">
        <v>275</v>
      </c>
      <c r="F79" t="s" s="72">
        <v>138</v>
      </c>
      <c r="G79" s="73">
        <v>37</v>
      </c>
      <c r="H79" t="s" s="72">
        <v>118</v>
      </c>
      <c r="I79" t="s" s="72">
        <v>276</v>
      </c>
      <c r="J79" s="73">
        <v>29</v>
      </c>
      <c r="K79" t="s" s="72">
        <v>277</v>
      </c>
      <c r="L79" t="s" s="72">
        <v>121</v>
      </c>
      <c r="M79" s="71"/>
      <c r="N79" s="71"/>
      <c r="O79" s="71"/>
      <c r="P79" s="73">
        <v>2</v>
      </c>
      <c r="Q79" s="74">
        <v>6.75</v>
      </c>
      <c r="R79" s="74">
        <v>8.25</v>
      </c>
      <c r="S79" s="73">
        <v>1</v>
      </c>
      <c r="T79" s="73">
        <v>0</v>
      </c>
      <c r="U79" t="s" s="72">
        <v>122</v>
      </c>
      <c r="V79" s="73">
        <v>26</v>
      </c>
      <c r="W79" s="74">
        <v>6.29</v>
      </c>
      <c r="X79" s="74">
        <v>6.77</v>
      </c>
      <c r="Y79" s="73">
        <v>4</v>
      </c>
      <c r="Z79" s="73">
        <v>3</v>
      </c>
      <c r="AA79" t="s" s="72">
        <v>123</v>
      </c>
      <c r="AB79" t="s" s="72">
        <v>124</v>
      </c>
      <c r="AC79" t="s" s="72">
        <v>124</v>
      </c>
      <c r="AD79" t="s" s="75">
        <v>125</v>
      </c>
      <c r="AE79" s="67"/>
    </row>
    <row r="80" ht="15" customHeight="1">
      <c r="A80" t="s" s="68">
        <v>26</v>
      </c>
      <c r="B80" s="76">
        <v>91</v>
      </c>
      <c r="C80" t="b" s="77">
        <v>0</v>
      </c>
      <c r="D80" s="78"/>
      <c r="E80" t="s" s="79">
        <v>278</v>
      </c>
      <c r="F80" t="s" s="79">
        <v>117</v>
      </c>
      <c r="G80" s="80">
        <v>37</v>
      </c>
      <c r="H80" t="s" s="79">
        <v>118</v>
      </c>
      <c r="I80" t="s" s="79">
        <v>279</v>
      </c>
      <c r="J80" s="80">
        <v>22</v>
      </c>
      <c r="K80" t="s" s="79">
        <v>277</v>
      </c>
      <c r="L80" t="s" s="79">
        <v>121</v>
      </c>
      <c r="M80" s="78"/>
      <c r="N80" s="78"/>
      <c r="O80" s="78"/>
      <c r="P80" s="80">
        <v>2</v>
      </c>
      <c r="Q80" s="81">
        <v>6.75</v>
      </c>
      <c r="R80" s="81">
        <v>7.25</v>
      </c>
      <c r="S80" s="80">
        <v>0</v>
      </c>
      <c r="T80" s="80">
        <v>1</v>
      </c>
      <c r="U80" t="s" s="79">
        <v>122</v>
      </c>
      <c r="V80" s="80">
        <v>30</v>
      </c>
      <c r="W80" s="81">
        <v>6.17</v>
      </c>
      <c r="X80" s="81">
        <v>6.52</v>
      </c>
      <c r="Y80" s="80">
        <v>5</v>
      </c>
      <c r="Z80" s="80">
        <v>0</v>
      </c>
      <c r="AA80" t="s" s="79">
        <v>123</v>
      </c>
      <c r="AB80" t="s" s="79">
        <v>124</v>
      </c>
      <c r="AC80" t="s" s="79">
        <v>124</v>
      </c>
      <c r="AD80" t="s" s="82">
        <v>125</v>
      </c>
      <c r="AE80" s="67"/>
    </row>
    <row r="81" ht="15" customHeight="1">
      <c r="A81" t="s" s="68">
        <v>26</v>
      </c>
      <c r="B81" s="69">
        <v>89.5</v>
      </c>
      <c r="C81" t="b" s="70">
        <v>0</v>
      </c>
      <c r="D81" s="71"/>
      <c r="E81" t="s" s="72">
        <v>280</v>
      </c>
      <c r="F81" t="s" s="72">
        <v>134</v>
      </c>
      <c r="G81" s="73">
        <v>34</v>
      </c>
      <c r="H81" t="s" s="72">
        <v>118</v>
      </c>
      <c r="I81" t="s" s="72">
        <v>276</v>
      </c>
      <c r="J81" s="73">
        <v>27</v>
      </c>
      <c r="K81" t="s" s="72">
        <v>128</v>
      </c>
      <c r="L81" t="s" s="72">
        <v>154</v>
      </c>
      <c r="M81" s="71"/>
      <c r="N81" s="71"/>
      <c r="O81" s="71"/>
      <c r="P81" s="73">
        <v>2</v>
      </c>
      <c r="Q81" s="74">
        <v>6</v>
      </c>
      <c r="R81" s="74">
        <v>6</v>
      </c>
      <c r="S81" s="73">
        <v>0</v>
      </c>
      <c r="T81" s="73">
        <v>0</v>
      </c>
      <c r="U81" t="s" s="72">
        <v>122</v>
      </c>
      <c r="V81" s="73">
        <v>28</v>
      </c>
      <c r="W81" s="74">
        <v>6.16</v>
      </c>
      <c r="X81" s="74">
        <v>6.3</v>
      </c>
      <c r="Y81" s="73">
        <v>1</v>
      </c>
      <c r="Z81" s="73">
        <v>4</v>
      </c>
      <c r="AA81" t="s" s="72">
        <v>123</v>
      </c>
      <c r="AB81" t="s" s="72">
        <v>124</v>
      </c>
      <c r="AC81" t="s" s="72">
        <v>124</v>
      </c>
      <c r="AD81" t="s" s="75">
        <v>125</v>
      </c>
      <c r="AE81" s="67"/>
    </row>
    <row r="82" ht="15" customHeight="1">
      <c r="A82" t="s" s="68">
        <v>26</v>
      </c>
      <c r="B82" s="76">
        <v>89.2</v>
      </c>
      <c r="C82" t="b" s="77">
        <v>0</v>
      </c>
      <c r="D82" s="78"/>
      <c r="E82" t="s" s="79">
        <v>281</v>
      </c>
      <c r="F82" t="s" s="79">
        <v>127</v>
      </c>
      <c r="G82" s="80">
        <v>32</v>
      </c>
      <c r="H82" t="s" s="79">
        <v>118</v>
      </c>
      <c r="I82" t="s" s="79">
        <v>119</v>
      </c>
      <c r="J82" s="80">
        <v>34</v>
      </c>
      <c r="K82" t="s" s="79">
        <v>128</v>
      </c>
      <c r="L82" t="s" s="79">
        <v>121</v>
      </c>
      <c r="M82" s="78"/>
      <c r="N82" s="78"/>
      <c r="O82" s="78"/>
      <c r="P82" s="80">
        <v>2</v>
      </c>
      <c r="Q82" s="81">
        <v>6.25</v>
      </c>
      <c r="R82" s="81">
        <v>6.25</v>
      </c>
      <c r="S82" s="80">
        <v>0</v>
      </c>
      <c r="T82" s="80">
        <v>0</v>
      </c>
      <c r="U82" t="s" s="79">
        <v>122</v>
      </c>
      <c r="V82" s="80">
        <v>35</v>
      </c>
      <c r="W82" s="81">
        <v>6.03</v>
      </c>
      <c r="X82" s="81">
        <v>6.27</v>
      </c>
      <c r="Y82" s="80">
        <v>3</v>
      </c>
      <c r="Z82" s="80">
        <v>1</v>
      </c>
      <c r="AA82" t="s" s="79">
        <v>123</v>
      </c>
      <c r="AB82" t="s" s="79">
        <v>124</v>
      </c>
      <c r="AC82" t="s" s="79">
        <v>124</v>
      </c>
      <c r="AD82" t="s" s="82">
        <v>125</v>
      </c>
      <c r="AE82" s="67"/>
    </row>
    <row r="83" ht="15" customHeight="1">
      <c r="A83" t="s" s="68">
        <v>26</v>
      </c>
      <c r="B83" s="69">
        <v>88.59999999999999</v>
      </c>
      <c r="C83" t="b" s="70">
        <v>0</v>
      </c>
      <c r="D83" t="s" s="84">
        <v>161</v>
      </c>
      <c r="E83" t="s" s="72">
        <v>282</v>
      </c>
      <c r="F83" t="s" s="72">
        <v>117</v>
      </c>
      <c r="G83" s="73">
        <v>31</v>
      </c>
      <c r="H83" t="s" s="72">
        <v>283</v>
      </c>
      <c r="I83" t="s" s="72">
        <v>284</v>
      </c>
      <c r="J83" s="73">
        <v>27</v>
      </c>
      <c r="K83" t="s" s="72">
        <v>285</v>
      </c>
      <c r="L83" t="s" s="72">
        <v>154</v>
      </c>
      <c r="M83" s="71"/>
      <c r="N83" s="71"/>
      <c r="O83" s="71"/>
      <c r="P83" s="73">
        <v>1</v>
      </c>
      <c r="Q83" s="74">
        <v>6.5</v>
      </c>
      <c r="R83" s="74">
        <v>6.5</v>
      </c>
      <c r="S83" s="73">
        <v>0</v>
      </c>
      <c r="T83" s="73">
        <v>0</v>
      </c>
      <c r="U83" t="s" s="72">
        <v>122</v>
      </c>
      <c r="V83" s="73">
        <v>31</v>
      </c>
      <c r="W83" s="74">
        <v>6.15</v>
      </c>
      <c r="X83" s="74">
        <v>6.39</v>
      </c>
      <c r="Y83" s="73">
        <v>3</v>
      </c>
      <c r="Z83" s="73">
        <v>1</v>
      </c>
      <c r="AA83" t="s" s="72">
        <v>123</v>
      </c>
      <c r="AB83" t="s" s="72">
        <v>124</v>
      </c>
      <c r="AC83" t="s" s="72">
        <v>124</v>
      </c>
      <c r="AD83" t="s" s="75">
        <v>125</v>
      </c>
      <c r="AE83" s="67"/>
    </row>
    <row r="84" ht="15" customHeight="1">
      <c r="A84" t="s" s="68">
        <v>26</v>
      </c>
      <c r="B84" s="76">
        <v>88.5</v>
      </c>
      <c r="C84" t="b" s="77">
        <v>0</v>
      </c>
      <c r="D84" s="78"/>
      <c r="E84" t="s" s="79">
        <v>286</v>
      </c>
      <c r="F84" t="s" s="79">
        <v>138</v>
      </c>
      <c r="G84" s="80">
        <v>31</v>
      </c>
      <c r="H84" t="s" s="79">
        <v>118</v>
      </c>
      <c r="I84" t="s" s="79">
        <v>287</v>
      </c>
      <c r="J84" s="80">
        <v>26</v>
      </c>
      <c r="K84" t="s" s="79">
        <v>288</v>
      </c>
      <c r="L84" t="s" s="79">
        <v>121</v>
      </c>
      <c r="M84" s="78"/>
      <c r="N84" s="78"/>
      <c r="O84" s="78"/>
      <c r="P84" s="80">
        <v>2</v>
      </c>
      <c r="Q84" s="81">
        <v>6.5</v>
      </c>
      <c r="R84" s="81">
        <v>6.5</v>
      </c>
      <c r="S84" s="80">
        <v>0</v>
      </c>
      <c r="T84" s="80">
        <v>0</v>
      </c>
      <c r="U84" t="s" s="79">
        <v>122</v>
      </c>
      <c r="V84" s="80">
        <v>37</v>
      </c>
      <c r="W84" s="81">
        <v>6.2</v>
      </c>
      <c r="X84" s="81">
        <v>6.42</v>
      </c>
      <c r="Y84" s="80">
        <v>2</v>
      </c>
      <c r="Z84" s="80">
        <v>4</v>
      </c>
      <c r="AA84" t="s" s="79">
        <v>123</v>
      </c>
      <c r="AB84" t="s" s="79">
        <v>124</v>
      </c>
      <c r="AC84" t="s" s="79">
        <v>124</v>
      </c>
      <c r="AD84" t="s" s="82">
        <v>125</v>
      </c>
      <c r="AE84" s="67"/>
    </row>
    <row r="85" ht="15" customHeight="1">
      <c r="A85" t="s" s="68">
        <v>26</v>
      </c>
      <c r="B85" s="69">
        <v>88.40000000000001</v>
      </c>
      <c r="C85" t="b" s="70">
        <v>0</v>
      </c>
      <c r="D85" s="71"/>
      <c r="E85" t="s" s="72">
        <v>289</v>
      </c>
      <c r="F85" t="s" s="72">
        <v>159</v>
      </c>
      <c r="G85" s="73">
        <v>31</v>
      </c>
      <c r="H85" t="s" s="72">
        <v>118</v>
      </c>
      <c r="I85" t="s" s="72">
        <v>119</v>
      </c>
      <c r="J85" s="73">
        <v>26</v>
      </c>
      <c r="K85" t="s" s="72">
        <v>290</v>
      </c>
      <c r="L85" t="s" s="72">
        <v>121</v>
      </c>
      <c r="M85" s="71"/>
      <c r="N85" s="71"/>
      <c r="O85" s="71"/>
      <c r="P85" s="73">
        <v>2</v>
      </c>
      <c r="Q85" s="74">
        <v>6.25</v>
      </c>
      <c r="R85" s="74">
        <v>6.25</v>
      </c>
      <c r="S85" s="73">
        <v>0</v>
      </c>
      <c r="T85" s="73">
        <v>0</v>
      </c>
      <c r="U85" t="s" s="72">
        <v>122</v>
      </c>
      <c r="V85" s="73">
        <v>35</v>
      </c>
      <c r="W85" s="74">
        <v>6.26</v>
      </c>
      <c r="X85" s="74">
        <v>6.47</v>
      </c>
      <c r="Y85" s="73">
        <v>3</v>
      </c>
      <c r="Z85" s="73">
        <v>1</v>
      </c>
      <c r="AA85" t="s" s="72">
        <v>291</v>
      </c>
      <c r="AB85" t="s" s="72">
        <v>124</v>
      </c>
      <c r="AC85" t="s" s="72">
        <v>124</v>
      </c>
      <c r="AD85" t="s" s="75">
        <v>125</v>
      </c>
      <c r="AE85" s="67"/>
    </row>
    <row r="86" ht="15" customHeight="1">
      <c r="A86" t="s" s="68">
        <v>26</v>
      </c>
      <c r="B86" s="76">
        <v>88.2</v>
      </c>
      <c r="C86" t="b" s="77">
        <v>0</v>
      </c>
      <c r="D86" t="s" s="85">
        <v>161</v>
      </c>
      <c r="E86" t="s" s="79">
        <v>292</v>
      </c>
      <c r="F86" t="s" s="79">
        <v>130</v>
      </c>
      <c r="G86" s="80">
        <v>34</v>
      </c>
      <c r="H86" t="s" s="79">
        <v>118</v>
      </c>
      <c r="I86" t="s" s="79">
        <v>293</v>
      </c>
      <c r="J86" s="80">
        <v>25</v>
      </c>
      <c r="K86" t="s" s="79">
        <v>184</v>
      </c>
      <c r="L86" t="s" s="79">
        <v>154</v>
      </c>
      <c r="M86" s="78"/>
      <c r="N86" s="78"/>
      <c r="O86" s="78"/>
      <c r="P86" s="80">
        <v>2</v>
      </c>
      <c r="Q86" s="81">
        <v>6.5</v>
      </c>
      <c r="R86" s="81">
        <v>6.25</v>
      </c>
      <c r="S86" s="80">
        <v>0</v>
      </c>
      <c r="T86" s="80">
        <v>0</v>
      </c>
      <c r="U86" t="s" s="79">
        <v>122</v>
      </c>
      <c r="V86" s="80">
        <v>34</v>
      </c>
      <c r="W86" s="81">
        <v>6.28</v>
      </c>
      <c r="X86" s="81">
        <v>6.66</v>
      </c>
      <c r="Y86" s="80">
        <v>5</v>
      </c>
      <c r="Z86" s="80">
        <v>0</v>
      </c>
      <c r="AA86" t="s" s="79">
        <v>123</v>
      </c>
      <c r="AB86" t="s" s="79">
        <v>124</v>
      </c>
      <c r="AC86" t="s" s="79">
        <v>124</v>
      </c>
      <c r="AD86" t="s" s="82">
        <v>125</v>
      </c>
      <c r="AE86" s="67"/>
    </row>
    <row r="87" ht="15" customHeight="1">
      <c r="A87" t="s" s="68">
        <v>26</v>
      </c>
      <c r="B87" s="69">
        <v>87.3</v>
      </c>
      <c r="C87" t="b" s="70">
        <v>0</v>
      </c>
      <c r="D87" s="71"/>
      <c r="E87" t="s" s="72">
        <v>294</v>
      </c>
      <c r="F87" t="s" s="72">
        <v>153</v>
      </c>
      <c r="G87" s="73">
        <v>31</v>
      </c>
      <c r="H87" t="s" s="72">
        <v>118</v>
      </c>
      <c r="I87" t="s" s="72">
        <v>135</v>
      </c>
      <c r="J87" s="73">
        <v>33</v>
      </c>
      <c r="K87" t="s" s="72">
        <v>128</v>
      </c>
      <c r="L87" t="s" s="72">
        <v>121</v>
      </c>
      <c r="M87" s="71"/>
      <c r="N87" s="71"/>
      <c r="O87" s="71"/>
      <c r="P87" s="73">
        <v>2</v>
      </c>
      <c r="Q87" s="74">
        <v>6</v>
      </c>
      <c r="R87" s="74">
        <v>5.75</v>
      </c>
      <c r="S87" s="73">
        <v>0</v>
      </c>
      <c r="T87" s="73">
        <v>0</v>
      </c>
      <c r="U87" t="s" s="72">
        <v>122</v>
      </c>
      <c r="V87" s="73">
        <v>26</v>
      </c>
      <c r="W87" s="74">
        <v>6.02</v>
      </c>
      <c r="X87" s="74">
        <v>6.27</v>
      </c>
      <c r="Y87" s="73">
        <v>2</v>
      </c>
      <c r="Z87" s="73">
        <v>1</v>
      </c>
      <c r="AA87" t="s" s="72">
        <v>123</v>
      </c>
      <c r="AB87" t="s" s="72">
        <v>124</v>
      </c>
      <c r="AC87" t="s" s="72">
        <v>124</v>
      </c>
      <c r="AD87" t="s" s="75">
        <v>125</v>
      </c>
      <c r="AE87" s="67"/>
    </row>
    <row r="88" ht="15" customHeight="1">
      <c r="A88" t="s" s="68">
        <v>26</v>
      </c>
      <c r="B88" s="76">
        <v>86.90000000000001</v>
      </c>
      <c r="C88" t="b" s="77">
        <v>0</v>
      </c>
      <c r="D88" s="78"/>
      <c r="E88" t="s" s="79">
        <v>295</v>
      </c>
      <c r="F88" t="s" s="79">
        <v>134</v>
      </c>
      <c r="G88" s="80">
        <v>30</v>
      </c>
      <c r="H88" t="s" s="79">
        <v>296</v>
      </c>
      <c r="I88" t="s" s="79">
        <v>297</v>
      </c>
      <c r="J88" s="80">
        <v>31</v>
      </c>
      <c r="K88" t="s" s="79">
        <v>298</v>
      </c>
      <c r="L88" t="s" s="79">
        <v>121</v>
      </c>
      <c r="M88" s="78"/>
      <c r="N88" s="78"/>
      <c r="O88" s="78"/>
      <c r="P88" s="80">
        <v>2</v>
      </c>
      <c r="Q88" s="81">
        <v>5.5</v>
      </c>
      <c r="R88" s="81">
        <v>5.25</v>
      </c>
      <c r="S88" s="80">
        <v>0</v>
      </c>
      <c r="T88" s="80">
        <v>0</v>
      </c>
      <c r="U88" t="s" s="79">
        <v>122</v>
      </c>
      <c r="V88" s="80">
        <v>32</v>
      </c>
      <c r="W88" s="81">
        <v>6.27</v>
      </c>
      <c r="X88" s="81">
        <v>6.39</v>
      </c>
      <c r="Y88" s="80">
        <v>2</v>
      </c>
      <c r="Z88" s="80">
        <v>0</v>
      </c>
      <c r="AA88" t="s" s="79">
        <v>123</v>
      </c>
      <c r="AB88" t="s" s="79">
        <v>124</v>
      </c>
      <c r="AC88" t="s" s="79">
        <v>124</v>
      </c>
      <c r="AD88" t="s" s="82">
        <v>125</v>
      </c>
      <c r="AE88" s="67"/>
    </row>
    <row r="89" ht="15" customHeight="1">
      <c r="A89" t="s" s="68">
        <v>26</v>
      </c>
      <c r="B89" s="69">
        <v>85.09999999999999</v>
      </c>
      <c r="C89" t="b" s="70">
        <v>0</v>
      </c>
      <c r="D89" t="s" s="84">
        <v>161</v>
      </c>
      <c r="E89" t="s" s="72">
        <v>299</v>
      </c>
      <c r="F89" t="s" s="72">
        <v>117</v>
      </c>
      <c r="G89" s="73">
        <v>25</v>
      </c>
      <c r="H89" t="s" s="72">
        <v>118</v>
      </c>
      <c r="I89" t="s" s="72">
        <v>300</v>
      </c>
      <c r="J89" s="73">
        <v>31</v>
      </c>
      <c r="K89" t="s" s="72">
        <v>136</v>
      </c>
      <c r="L89" t="s" s="72">
        <v>154</v>
      </c>
      <c r="M89" s="71"/>
      <c r="N89" s="71"/>
      <c r="O89" s="71"/>
      <c r="P89" s="73">
        <v>2</v>
      </c>
      <c r="Q89" s="74">
        <v>6.5</v>
      </c>
      <c r="R89" s="74">
        <v>6.25</v>
      </c>
      <c r="S89" s="73">
        <v>0</v>
      </c>
      <c r="T89" s="73">
        <v>0</v>
      </c>
      <c r="U89" t="s" s="72">
        <v>122</v>
      </c>
      <c r="V89" s="73">
        <v>27</v>
      </c>
      <c r="W89" s="74">
        <v>6.17</v>
      </c>
      <c r="X89" s="74">
        <v>6.41</v>
      </c>
      <c r="Y89" s="73">
        <v>3</v>
      </c>
      <c r="Z89" s="73">
        <v>2</v>
      </c>
      <c r="AA89" t="s" s="72">
        <v>123</v>
      </c>
      <c r="AB89" t="s" s="72">
        <v>124</v>
      </c>
      <c r="AC89" t="s" s="72">
        <v>124</v>
      </c>
      <c r="AD89" t="s" s="75">
        <v>125</v>
      </c>
      <c r="AE89" s="67"/>
    </row>
    <row r="90" ht="15" customHeight="1">
      <c r="A90" t="s" s="68">
        <v>26</v>
      </c>
      <c r="B90" s="76">
        <v>81.8</v>
      </c>
      <c r="C90" t="b" s="77">
        <v>0</v>
      </c>
      <c r="D90" s="78"/>
      <c r="E90" t="s" s="79">
        <v>301</v>
      </c>
      <c r="F90" t="s" s="79">
        <v>134</v>
      </c>
      <c r="G90" s="80">
        <v>30</v>
      </c>
      <c r="H90" t="s" s="79">
        <v>302</v>
      </c>
      <c r="I90" t="s" s="79">
        <v>303</v>
      </c>
      <c r="J90" s="80">
        <v>32</v>
      </c>
      <c r="K90" t="s" s="79">
        <v>304</v>
      </c>
      <c r="L90" t="s" s="79">
        <v>121</v>
      </c>
      <c r="M90" s="78"/>
      <c r="N90" s="78"/>
      <c r="O90" s="78"/>
      <c r="P90" s="80">
        <v>2</v>
      </c>
      <c r="Q90" s="81">
        <v>6</v>
      </c>
      <c r="R90" s="81">
        <v>6</v>
      </c>
      <c r="S90" s="80">
        <v>0</v>
      </c>
      <c r="T90" s="80">
        <v>0</v>
      </c>
      <c r="U90" t="s" s="79">
        <v>122</v>
      </c>
      <c r="V90" s="78"/>
      <c r="W90" s="78"/>
      <c r="X90" s="78"/>
      <c r="Y90" s="78"/>
      <c r="Z90" s="78"/>
      <c r="AA90" s="78"/>
      <c r="AB90" t="s" s="79">
        <v>124</v>
      </c>
      <c r="AC90" t="s" s="79">
        <v>124</v>
      </c>
      <c r="AD90" t="s" s="82">
        <v>125</v>
      </c>
      <c r="AE90" s="67"/>
    </row>
    <row r="91" ht="15" customHeight="1">
      <c r="A91" t="s" s="68">
        <v>26</v>
      </c>
      <c r="B91" s="69">
        <v>81.5</v>
      </c>
      <c r="C91" t="b" s="70">
        <v>0</v>
      </c>
      <c r="D91" s="71"/>
      <c r="E91" t="s" s="72">
        <v>305</v>
      </c>
      <c r="F91" t="s" s="72">
        <v>153</v>
      </c>
      <c r="G91" s="73">
        <v>27</v>
      </c>
      <c r="H91" t="s" s="72">
        <v>118</v>
      </c>
      <c r="I91" t="s" s="72">
        <v>306</v>
      </c>
      <c r="J91" s="73">
        <v>33</v>
      </c>
      <c r="K91" t="s" s="72">
        <v>128</v>
      </c>
      <c r="L91" t="s" s="72">
        <v>121</v>
      </c>
      <c r="M91" s="71"/>
      <c r="N91" s="71"/>
      <c r="O91" s="71"/>
      <c r="P91" s="73">
        <v>2</v>
      </c>
      <c r="Q91" s="74">
        <v>5.75</v>
      </c>
      <c r="R91" s="74">
        <v>5.75</v>
      </c>
      <c r="S91" s="73">
        <v>0</v>
      </c>
      <c r="T91" s="73">
        <v>0</v>
      </c>
      <c r="U91" t="s" s="72">
        <v>122</v>
      </c>
      <c r="V91" s="73">
        <v>30</v>
      </c>
      <c r="W91" s="74">
        <v>6.1</v>
      </c>
      <c r="X91" s="74">
        <v>6.48</v>
      </c>
      <c r="Y91" s="73">
        <v>3</v>
      </c>
      <c r="Z91" s="73">
        <v>3</v>
      </c>
      <c r="AA91" t="s" s="72">
        <v>123</v>
      </c>
      <c r="AB91" t="s" s="72">
        <v>124</v>
      </c>
      <c r="AC91" t="s" s="72">
        <v>124</v>
      </c>
      <c r="AD91" t="s" s="75">
        <v>125</v>
      </c>
      <c r="AE91" s="67"/>
    </row>
    <row r="92" ht="15" customHeight="1">
      <c r="A92" t="s" s="68">
        <v>26</v>
      </c>
      <c r="B92" s="76">
        <v>80.7</v>
      </c>
      <c r="C92" t="b" s="77">
        <v>0</v>
      </c>
      <c r="D92" s="78"/>
      <c r="E92" t="s" s="79">
        <v>307</v>
      </c>
      <c r="F92" t="s" s="79">
        <v>127</v>
      </c>
      <c r="G92" s="80">
        <v>27</v>
      </c>
      <c r="H92" t="s" s="79">
        <v>118</v>
      </c>
      <c r="I92" t="s" s="79">
        <v>308</v>
      </c>
      <c r="J92" s="80">
        <v>22</v>
      </c>
      <c r="K92" t="s" s="79">
        <v>128</v>
      </c>
      <c r="L92" t="s" s="79">
        <v>121</v>
      </c>
      <c r="M92" s="78"/>
      <c r="N92" s="78"/>
      <c r="O92" s="78"/>
      <c r="P92" s="80">
        <v>2</v>
      </c>
      <c r="Q92" s="81">
        <v>6</v>
      </c>
      <c r="R92" s="81">
        <v>6</v>
      </c>
      <c r="S92" s="80">
        <v>0</v>
      </c>
      <c r="T92" s="80">
        <v>0</v>
      </c>
      <c r="U92" t="s" s="79">
        <v>122</v>
      </c>
      <c r="V92" s="80">
        <v>24</v>
      </c>
      <c r="W92" s="81">
        <v>6.04</v>
      </c>
      <c r="X92" s="81">
        <v>6.42</v>
      </c>
      <c r="Y92" s="80">
        <v>3</v>
      </c>
      <c r="Z92" s="80">
        <v>1</v>
      </c>
      <c r="AA92" t="s" s="79">
        <v>123</v>
      </c>
      <c r="AB92" t="s" s="79">
        <v>124</v>
      </c>
      <c r="AC92" t="s" s="79">
        <v>124</v>
      </c>
      <c r="AD92" t="s" s="82">
        <v>125</v>
      </c>
      <c r="AE92" s="67"/>
    </row>
    <row r="93" ht="15" customHeight="1">
      <c r="A93" t="s" s="68">
        <v>26</v>
      </c>
      <c r="B93" s="69">
        <v>80.2</v>
      </c>
      <c r="C93" t="b" s="70">
        <v>0</v>
      </c>
      <c r="D93" s="71"/>
      <c r="E93" t="s" s="72">
        <v>309</v>
      </c>
      <c r="F93" t="s" s="72">
        <v>138</v>
      </c>
      <c r="G93" s="73">
        <v>27</v>
      </c>
      <c r="H93" t="s" s="72">
        <v>164</v>
      </c>
      <c r="I93" t="s" s="72">
        <v>310</v>
      </c>
      <c r="J93" s="73">
        <v>26</v>
      </c>
      <c r="K93" t="s" s="72">
        <v>128</v>
      </c>
      <c r="L93" t="s" s="72">
        <v>154</v>
      </c>
      <c r="M93" s="71"/>
      <c r="N93" t="s" s="72">
        <v>311</v>
      </c>
      <c r="O93" t="s" s="88">
        <v>268</v>
      </c>
      <c r="P93" s="73">
        <v>1</v>
      </c>
      <c r="Q93" s="74">
        <v>5.5</v>
      </c>
      <c r="R93" s="74">
        <v>5</v>
      </c>
      <c r="S93" s="73">
        <v>0</v>
      </c>
      <c r="T93" s="73">
        <v>0</v>
      </c>
      <c r="U93" t="s" s="72">
        <v>122</v>
      </c>
      <c r="V93" s="73">
        <v>36</v>
      </c>
      <c r="W93" s="74">
        <v>5.79</v>
      </c>
      <c r="X93" s="74">
        <v>5.97</v>
      </c>
      <c r="Y93" s="73">
        <v>3</v>
      </c>
      <c r="Z93" s="73">
        <v>4</v>
      </c>
      <c r="AA93" t="s" s="72">
        <v>123</v>
      </c>
      <c r="AB93" t="s" s="72">
        <v>124</v>
      </c>
      <c r="AC93" t="s" s="72">
        <v>124</v>
      </c>
      <c r="AD93" t="s" s="75">
        <v>125</v>
      </c>
      <c r="AE93" s="67"/>
    </row>
    <row r="94" ht="15" customHeight="1">
      <c r="A94" t="s" s="68">
        <v>26</v>
      </c>
      <c r="B94" s="76">
        <v>79.8</v>
      </c>
      <c r="C94" t="b" s="77">
        <v>0</v>
      </c>
      <c r="D94" s="78"/>
      <c r="E94" t="s" s="79">
        <v>312</v>
      </c>
      <c r="F94" t="s" s="79">
        <v>156</v>
      </c>
      <c r="G94" s="80">
        <v>22</v>
      </c>
      <c r="H94" t="s" s="79">
        <v>118</v>
      </c>
      <c r="I94" t="s" s="79">
        <v>287</v>
      </c>
      <c r="J94" s="80">
        <v>26</v>
      </c>
      <c r="K94" t="s" s="79">
        <v>313</v>
      </c>
      <c r="L94" t="s" s="79">
        <v>121</v>
      </c>
      <c r="M94" s="78"/>
      <c r="N94" s="78"/>
      <c r="O94" s="78"/>
      <c r="P94" s="80">
        <v>3</v>
      </c>
      <c r="Q94" s="81">
        <v>5.67</v>
      </c>
      <c r="R94" s="81">
        <v>5.17</v>
      </c>
      <c r="S94" s="80">
        <v>0</v>
      </c>
      <c r="T94" s="80">
        <v>0</v>
      </c>
      <c r="U94" t="s" s="79">
        <v>122</v>
      </c>
      <c r="V94" s="80">
        <v>30</v>
      </c>
      <c r="W94" s="81">
        <v>6.13</v>
      </c>
      <c r="X94" s="81">
        <v>6.52</v>
      </c>
      <c r="Y94" s="80">
        <v>5</v>
      </c>
      <c r="Z94" s="80">
        <v>0</v>
      </c>
      <c r="AA94" t="s" s="79">
        <v>123</v>
      </c>
      <c r="AB94" t="s" s="79">
        <v>124</v>
      </c>
      <c r="AC94" t="s" s="79">
        <v>124</v>
      </c>
      <c r="AD94" t="s" s="82">
        <v>125</v>
      </c>
      <c r="AE94" s="67"/>
    </row>
    <row r="95" ht="15" customHeight="1">
      <c r="A95" t="s" s="68">
        <v>26</v>
      </c>
      <c r="B95" s="69">
        <v>79.8</v>
      </c>
      <c r="C95" t="b" s="70">
        <v>0</v>
      </c>
      <c r="D95" s="71"/>
      <c r="E95" t="s" s="72">
        <v>314</v>
      </c>
      <c r="F95" t="s" s="72">
        <v>117</v>
      </c>
      <c r="G95" s="73">
        <v>29</v>
      </c>
      <c r="H95" t="s" s="72">
        <v>164</v>
      </c>
      <c r="I95" t="s" s="72">
        <v>315</v>
      </c>
      <c r="J95" s="73">
        <v>28</v>
      </c>
      <c r="K95" t="s" s="72">
        <v>316</v>
      </c>
      <c r="L95" t="s" s="72">
        <v>121</v>
      </c>
      <c r="M95" s="71"/>
      <c r="N95" s="71"/>
      <c r="O95" s="71"/>
      <c r="P95" s="73">
        <v>1</v>
      </c>
      <c r="Q95" s="74">
        <v>6</v>
      </c>
      <c r="R95" s="74">
        <v>6</v>
      </c>
      <c r="S95" s="73">
        <v>0</v>
      </c>
      <c r="T95" s="73">
        <v>0</v>
      </c>
      <c r="U95" t="s" s="72">
        <v>122</v>
      </c>
      <c r="V95" s="71"/>
      <c r="W95" s="71"/>
      <c r="X95" s="71"/>
      <c r="Y95" s="71"/>
      <c r="Z95" s="71"/>
      <c r="AA95" s="71"/>
      <c r="AB95" t="s" s="72">
        <v>124</v>
      </c>
      <c r="AC95" t="s" s="72">
        <v>124</v>
      </c>
      <c r="AD95" t="s" s="75">
        <v>125</v>
      </c>
      <c r="AE95" s="67"/>
    </row>
    <row r="96" ht="15" customHeight="1">
      <c r="A96" t="s" s="68">
        <v>26</v>
      </c>
      <c r="B96" s="76">
        <v>79.2</v>
      </c>
      <c r="C96" t="b" s="77">
        <v>0</v>
      </c>
      <c r="D96" s="78"/>
      <c r="E96" t="s" s="79">
        <v>317</v>
      </c>
      <c r="F96" t="s" s="79">
        <v>130</v>
      </c>
      <c r="G96" s="80">
        <v>23</v>
      </c>
      <c r="H96" t="s" s="79">
        <v>118</v>
      </c>
      <c r="I96" t="s" s="79">
        <v>119</v>
      </c>
      <c r="J96" s="80">
        <v>26</v>
      </c>
      <c r="K96" t="s" s="79">
        <v>136</v>
      </c>
      <c r="L96" t="s" s="79">
        <v>121</v>
      </c>
      <c r="M96" s="78"/>
      <c r="N96" s="78"/>
      <c r="O96" s="78"/>
      <c r="P96" s="80">
        <v>2</v>
      </c>
      <c r="Q96" s="81">
        <v>6.5</v>
      </c>
      <c r="R96" s="81">
        <v>6.5</v>
      </c>
      <c r="S96" s="80">
        <v>0</v>
      </c>
      <c r="T96" s="80">
        <v>0</v>
      </c>
      <c r="U96" t="s" s="79">
        <v>122</v>
      </c>
      <c r="V96" s="80">
        <v>31</v>
      </c>
      <c r="W96" s="81">
        <v>5.95</v>
      </c>
      <c r="X96" s="81">
        <v>5.87</v>
      </c>
      <c r="Y96" s="80">
        <v>0</v>
      </c>
      <c r="Z96" s="80">
        <v>0</v>
      </c>
      <c r="AA96" t="s" s="79">
        <v>123</v>
      </c>
      <c r="AB96" t="s" s="79">
        <v>124</v>
      </c>
      <c r="AC96" t="s" s="79">
        <v>124</v>
      </c>
      <c r="AD96" t="s" s="82">
        <v>125</v>
      </c>
      <c r="AE96" s="67"/>
    </row>
    <row r="97" ht="15" customHeight="1">
      <c r="A97" t="s" s="83">
        <v>28</v>
      </c>
      <c r="B97" s="69">
        <v>78.7</v>
      </c>
      <c r="C97" t="b" s="70">
        <v>0</v>
      </c>
      <c r="D97" t="s" s="84">
        <v>161</v>
      </c>
      <c r="E97" t="s" s="72">
        <v>318</v>
      </c>
      <c r="F97" t="s" s="72">
        <v>141</v>
      </c>
      <c r="G97" s="73">
        <v>25</v>
      </c>
      <c r="H97" t="s" s="72">
        <v>118</v>
      </c>
      <c r="I97" t="s" s="72">
        <v>319</v>
      </c>
      <c r="J97" s="73">
        <v>21</v>
      </c>
      <c r="K97" t="s" s="72">
        <v>136</v>
      </c>
      <c r="L97" t="s" s="72">
        <v>121</v>
      </c>
      <c r="M97" s="71"/>
      <c r="N97" s="71"/>
      <c r="O97" s="71"/>
      <c r="P97" s="73">
        <v>3</v>
      </c>
      <c r="Q97" s="74">
        <v>6</v>
      </c>
      <c r="R97" s="74">
        <v>6</v>
      </c>
      <c r="S97" s="73">
        <v>0</v>
      </c>
      <c r="T97" s="73">
        <v>0</v>
      </c>
      <c r="U97" t="s" s="72">
        <v>122</v>
      </c>
      <c r="V97" s="73">
        <v>32</v>
      </c>
      <c r="W97" s="74">
        <v>6.16</v>
      </c>
      <c r="X97" s="74">
        <v>6.14</v>
      </c>
      <c r="Y97" s="73">
        <v>2</v>
      </c>
      <c r="Z97" s="73">
        <v>0</v>
      </c>
      <c r="AA97" t="s" s="72">
        <v>123</v>
      </c>
      <c r="AB97" t="s" s="72">
        <v>124</v>
      </c>
      <c r="AC97" t="s" s="72">
        <v>124</v>
      </c>
      <c r="AD97" t="s" s="75">
        <v>125</v>
      </c>
      <c r="AE97" s="67"/>
    </row>
    <row r="98" ht="15" customHeight="1">
      <c r="A98" t="s" s="83">
        <v>28</v>
      </c>
      <c r="B98" s="76">
        <v>78.5</v>
      </c>
      <c r="C98" t="b" s="77">
        <v>0</v>
      </c>
      <c r="D98" t="s" s="85">
        <v>161</v>
      </c>
      <c r="E98" t="s" s="79">
        <v>320</v>
      </c>
      <c r="F98" t="s" s="79">
        <v>163</v>
      </c>
      <c r="G98" s="80">
        <v>23</v>
      </c>
      <c r="H98" t="s" s="79">
        <v>118</v>
      </c>
      <c r="I98" t="s" s="79">
        <v>321</v>
      </c>
      <c r="J98" s="80">
        <v>21</v>
      </c>
      <c r="K98" t="s" s="79">
        <v>128</v>
      </c>
      <c r="L98" t="s" s="79">
        <v>121</v>
      </c>
      <c r="M98" s="78"/>
      <c r="N98" s="78"/>
      <c r="O98" s="78"/>
      <c r="P98" s="80">
        <v>2</v>
      </c>
      <c r="Q98" s="81">
        <v>6.25</v>
      </c>
      <c r="R98" s="81">
        <v>7.75</v>
      </c>
      <c r="S98" s="80">
        <v>1</v>
      </c>
      <c r="T98" s="80">
        <v>0</v>
      </c>
      <c r="U98" t="s" s="79">
        <v>122</v>
      </c>
      <c r="V98" s="80">
        <v>24</v>
      </c>
      <c r="W98" s="81">
        <v>5.73</v>
      </c>
      <c r="X98" s="81">
        <v>5.73</v>
      </c>
      <c r="Y98" s="80">
        <v>1</v>
      </c>
      <c r="Z98" s="80">
        <v>0</v>
      </c>
      <c r="AA98" t="s" s="79">
        <v>123</v>
      </c>
      <c r="AB98" t="s" s="79">
        <v>124</v>
      </c>
      <c r="AC98" t="s" s="79">
        <v>124</v>
      </c>
      <c r="AD98" t="s" s="82">
        <v>125</v>
      </c>
      <c r="AE98" s="67"/>
    </row>
    <row r="99" ht="15" customHeight="1">
      <c r="A99" t="s" s="83">
        <v>28</v>
      </c>
      <c r="B99" s="69">
        <v>78.5</v>
      </c>
      <c r="C99" t="b" s="70">
        <v>0</v>
      </c>
      <c r="D99" t="s" s="84">
        <v>161</v>
      </c>
      <c r="E99" t="s" s="72">
        <v>322</v>
      </c>
      <c r="F99" t="s" s="72">
        <v>168</v>
      </c>
      <c r="G99" s="73">
        <v>21</v>
      </c>
      <c r="H99" t="s" s="72">
        <v>323</v>
      </c>
      <c r="I99" t="s" s="72">
        <v>324</v>
      </c>
      <c r="J99" s="73">
        <v>21</v>
      </c>
      <c r="K99" t="s" s="72">
        <v>325</v>
      </c>
      <c r="L99" t="s" s="72">
        <v>121</v>
      </c>
      <c r="M99" s="71"/>
      <c r="N99" s="71"/>
      <c r="O99" s="71"/>
      <c r="P99" s="73">
        <v>2</v>
      </c>
      <c r="Q99" s="74">
        <v>6</v>
      </c>
      <c r="R99" s="74">
        <v>7.5</v>
      </c>
      <c r="S99" s="73">
        <v>1</v>
      </c>
      <c r="T99" s="73">
        <v>0</v>
      </c>
      <c r="U99" t="s" s="72">
        <v>122</v>
      </c>
      <c r="V99" s="73">
        <v>36</v>
      </c>
      <c r="W99" s="74">
        <v>6.03</v>
      </c>
      <c r="X99" s="74">
        <v>6.04</v>
      </c>
      <c r="Y99" s="73">
        <v>2</v>
      </c>
      <c r="Z99" s="73">
        <v>0</v>
      </c>
      <c r="AA99" t="s" s="72">
        <v>123</v>
      </c>
      <c r="AB99" t="s" s="72">
        <v>124</v>
      </c>
      <c r="AC99" t="s" s="72">
        <v>124</v>
      </c>
      <c r="AD99" t="s" s="75">
        <v>125</v>
      </c>
      <c r="AE99" s="67"/>
    </row>
    <row r="100" ht="15" customHeight="1">
      <c r="A100" t="s" s="83">
        <v>28</v>
      </c>
      <c r="B100" s="76">
        <v>77.90000000000001</v>
      </c>
      <c r="C100" t="b" s="77">
        <v>0</v>
      </c>
      <c r="D100" s="78"/>
      <c r="E100" t="s" s="79">
        <v>326</v>
      </c>
      <c r="F100" t="s" s="79">
        <v>153</v>
      </c>
      <c r="G100" s="80">
        <v>25</v>
      </c>
      <c r="H100" t="s" s="79">
        <v>118</v>
      </c>
      <c r="I100" t="s" s="79">
        <v>118</v>
      </c>
      <c r="J100" s="80">
        <v>32</v>
      </c>
      <c r="K100" t="s" s="79">
        <v>327</v>
      </c>
      <c r="L100" t="s" s="79">
        <v>328</v>
      </c>
      <c r="M100" s="78"/>
      <c r="N100" s="78"/>
      <c r="O100" s="78"/>
      <c r="P100" s="80">
        <v>2</v>
      </c>
      <c r="Q100" s="81">
        <v>6</v>
      </c>
      <c r="R100" s="81">
        <v>6.5</v>
      </c>
      <c r="S100" s="80">
        <v>0</v>
      </c>
      <c r="T100" s="80">
        <v>1</v>
      </c>
      <c r="U100" t="s" s="79">
        <v>122</v>
      </c>
      <c r="V100" s="80">
        <v>21</v>
      </c>
      <c r="W100" s="81">
        <v>6.26</v>
      </c>
      <c r="X100" s="81">
        <v>6.48</v>
      </c>
      <c r="Y100" s="80">
        <v>2</v>
      </c>
      <c r="Z100" s="80">
        <v>0</v>
      </c>
      <c r="AA100" t="s" s="79">
        <v>123</v>
      </c>
      <c r="AB100" t="s" s="79">
        <v>124</v>
      </c>
      <c r="AC100" t="s" s="79">
        <v>124</v>
      </c>
      <c r="AD100" t="s" s="82">
        <v>125</v>
      </c>
      <c r="AE100" s="67"/>
    </row>
    <row r="101" ht="15" customHeight="1">
      <c r="A101" t="s" s="83">
        <v>28</v>
      </c>
      <c r="B101" s="69">
        <v>77.5</v>
      </c>
      <c r="C101" t="b" s="70">
        <v>0</v>
      </c>
      <c r="D101" t="s" s="84">
        <v>161</v>
      </c>
      <c r="E101" t="s" s="72">
        <v>329</v>
      </c>
      <c r="F101" t="s" s="72">
        <v>144</v>
      </c>
      <c r="G101" s="73">
        <v>23</v>
      </c>
      <c r="H101" t="s" s="72">
        <v>164</v>
      </c>
      <c r="I101" t="s" s="72">
        <v>330</v>
      </c>
      <c r="J101" s="73">
        <v>26</v>
      </c>
      <c r="K101" t="s" s="72">
        <v>136</v>
      </c>
      <c r="L101" t="s" s="72">
        <v>154</v>
      </c>
      <c r="M101" s="71"/>
      <c r="N101" t="s" s="72">
        <v>311</v>
      </c>
      <c r="O101" s="71"/>
      <c r="P101" s="73">
        <v>1</v>
      </c>
      <c r="Q101" s="74">
        <v>6</v>
      </c>
      <c r="R101" s="74">
        <v>6</v>
      </c>
      <c r="S101" s="73">
        <v>0</v>
      </c>
      <c r="T101" s="73">
        <v>0</v>
      </c>
      <c r="U101" t="s" s="72">
        <v>122</v>
      </c>
      <c r="V101" s="73">
        <v>31</v>
      </c>
      <c r="W101" s="74">
        <v>5.94</v>
      </c>
      <c r="X101" s="74">
        <v>6.03</v>
      </c>
      <c r="Y101" s="73">
        <v>1</v>
      </c>
      <c r="Z101" s="73">
        <v>3</v>
      </c>
      <c r="AA101" t="s" s="72">
        <v>123</v>
      </c>
      <c r="AB101" t="s" s="72">
        <v>124</v>
      </c>
      <c r="AC101" t="s" s="72">
        <v>124</v>
      </c>
      <c r="AD101" t="s" s="75">
        <v>125</v>
      </c>
      <c r="AE101" s="67"/>
    </row>
    <row r="102" ht="15" customHeight="1">
      <c r="A102" t="s" s="83">
        <v>28</v>
      </c>
      <c r="B102" s="76">
        <v>76.7</v>
      </c>
      <c r="C102" t="b" s="77">
        <v>0</v>
      </c>
      <c r="D102" s="78"/>
      <c r="E102" t="s" s="79">
        <v>331</v>
      </c>
      <c r="F102" t="s" s="79">
        <v>193</v>
      </c>
      <c r="G102" s="80">
        <v>20</v>
      </c>
      <c r="H102" t="s" s="79">
        <v>118</v>
      </c>
      <c r="I102" t="s" s="79">
        <v>332</v>
      </c>
      <c r="J102" s="80">
        <v>27</v>
      </c>
      <c r="K102" t="s" s="79">
        <v>128</v>
      </c>
      <c r="L102" t="s" s="79">
        <v>154</v>
      </c>
      <c r="M102" s="78"/>
      <c r="N102" t="s" s="79">
        <v>272</v>
      </c>
      <c r="O102" s="78"/>
      <c r="P102" s="80">
        <v>2</v>
      </c>
      <c r="Q102" s="81">
        <v>5.75</v>
      </c>
      <c r="R102" s="81">
        <v>5.75</v>
      </c>
      <c r="S102" s="80">
        <v>0</v>
      </c>
      <c r="T102" s="80">
        <v>0</v>
      </c>
      <c r="U102" t="s" s="79">
        <v>122</v>
      </c>
      <c r="V102" s="80">
        <v>34</v>
      </c>
      <c r="W102" s="81">
        <v>6.1</v>
      </c>
      <c r="X102" s="81">
        <v>6.13</v>
      </c>
      <c r="Y102" s="80">
        <v>0</v>
      </c>
      <c r="Z102" s="80">
        <v>2</v>
      </c>
      <c r="AA102" t="s" s="79">
        <v>123</v>
      </c>
      <c r="AB102" t="s" s="79">
        <v>124</v>
      </c>
      <c r="AC102" t="s" s="79">
        <v>124</v>
      </c>
      <c r="AD102" t="s" s="82">
        <v>125</v>
      </c>
      <c r="AE102" s="67"/>
    </row>
    <row r="103" ht="15" customHeight="1">
      <c r="A103" t="s" s="83">
        <v>28</v>
      </c>
      <c r="B103" s="69">
        <v>76.3</v>
      </c>
      <c r="C103" t="b" s="70">
        <v>0</v>
      </c>
      <c r="D103" s="71"/>
      <c r="E103" t="s" s="72">
        <v>333</v>
      </c>
      <c r="F103" t="s" s="72">
        <v>159</v>
      </c>
      <c r="G103" s="73">
        <v>24</v>
      </c>
      <c r="H103" t="s" s="72">
        <v>118</v>
      </c>
      <c r="I103" t="s" s="72">
        <v>118</v>
      </c>
      <c r="J103" s="73">
        <v>32</v>
      </c>
      <c r="K103" t="s" s="72">
        <v>334</v>
      </c>
      <c r="L103" t="s" s="72">
        <v>154</v>
      </c>
      <c r="M103" s="71"/>
      <c r="N103" s="71"/>
      <c r="O103" s="71"/>
      <c r="P103" s="73">
        <v>2</v>
      </c>
      <c r="Q103" s="74">
        <v>7</v>
      </c>
      <c r="R103" s="74">
        <v>10</v>
      </c>
      <c r="S103" s="73">
        <v>2</v>
      </c>
      <c r="T103" s="73">
        <v>0</v>
      </c>
      <c r="U103" t="s" s="72">
        <v>122</v>
      </c>
      <c r="V103" s="73">
        <v>26</v>
      </c>
      <c r="W103" s="74">
        <v>5.9</v>
      </c>
      <c r="X103" s="74">
        <v>5.88</v>
      </c>
      <c r="Y103" s="73">
        <v>0</v>
      </c>
      <c r="Z103" s="73">
        <v>2</v>
      </c>
      <c r="AA103" t="s" s="72">
        <v>123</v>
      </c>
      <c r="AB103" t="s" s="72">
        <v>124</v>
      </c>
      <c r="AC103" t="s" s="72">
        <v>124</v>
      </c>
      <c r="AD103" t="s" s="75">
        <v>125</v>
      </c>
      <c r="AE103" s="67"/>
    </row>
    <row r="104" ht="15" customHeight="1">
      <c r="A104" t="s" s="83">
        <v>28</v>
      </c>
      <c r="B104" s="76">
        <v>76.09999999999999</v>
      </c>
      <c r="C104" t="b" s="77">
        <v>0</v>
      </c>
      <c r="D104" s="78"/>
      <c r="E104" t="s" s="79">
        <v>335</v>
      </c>
      <c r="F104" t="s" s="79">
        <v>156</v>
      </c>
      <c r="G104" s="80">
        <v>20</v>
      </c>
      <c r="H104" t="s" s="79">
        <v>118</v>
      </c>
      <c r="I104" t="s" s="79">
        <v>119</v>
      </c>
      <c r="J104" s="80">
        <v>27</v>
      </c>
      <c r="K104" t="s" s="79">
        <v>336</v>
      </c>
      <c r="L104" t="s" s="79">
        <v>154</v>
      </c>
      <c r="M104" s="78"/>
      <c r="N104" s="78"/>
      <c r="O104" s="78"/>
      <c r="P104" s="80">
        <v>3</v>
      </c>
      <c r="Q104" s="81">
        <v>5.33</v>
      </c>
      <c r="R104" s="81">
        <v>5.33</v>
      </c>
      <c r="S104" s="80">
        <v>0</v>
      </c>
      <c r="T104" s="80">
        <v>0</v>
      </c>
      <c r="U104" t="s" s="79">
        <v>122</v>
      </c>
      <c r="V104" s="80">
        <v>36</v>
      </c>
      <c r="W104" s="81">
        <v>6.11</v>
      </c>
      <c r="X104" s="81">
        <v>6.17</v>
      </c>
      <c r="Y104" s="80">
        <v>1</v>
      </c>
      <c r="Z104" s="80">
        <v>0</v>
      </c>
      <c r="AA104" t="s" s="79">
        <v>123</v>
      </c>
      <c r="AB104" t="s" s="79">
        <v>124</v>
      </c>
      <c r="AC104" t="s" s="79">
        <v>124</v>
      </c>
      <c r="AD104" t="s" s="82">
        <v>125</v>
      </c>
      <c r="AE104" s="67"/>
    </row>
    <row r="105" ht="15" customHeight="1">
      <c r="A105" t="s" s="83">
        <v>28</v>
      </c>
      <c r="B105" s="69">
        <v>76.09999999999999</v>
      </c>
      <c r="C105" t="b" s="70">
        <v>0</v>
      </c>
      <c r="D105" s="71"/>
      <c r="E105" t="s" s="72">
        <v>337</v>
      </c>
      <c r="F105" t="s" s="72">
        <v>141</v>
      </c>
      <c r="G105" s="73">
        <v>27</v>
      </c>
      <c r="H105" t="s" s="72">
        <v>118</v>
      </c>
      <c r="I105" t="s" s="72">
        <v>150</v>
      </c>
      <c r="J105" s="73">
        <v>27</v>
      </c>
      <c r="K105" t="s" s="72">
        <v>338</v>
      </c>
      <c r="L105" t="s" s="72">
        <v>121</v>
      </c>
      <c r="M105" s="71"/>
      <c r="N105" s="71"/>
      <c r="O105" s="71"/>
      <c r="P105" s="73">
        <v>3</v>
      </c>
      <c r="Q105" s="74">
        <v>6.33</v>
      </c>
      <c r="R105" s="74">
        <v>6.33</v>
      </c>
      <c r="S105" s="73">
        <v>0</v>
      </c>
      <c r="T105" s="73">
        <v>0</v>
      </c>
      <c r="U105" t="s" s="72">
        <v>122</v>
      </c>
      <c r="V105" s="71"/>
      <c r="W105" s="71"/>
      <c r="X105" s="71"/>
      <c r="Y105" s="71"/>
      <c r="Z105" s="71"/>
      <c r="AA105" s="71"/>
      <c r="AB105" t="s" s="72">
        <v>124</v>
      </c>
      <c r="AC105" t="s" s="72">
        <v>124</v>
      </c>
      <c r="AD105" t="s" s="75">
        <v>125</v>
      </c>
      <c r="AE105" s="67"/>
    </row>
    <row r="106" ht="15" customHeight="1">
      <c r="A106" t="s" s="83">
        <v>28</v>
      </c>
      <c r="B106" s="76">
        <v>74.90000000000001</v>
      </c>
      <c r="C106" t="b" s="77">
        <v>0</v>
      </c>
      <c r="D106" s="78"/>
      <c r="E106" t="s" s="79">
        <v>339</v>
      </c>
      <c r="F106" t="s" s="79">
        <v>134</v>
      </c>
      <c r="G106" s="80">
        <v>32</v>
      </c>
      <c r="H106" t="s" s="79">
        <v>340</v>
      </c>
      <c r="I106" t="s" s="79">
        <v>341</v>
      </c>
      <c r="J106" s="80">
        <v>25</v>
      </c>
      <c r="K106" t="s" s="79">
        <v>342</v>
      </c>
      <c r="L106" t="s" s="79">
        <v>121</v>
      </c>
      <c r="M106" s="78"/>
      <c r="N106" s="78"/>
      <c r="O106" s="78"/>
      <c r="P106" s="80">
        <v>2</v>
      </c>
      <c r="Q106" s="81">
        <v>6.75</v>
      </c>
      <c r="R106" s="81">
        <v>8.25</v>
      </c>
      <c r="S106" s="80">
        <v>1</v>
      </c>
      <c r="T106" s="80">
        <v>0</v>
      </c>
      <c r="U106" t="s" s="79">
        <v>122</v>
      </c>
      <c r="V106" s="80">
        <v>23</v>
      </c>
      <c r="W106" s="81">
        <v>6.2</v>
      </c>
      <c r="X106" s="81">
        <v>6.63</v>
      </c>
      <c r="Y106" s="80">
        <v>3</v>
      </c>
      <c r="Z106" s="80">
        <v>2</v>
      </c>
      <c r="AA106" t="s" s="79">
        <v>123</v>
      </c>
      <c r="AB106" t="s" s="79">
        <v>124</v>
      </c>
      <c r="AC106" t="s" s="79">
        <v>124</v>
      </c>
      <c r="AD106" t="s" s="82">
        <v>125</v>
      </c>
      <c r="AE106" s="67"/>
    </row>
    <row r="107" ht="15" customHeight="1">
      <c r="A107" t="s" s="83">
        <v>28</v>
      </c>
      <c r="B107" s="69">
        <v>73.8</v>
      </c>
      <c r="C107" t="b" s="70">
        <v>0</v>
      </c>
      <c r="D107" t="s" s="84">
        <v>161</v>
      </c>
      <c r="E107" t="s" s="72">
        <v>343</v>
      </c>
      <c r="F107" t="s" s="72">
        <v>134</v>
      </c>
      <c r="G107" s="73">
        <v>26</v>
      </c>
      <c r="H107" t="s" s="72">
        <v>164</v>
      </c>
      <c r="I107" t="s" s="72">
        <v>165</v>
      </c>
      <c r="J107" s="73">
        <v>26</v>
      </c>
      <c r="K107" t="s" s="72">
        <v>344</v>
      </c>
      <c r="L107" t="s" s="72">
        <v>121</v>
      </c>
      <c r="M107" s="71"/>
      <c r="N107" s="71"/>
      <c r="O107" s="71"/>
      <c r="P107" s="73">
        <v>0</v>
      </c>
      <c r="Q107" s="74">
        <v>0</v>
      </c>
      <c r="R107" s="74">
        <v>0</v>
      </c>
      <c r="S107" s="73">
        <v>0</v>
      </c>
      <c r="T107" s="73">
        <v>0</v>
      </c>
      <c r="U107" t="s" s="72">
        <v>122</v>
      </c>
      <c r="V107" s="71"/>
      <c r="W107" s="71"/>
      <c r="X107" s="71"/>
      <c r="Y107" s="71"/>
      <c r="Z107" s="71"/>
      <c r="AA107" s="71"/>
      <c r="AB107" t="s" s="72">
        <v>124</v>
      </c>
      <c r="AC107" t="s" s="72">
        <v>124</v>
      </c>
      <c r="AD107" t="s" s="75">
        <v>125</v>
      </c>
      <c r="AE107" s="67"/>
    </row>
    <row r="108" ht="15" customHeight="1">
      <c r="A108" t="s" s="83">
        <v>28</v>
      </c>
      <c r="B108" s="76">
        <v>73</v>
      </c>
      <c r="C108" t="b" s="77">
        <v>0</v>
      </c>
      <c r="D108" s="78"/>
      <c r="E108" t="s" s="79">
        <v>345</v>
      </c>
      <c r="F108" t="s" s="79">
        <v>144</v>
      </c>
      <c r="G108" s="80">
        <v>21</v>
      </c>
      <c r="H108" t="s" s="79">
        <v>118</v>
      </c>
      <c r="I108" t="s" s="79">
        <v>346</v>
      </c>
      <c r="J108" s="80">
        <v>26</v>
      </c>
      <c r="K108" t="s" s="79">
        <v>197</v>
      </c>
      <c r="L108" t="s" s="79">
        <v>121</v>
      </c>
      <c r="M108" s="78"/>
      <c r="N108" s="78"/>
      <c r="O108" s="78"/>
      <c r="P108" s="80">
        <v>2</v>
      </c>
      <c r="Q108" s="81">
        <v>6</v>
      </c>
      <c r="R108" s="81">
        <v>6</v>
      </c>
      <c r="S108" s="80">
        <v>0</v>
      </c>
      <c r="T108" s="80">
        <v>0</v>
      </c>
      <c r="U108" t="s" s="79">
        <v>122</v>
      </c>
      <c r="V108" s="80">
        <v>16</v>
      </c>
      <c r="W108" s="81">
        <v>6.03</v>
      </c>
      <c r="X108" s="81">
        <v>6.38</v>
      </c>
      <c r="Y108" s="80">
        <v>1</v>
      </c>
      <c r="Z108" s="80">
        <v>4</v>
      </c>
      <c r="AA108" t="s" s="79">
        <v>123</v>
      </c>
      <c r="AB108" t="s" s="79">
        <v>124</v>
      </c>
      <c r="AC108" t="s" s="79">
        <v>124</v>
      </c>
      <c r="AD108" t="s" s="82">
        <v>125</v>
      </c>
      <c r="AE108" s="67"/>
    </row>
    <row r="109" ht="15" customHeight="1">
      <c r="A109" t="s" s="83">
        <v>28</v>
      </c>
      <c r="B109" s="69">
        <v>72.5</v>
      </c>
      <c r="C109" t="b" s="70">
        <v>0</v>
      </c>
      <c r="D109" s="71"/>
      <c r="E109" t="s" s="72">
        <v>347</v>
      </c>
      <c r="F109" t="s" s="72">
        <v>170</v>
      </c>
      <c r="G109" s="73">
        <v>26</v>
      </c>
      <c r="H109" t="s" s="72">
        <v>175</v>
      </c>
      <c r="I109" t="s" s="72">
        <v>348</v>
      </c>
      <c r="J109" s="73">
        <v>27</v>
      </c>
      <c r="K109" t="s" s="72">
        <v>277</v>
      </c>
      <c r="L109" t="s" s="72">
        <v>121</v>
      </c>
      <c r="M109" s="71"/>
      <c r="N109" s="71"/>
      <c r="O109" s="71"/>
      <c r="P109" s="73">
        <v>1</v>
      </c>
      <c r="Q109" s="74">
        <v>5</v>
      </c>
      <c r="R109" s="74">
        <v>5</v>
      </c>
      <c r="S109" s="73">
        <v>0</v>
      </c>
      <c r="T109" s="73">
        <v>0</v>
      </c>
      <c r="U109" t="s" s="72">
        <v>122</v>
      </c>
      <c r="V109" s="73">
        <v>36</v>
      </c>
      <c r="W109" s="74">
        <v>6.07</v>
      </c>
      <c r="X109" s="74">
        <v>6.11</v>
      </c>
      <c r="Y109" s="73">
        <v>1</v>
      </c>
      <c r="Z109" s="73">
        <v>2</v>
      </c>
      <c r="AA109" t="s" s="72">
        <v>123</v>
      </c>
      <c r="AB109" t="s" s="72">
        <v>124</v>
      </c>
      <c r="AC109" t="s" s="72">
        <v>124</v>
      </c>
      <c r="AD109" t="s" s="75">
        <v>125</v>
      </c>
      <c r="AE109" s="67"/>
    </row>
    <row r="110" ht="15" customHeight="1">
      <c r="A110" t="s" s="83">
        <v>28</v>
      </c>
      <c r="B110" s="76">
        <v>70.59999999999999</v>
      </c>
      <c r="C110" t="b" s="77">
        <v>0</v>
      </c>
      <c r="D110" s="78"/>
      <c r="E110" t="s" s="79">
        <v>349</v>
      </c>
      <c r="F110" t="s" s="79">
        <v>168</v>
      </c>
      <c r="G110" s="80">
        <v>20</v>
      </c>
      <c r="H110" t="s" s="79">
        <v>164</v>
      </c>
      <c r="I110" t="s" s="79">
        <v>350</v>
      </c>
      <c r="J110" s="80">
        <v>26</v>
      </c>
      <c r="K110" t="s" s="79">
        <v>128</v>
      </c>
      <c r="L110" t="s" s="79">
        <v>154</v>
      </c>
      <c r="M110" s="78"/>
      <c r="N110" s="78"/>
      <c r="O110" s="78"/>
      <c r="P110" s="80">
        <v>1</v>
      </c>
      <c r="Q110" s="81">
        <v>5.5</v>
      </c>
      <c r="R110" s="81">
        <v>5.5</v>
      </c>
      <c r="S110" s="80">
        <v>0</v>
      </c>
      <c r="T110" s="80">
        <v>0</v>
      </c>
      <c r="U110" t="s" s="79">
        <v>122</v>
      </c>
      <c r="V110" s="80">
        <v>37</v>
      </c>
      <c r="W110" s="81">
        <v>5.93</v>
      </c>
      <c r="X110" s="81">
        <v>5.97</v>
      </c>
      <c r="Y110" s="80">
        <v>0</v>
      </c>
      <c r="Z110" s="80">
        <v>3</v>
      </c>
      <c r="AA110" t="s" s="79">
        <v>123</v>
      </c>
      <c r="AB110" t="s" s="79">
        <v>124</v>
      </c>
      <c r="AC110" t="s" s="79">
        <v>124</v>
      </c>
      <c r="AD110" t="s" s="82">
        <v>125</v>
      </c>
      <c r="AE110" s="67"/>
    </row>
    <row r="111" ht="15" customHeight="1">
      <c r="A111" t="s" s="83">
        <v>28</v>
      </c>
      <c r="B111" s="69">
        <v>70.5</v>
      </c>
      <c r="C111" t="b" s="70">
        <v>0</v>
      </c>
      <c r="D111" s="71"/>
      <c r="E111" t="s" s="72">
        <v>351</v>
      </c>
      <c r="F111" t="s" s="72">
        <v>141</v>
      </c>
      <c r="G111" s="73">
        <v>27</v>
      </c>
      <c r="H111" t="s" s="72">
        <v>352</v>
      </c>
      <c r="I111" t="s" s="72">
        <v>353</v>
      </c>
      <c r="J111" s="73">
        <v>22</v>
      </c>
      <c r="K111" t="s" s="72">
        <v>136</v>
      </c>
      <c r="L111" t="s" s="72">
        <v>154</v>
      </c>
      <c r="M111" s="71"/>
      <c r="N111" s="71"/>
      <c r="O111" s="71"/>
      <c r="P111" s="73">
        <v>3</v>
      </c>
      <c r="Q111" s="74">
        <v>6.33</v>
      </c>
      <c r="R111" s="74">
        <v>6.67</v>
      </c>
      <c r="S111" s="73">
        <v>0</v>
      </c>
      <c r="T111" s="73">
        <v>1</v>
      </c>
      <c r="U111" t="s" s="72">
        <v>122</v>
      </c>
      <c r="V111" s="73">
        <v>26</v>
      </c>
      <c r="W111" s="74">
        <v>6.06</v>
      </c>
      <c r="X111" s="74">
        <v>6.23</v>
      </c>
      <c r="Y111" s="73">
        <v>1</v>
      </c>
      <c r="Z111" s="73">
        <v>3</v>
      </c>
      <c r="AA111" t="s" s="72">
        <v>123</v>
      </c>
      <c r="AB111" t="s" s="72">
        <v>124</v>
      </c>
      <c r="AC111" t="s" s="72">
        <v>124</v>
      </c>
      <c r="AD111" t="s" s="75">
        <v>125</v>
      </c>
      <c r="AE111" s="67"/>
    </row>
    <row r="112" ht="15" customHeight="1">
      <c r="A112" t="s" s="83">
        <v>28</v>
      </c>
      <c r="B112" s="76">
        <v>69.90000000000001</v>
      </c>
      <c r="C112" t="b" s="77">
        <v>0</v>
      </c>
      <c r="D112" s="78"/>
      <c r="E112" t="s" s="79">
        <v>354</v>
      </c>
      <c r="F112" t="s" s="79">
        <v>141</v>
      </c>
      <c r="G112" s="80">
        <v>27</v>
      </c>
      <c r="H112" t="s" s="79">
        <v>175</v>
      </c>
      <c r="I112" t="s" s="79">
        <v>355</v>
      </c>
      <c r="J112" s="80">
        <v>31</v>
      </c>
      <c r="K112" t="s" s="79">
        <v>356</v>
      </c>
      <c r="L112" t="s" s="79">
        <v>154</v>
      </c>
      <c r="M112" s="78"/>
      <c r="N112" s="78"/>
      <c r="O112" s="78"/>
      <c r="P112" s="80">
        <v>1</v>
      </c>
      <c r="Q112" s="81">
        <v>6.5</v>
      </c>
      <c r="R112" s="81">
        <v>6.5</v>
      </c>
      <c r="S112" s="80">
        <v>0</v>
      </c>
      <c r="T112" s="80">
        <v>0</v>
      </c>
      <c r="U112" t="s" s="79">
        <v>122</v>
      </c>
      <c r="V112" s="80">
        <v>30</v>
      </c>
      <c r="W112" s="81">
        <v>6.12</v>
      </c>
      <c r="X112" s="81">
        <v>6.5</v>
      </c>
      <c r="Y112" s="80">
        <v>4</v>
      </c>
      <c r="Z112" s="80">
        <v>1</v>
      </c>
      <c r="AA112" t="s" s="79">
        <v>123</v>
      </c>
      <c r="AB112" t="s" s="79">
        <v>124</v>
      </c>
      <c r="AC112" t="s" s="79">
        <v>124</v>
      </c>
      <c r="AD112" t="s" s="82">
        <v>125</v>
      </c>
      <c r="AE112" s="67"/>
    </row>
    <row r="113" ht="15" customHeight="1">
      <c r="A113" t="s" s="83">
        <v>28</v>
      </c>
      <c r="B113" s="69">
        <v>69.40000000000001</v>
      </c>
      <c r="C113" t="b" s="70">
        <v>0</v>
      </c>
      <c r="D113" s="71"/>
      <c r="E113" t="s" s="72">
        <v>357</v>
      </c>
      <c r="F113" t="s" s="72">
        <v>193</v>
      </c>
      <c r="G113" s="73">
        <v>18</v>
      </c>
      <c r="H113" t="s" s="72">
        <v>118</v>
      </c>
      <c r="I113" t="s" s="72">
        <v>119</v>
      </c>
      <c r="J113" s="73">
        <v>26</v>
      </c>
      <c r="K113" t="s" s="72">
        <v>128</v>
      </c>
      <c r="L113" t="s" s="72">
        <v>121</v>
      </c>
      <c r="M113" s="71"/>
      <c r="N113" s="71"/>
      <c r="O113" s="71"/>
      <c r="P113" s="73">
        <v>2</v>
      </c>
      <c r="Q113" s="74">
        <v>6</v>
      </c>
      <c r="R113" s="74">
        <v>5.75</v>
      </c>
      <c r="S113" s="73">
        <v>0</v>
      </c>
      <c r="T113" s="73">
        <v>0</v>
      </c>
      <c r="U113" t="s" s="72">
        <v>122</v>
      </c>
      <c r="V113" s="73">
        <v>35</v>
      </c>
      <c r="W113" s="74">
        <v>6.01</v>
      </c>
      <c r="X113" s="74">
        <v>6.11</v>
      </c>
      <c r="Y113" s="73">
        <v>2</v>
      </c>
      <c r="Z113" s="73">
        <v>0</v>
      </c>
      <c r="AA113" t="s" s="72">
        <v>123</v>
      </c>
      <c r="AB113" t="s" s="72">
        <v>124</v>
      </c>
      <c r="AC113" t="s" s="72">
        <v>124</v>
      </c>
      <c r="AD113" t="s" s="75">
        <v>125</v>
      </c>
      <c r="AE113" s="67"/>
    </row>
    <row r="114" ht="15" customHeight="1">
      <c r="A114" t="s" s="83">
        <v>28</v>
      </c>
      <c r="B114" s="76">
        <v>69.40000000000001</v>
      </c>
      <c r="C114" t="b" s="77">
        <v>0</v>
      </c>
      <c r="D114" s="78"/>
      <c r="E114" t="s" s="79">
        <v>358</v>
      </c>
      <c r="F114" t="s" s="79">
        <v>138</v>
      </c>
      <c r="G114" s="80">
        <v>20</v>
      </c>
      <c r="H114" t="s" s="79">
        <v>359</v>
      </c>
      <c r="I114" t="s" s="79">
        <v>359</v>
      </c>
      <c r="J114" s="80">
        <v>28</v>
      </c>
      <c r="K114" t="s" s="79">
        <v>230</v>
      </c>
      <c r="L114" t="s" s="79">
        <v>154</v>
      </c>
      <c r="M114" s="78"/>
      <c r="N114" s="78"/>
      <c r="O114" s="78"/>
      <c r="P114" s="80">
        <v>1</v>
      </c>
      <c r="Q114" s="81">
        <v>5.5</v>
      </c>
      <c r="R114" s="81">
        <v>5</v>
      </c>
      <c r="S114" s="80">
        <v>0</v>
      </c>
      <c r="T114" s="80">
        <v>0</v>
      </c>
      <c r="U114" t="s" s="79">
        <v>122</v>
      </c>
      <c r="V114" s="80">
        <v>28</v>
      </c>
      <c r="W114" s="81">
        <v>5.91</v>
      </c>
      <c r="X114" s="81">
        <v>5.93</v>
      </c>
      <c r="Y114" s="80">
        <v>1</v>
      </c>
      <c r="Z114" s="80">
        <v>0</v>
      </c>
      <c r="AA114" t="s" s="79">
        <v>123</v>
      </c>
      <c r="AB114" t="s" s="79">
        <v>124</v>
      </c>
      <c r="AC114" t="s" s="79">
        <v>124</v>
      </c>
      <c r="AD114" t="s" s="82">
        <v>125</v>
      </c>
      <c r="AE114" s="67"/>
    </row>
    <row r="115" ht="15" customHeight="1">
      <c r="A115" t="s" s="83">
        <v>28</v>
      </c>
      <c r="B115" s="69">
        <v>69.09999999999999</v>
      </c>
      <c r="C115" t="b" s="70">
        <v>0</v>
      </c>
      <c r="D115" t="s" s="84">
        <v>178</v>
      </c>
      <c r="E115" t="s" s="72">
        <v>360</v>
      </c>
      <c r="F115" t="s" s="72">
        <v>141</v>
      </c>
      <c r="G115" s="73">
        <v>20</v>
      </c>
      <c r="H115" t="s" s="72">
        <v>361</v>
      </c>
      <c r="I115" t="s" s="72">
        <v>362</v>
      </c>
      <c r="J115" s="73">
        <v>24</v>
      </c>
      <c r="K115" t="s" s="72">
        <v>277</v>
      </c>
      <c r="L115" t="s" s="72">
        <v>121</v>
      </c>
      <c r="M115" s="71"/>
      <c r="N115" s="71"/>
      <c r="O115" s="71"/>
      <c r="P115" s="73">
        <v>3</v>
      </c>
      <c r="Q115" s="74">
        <v>6</v>
      </c>
      <c r="R115" s="74">
        <v>6.33</v>
      </c>
      <c r="S115" s="73">
        <v>0</v>
      </c>
      <c r="T115" s="73">
        <v>1</v>
      </c>
      <c r="U115" t="s" s="72">
        <v>122</v>
      </c>
      <c r="V115" s="71"/>
      <c r="W115" s="71"/>
      <c r="X115" s="71"/>
      <c r="Y115" s="71"/>
      <c r="Z115" s="71"/>
      <c r="AA115" s="71"/>
      <c r="AB115" t="s" s="72">
        <v>124</v>
      </c>
      <c r="AC115" t="s" s="72">
        <v>124</v>
      </c>
      <c r="AD115" t="s" s="75">
        <v>125</v>
      </c>
      <c r="AE115" s="67"/>
    </row>
    <row r="116" ht="15" customHeight="1">
      <c r="A116" t="s" s="83">
        <v>28</v>
      </c>
      <c r="B116" s="76">
        <v>68.90000000000001</v>
      </c>
      <c r="C116" t="b" s="77">
        <v>0</v>
      </c>
      <c r="D116" s="78"/>
      <c r="E116" t="s" s="79">
        <v>363</v>
      </c>
      <c r="F116" t="s" s="79">
        <v>147</v>
      </c>
      <c r="G116" s="80">
        <v>19</v>
      </c>
      <c r="H116" t="s" s="79">
        <v>164</v>
      </c>
      <c r="I116" t="s" s="79">
        <v>364</v>
      </c>
      <c r="J116" s="80">
        <v>31</v>
      </c>
      <c r="K116" t="s" s="79">
        <v>230</v>
      </c>
      <c r="L116" t="s" s="79">
        <v>121</v>
      </c>
      <c r="M116" s="78"/>
      <c r="N116" s="78"/>
      <c r="O116" s="78"/>
      <c r="P116" s="80">
        <v>0</v>
      </c>
      <c r="Q116" s="81">
        <v>0</v>
      </c>
      <c r="R116" s="81">
        <v>0</v>
      </c>
      <c r="S116" s="80">
        <v>0</v>
      </c>
      <c r="T116" s="80">
        <v>0</v>
      </c>
      <c r="U116" t="s" s="79">
        <v>122</v>
      </c>
      <c r="V116" s="80">
        <v>26</v>
      </c>
      <c r="W116" s="81">
        <v>6.02</v>
      </c>
      <c r="X116" s="81">
        <v>6.19</v>
      </c>
      <c r="Y116" s="80">
        <v>2</v>
      </c>
      <c r="Z116" s="80">
        <v>1</v>
      </c>
      <c r="AA116" t="s" s="79">
        <v>123</v>
      </c>
      <c r="AB116" t="s" s="79">
        <v>124</v>
      </c>
      <c r="AC116" t="s" s="79">
        <v>124</v>
      </c>
      <c r="AD116" t="s" s="82">
        <v>125</v>
      </c>
      <c r="AE116" s="67"/>
    </row>
    <row r="117" ht="15" customHeight="1">
      <c r="A117" t="s" s="83">
        <v>28</v>
      </c>
      <c r="B117" s="69">
        <v>68.3</v>
      </c>
      <c r="C117" t="b" s="70">
        <v>0</v>
      </c>
      <c r="D117" s="71"/>
      <c r="E117" t="s" s="72">
        <v>365</v>
      </c>
      <c r="F117" t="s" s="72">
        <v>163</v>
      </c>
      <c r="G117" s="73">
        <v>20</v>
      </c>
      <c r="H117" t="s" s="72">
        <v>164</v>
      </c>
      <c r="I117" t="s" s="72">
        <v>164</v>
      </c>
      <c r="J117" s="73">
        <v>24</v>
      </c>
      <c r="K117" t="s" s="72">
        <v>366</v>
      </c>
      <c r="L117" t="s" s="72">
        <v>121</v>
      </c>
      <c r="M117" s="71"/>
      <c r="N117" s="71"/>
      <c r="O117" s="71"/>
      <c r="P117" s="73">
        <v>0</v>
      </c>
      <c r="Q117" s="74">
        <v>0</v>
      </c>
      <c r="R117" s="74">
        <v>0</v>
      </c>
      <c r="S117" s="73">
        <v>0</v>
      </c>
      <c r="T117" s="73">
        <v>0</v>
      </c>
      <c r="U117" t="s" s="72">
        <v>122</v>
      </c>
      <c r="V117" s="73">
        <v>26</v>
      </c>
      <c r="W117" s="74">
        <v>6.1</v>
      </c>
      <c r="X117" s="74">
        <v>6.21</v>
      </c>
      <c r="Y117" s="73">
        <v>2</v>
      </c>
      <c r="Z117" s="73">
        <v>0</v>
      </c>
      <c r="AA117" t="s" s="72">
        <v>123</v>
      </c>
      <c r="AB117" t="s" s="72">
        <v>124</v>
      </c>
      <c r="AC117" t="s" s="72">
        <v>124</v>
      </c>
      <c r="AD117" t="s" s="75">
        <v>125</v>
      </c>
      <c r="AE117" s="67"/>
    </row>
    <row r="118" ht="15" customHeight="1">
      <c r="A118" t="s" s="83">
        <v>28</v>
      </c>
      <c r="B118" s="76">
        <v>67.59999999999999</v>
      </c>
      <c r="C118" t="b" s="77">
        <v>0</v>
      </c>
      <c r="D118" s="78"/>
      <c r="E118" t="s" s="79">
        <v>367</v>
      </c>
      <c r="F118" t="s" s="79">
        <v>138</v>
      </c>
      <c r="G118" s="80">
        <v>24</v>
      </c>
      <c r="H118" t="s" s="79">
        <v>368</v>
      </c>
      <c r="I118" t="s" s="79">
        <v>369</v>
      </c>
      <c r="J118" s="80">
        <v>27</v>
      </c>
      <c r="K118" t="s" s="79">
        <v>304</v>
      </c>
      <c r="L118" t="s" s="79">
        <v>154</v>
      </c>
      <c r="M118" s="78"/>
      <c r="N118" s="78"/>
      <c r="O118" s="78"/>
      <c r="P118" s="80">
        <v>2</v>
      </c>
      <c r="Q118" s="81">
        <v>6</v>
      </c>
      <c r="R118" s="81">
        <v>6</v>
      </c>
      <c r="S118" s="80">
        <v>0</v>
      </c>
      <c r="T118" s="80">
        <v>0</v>
      </c>
      <c r="U118" t="s" s="79">
        <v>122</v>
      </c>
      <c r="V118" s="80">
        <v>35</v>
      </c>
      <c r="W118" s="81">
        <v>6.04</v>
      </c>
      <c r="X118" s="81">
        <v>6.1</v>
      </c>
      <c r="Y118" s="80">
        <v>1</v>
      </c>
      <c r="Z118" s="80">
        <v>1</v>
      </c>
      <c r="AA118" t="s" s="79">
        <v>123</v>
      </c>
      <c r="AB118" t="s" s="79">
        <v>124</v>
      </c>
      <c r="AC118" t="s" s="79">
        <v>124</v>
      </c>
      <c r="AD118" t="s" s="82">
        <v>125</v>
      </c>
      <c r="AE118" s="67"/>
    </row>
    <row r="119" ht="15" customHeight="1">
      <c r="A119" t="s" s="83">
        <v>28</v>
      </c>
      <c r="B119" s="69">
        <v>67.59999999999999</v>
      </c>
      <c r="C119" t="b" s="70">
        <v>0</v>
      </c>
      <c r="D119" t="s" s="84">
        <v>178</v>
      </c>
      <c r="E119" t="s" s="72">
        <v>370</v>
      </c>
      <c r="F119" t="s" s="72">
        <v>127</v>
      </c>
      <c r="G119" s="73">
        <v>19</v>
      </c>
      <c r="H119" t="s" s="72">
        <v>164</v>
      </c>
      <c r="I119" t="s" s="72">
        <v>371</v>
      </c>
      <c r="J119" s="73">
        <v>22</v>
      </c>
      <c r="K119" t="s" s="72">
        <v>128</v>
      </c>
      <c r="L119" t="s" s="72">
        <v>154</v>
      </c>
      <c r="M119" s="71"/>
      <c r="N119" s="71"/>
      <c r="O119" s="71"/>
      <c r="P119" s="73">
        <v>1</v>
      </c>
      <c r="Q119" s="74">
        <v>5.5</v>
      </c>
      <c r="R119" s="74">
        <v>5.5</v>
      </c>
      <c r="S119" s="73">
        <v>0</v>
      </c>
      <c r="T119" s="73">
        <v>0</v>
      </c>
      <c r="U119" t="s" s="72">
        <v>122</v>
      </c>
      <c r="V119" s="73">
        <v>22</v>
      </c>
      <c r="W119" s="74">
        <v>6.11</v>
      </c>
      <c r="X119" s="74">
        <v>6.18</v>
      </c>
      <c r="Y119" s="73">
        <v>0</v>
      </c>
      <c r="Z119" s="73">
        <v>3</v>
      </c>
      <c r="AA119" t="s" s="72">
        <v>123</v>
      </c>
      <c r="AB119" t="s" s="72">
        <v>124</v>
      </c>
      <c r="AC119" t="s" s="72">
        <v>124</v>
      </c>
      <c r="AD119" t="s" s="75">
        <v>125</v>
      </c>
      <c r="AE119" s="67"/>
    </row>
    <row r="120" ht="15" customHeight="1">
      <c r="A120" t="s" s="83">
        <v>28</v>
      </c>
      <c r="B120" s="76">
        <v>66.8</v>
      </c>
      <c r="C120" t="b" s="77">
        <v>0</v>
      </c>
      <c r="D120" t="s" s="85">
        <v>178</v>
      </c>
      <c r="E120" t="s" s="79">
        <v>372</v>
      </c>
      <c r="F120" t="s" s="79">
        <v>170</v>
      </c>
      <c r="G120" s="80">
        <v>19</v>
      </c>
      <c r="H120" t="s" s="79">
        <v>373</v>
      </c>
      <c r="I120" t="s" s="79">
        <v>374</v>
      </c>
      <c r="J120" s="80">
        <v>21</v>
      </c>
      <c r="K120" t="s" s="79">
        <v>136</v>
      </c>
      <c r="L120" t="s" s="79">
        <v>121</v>
      </c>
      <c r="M120" s="78"/>
      <c r="N120" s="78"/>
      <c r="O120" s="78"/>
      <c r="P120" s="80">
        <v>2</v>
      </c>
      <c r="Q120" s="81">
        <v>5</v>
      </c>
      <c r="R120" s="81">
        <v>4.75</v>
      </c>
      <c r="S120" s="80">
        <v>0</v>
      </c>
      <c r="T120" s="80">
        <v>0</v>
      </c>
      <c r="U120" t="s" s="79">
        <v>122</v>
      </c>
      <c r="V120" s="80">
        <v>1</v>
      </c>
      <c r="W120" s="81">
        <v>5.5</v>
      </c>
      <c r="X120" s="81">
        <v>5</v>
      </c>
      <c r="Y120" s="80">
        <v>0</v>
      </c>
      <c r="Z120" s="80">
        <v>0</v>
      </c>
      <c r="AA120" t="s" s="79">
        <v>123</v>
      </c>
      <c r="AB120" t="s" s="79">
        <v>124</v>
      </c>
      <c r="AC120" t="s" s="79">
        <v>124</v>
      </c>
      <c r="AD120" t="s" s="82">
        <v>125</v>
      </c>
      <c r="AE120" s="67"/>
    </row>
    <row r="121" ht="15" customHeight="1">
      <c r="A121" t="s" s="83">
        <v>28</v>
      </c>
      <c r="B121" s="69">
        <v>66.40000000000001</v>
      </c>
      <c r="C121" t="b" s="70">
        <v>0</v>
      </c>
      <c r="D121" s="71"/>
      <c r="E121" t="s" s="72">
        <v>375</v>
      </c>
      <c r="F121" t="s" s="72">
        <v>130</v>
      </c>
      <c r="G121" s="73">
        <v>21</v>
      </c>
      <c r="H121" t="s" s="72">
        <v>164</v>
      </c>
      <c r="I121" t="s" s="72">
        <v>376</v>
      </c>
      <c r="J121" s="73">
        <v>26</v>
      </c>
      <c r="K121" t="s" s="72">
        <v>128</v>
      </c>
      <c r="L121" t="s" s="72">
        <v>121</v>
      </c>
      <c r="M121" s="71"/>
      <c r="N121" s="71"/>
      <c r="O121" t="s" s="88">
        <v>377</v>
      </c>
      <c r="P121" s="73">
        <v>1</v>
      </c>
      <c r="Q121" s="74">
        <v>6</v>
      </c>
      <c r="R121" s="74">
        <v>6</v>
      </c>
      <c r="S121" s="73">
        <v>0</v>
      </c>
      <c r="T121" s="73">
        <v>0</v>
      </c>
      <c r="U121" t="s" s="72">
        <v>122</v>
      </c>
      <c r="V121" s="73">
        <v>29</v>
      </c>
      <c r="W121" s="74">
        <v>5.91</v>
      </c>
      <c r="X121" s="74">
        <v>5.84</v>
      </c>
      <c r="Y121" s="73">
        <v>0</v>
      </c>
      <c r="Z121" s="73">
        <v>0</v>
      </c>
      <c r="AA121" t="s" s="72">
        <v>123</v>
      </c>
      <c r="AB121" t="s" s="72">
        <v>124</v>
      </c>
      <c r="AC121" t="s" s="72">
        <v>124</v>
      </c>
      <c r="AD121" t="s" s="75">
        <v>125</v>
      </c>
      <c r="AE121" s="67"/>
    </row>
    <row r="122" ht="15" customHeight="1">
      <c r="A122" t="s" s="83">
        <v>28</v>
      </c>
      <c r="B122" s="76">
        <v>65.2</v>
      </c>
      <c r="C122" t="b" s="77">
        <v>0</v>
      </c>
      <c r="D122" s="78"/>
      <c r="E122" t="s" s="79">
        <v>378</v>
      </c>
      <c r="F122" t="s" s="79">
        <v>149</v>
      </c>
      <c r="G122" s="80">
        <v>20</v>
      </c>
      <c r="H122" t="s" s="79">
        <v>164</v>
      </c>
      <c r="I122" t="s" s="79">
        <v>376</v>
      </c>
      <c r="J122" s="80">
        <v>33</v>
      </c>
      <c r="K122" t="s" s="79">
        <v>379</v>
      </c>
      <c r="L122" t="s" s="79">
        <v>121</v>
      </c>
      <c r="M122" s="78"/>
      <c r="N122" s="78"/>
      <c r="O122" t="s" s="88">
        <v>380</v>
      </c>
      <c r="P122" s="80">
        <v>1</v>
      </c>
      <c r="Q122" s="81">
        <v>6</v>
      </c>
      <c r="R122" s="81">
        <v>6</v>
      </c>
      <c r="S122" s="80">
        <v>0</v>
      </c>
      <c r="T122" s="80">
        <v>0</v>
      </c>
      <c r="U122" t="s" s="79">
        <v>122</v>
      </c>
      <c r="V122" s="80">
        <v>33</v>
      </c>
      <c r="W122" s="81">
        <v>5.8</v>
      </c>
      <c r="X122" s="81">
        <v>5.91</v>
      </c>
      <c r="Y122" s="80">
        <v>1</v>
      </c>
      <c r="Z122" s="80">
        <v>2</v>
      </c>
      <c r="AA122" t="s" s="79">
        <v>123</v>
      </c>
      <c r="AB122" t="s" s="79">
        <v>124</v>
      </c>
      <c r="AC122" t="s" s="79">
        <v>124</v>
      </c>
      <c r="AD122" t="s" s="82">
        <v>125</v>
      </c>
      <c r="AE122" s="67"/>
    </row>
    <row r="123" ht="15" customHeight="1">
      <c r="A123" t="s" s="83">
        <v>28</v>
      </c>
      <c r="B123" s="69">
        <v>64.59999999999999</v>
      </c>
      <c r="C123" t="b" s="70">
        <v>0</v>
      </c>
      <c r="D123" t="s" s="84">
        <v>191</v>
      </c>
      <c r="E123" t="s" s="72">
        <v>381</v>
      </c>
      <c r="F123" t="s" s="72">
        <v>134</v>
      </c>
      <c r="G123" s="73">
        <v>23</v>
      </c>
      <c r="H123" t="s" s="72">
        <v>382</v>
      </c>
      <c r="I123" t="s" s="72">
        <v>383</v>
      </c>
      <c r="J123" s="73">
        <v>27</v>
      </c>
      <c r="K123" t="s" s="72">
        <v>277</v>
      </c>
      <c r="L123" t="s" s="72">
        <v>154</v>
      </c>
      <c r="M123" s="71"/>
      <c r="N123" s="71"/>
      <c r="O123" s="71"/>
      <c r="P123" s="73">
        <v>0</v>
      </c>
      <c r="Q123" s="74">
        <v>0</v>
      </c>
      <c r="R123" s="74">
        <v>0</v>
      </c>
      <c r="S123" s="73">
        <v>0</v>
      </c>
      <c r="T123" s="73">
        <v>0</v>
      </c>
      <c r="U123" t="s" s="72">
        <v>122</v>
      </c>
      <c r="V123" s="73">
        <v>28</v>
      </c>
      <c r="W123" s="74">
        <v>6.05</v>
      </c>
      <c r="X123" s="74">
        <v>6.09</v>
      </c>
      <c r="Y123" s="73">
        <v>1</v>
      </c>
      <c r="Z123" s="73">
        <v>1</v>
      </c>
      <c r="AA123" t="s" s="72">
        <v>123</v>
      </c>
      <c r="AB123" t="s" s="72">
        <v>124</v>
      </c>
      <c r="AC123" t="s" s="72">
        <v>124</v>
      </c>
      <c r="AD123" t="s" s="75">
        <v>125</v>
      </c>
      <c r="AE123" s="67"/>
    </row>
    <row r="124" ht="15" customHeight="1">
      <c r="A124" t="s" s="83">
        <v>28</v>
      </c>
      <c r="B124" s="76">
        <v>62.8</v>
      </c>
      <c r="C124" t="b" s="77">
        <v>0</v>
      </c>
      <c r="D124" s="78"/>
      <c r="E124" t="s" s="79">
        <v>384</v>
      </c>
      <c r="F124" t="s" s="79">
        <v>193</v>
      </c>
      <c r="G124" s="80">
        <v>17</v>
      </c>
      <c r="H124" t="s" s="79">
        <v>164</v>
      </c>
      <c r="I124" t="s" s="79">
        <v>364</v>
      </c>
      <c r="J124" s="80">
        <v>33</v>
      </c>
      <c r="K124" t="s" s="79">
        <v>277</v>
      </c>
      <c r="L124" t="s" s="79">
        <v>121</v>
      </c>
      <c r="M124" s="78"/>
      <c r="N124" s="78"/>
      <c r="O124" s="78"/>
      <c r="P124" s="80">
        <v>0</v>
      </c>
      <c r="Q124" s="81">
        <v>0</v>
      </c>
      <c r="R124" s="81">
        <v>0</v>
      </c>
      <c r="S124" s="80">
        <v>0</v>
      </c>
      <c r="T124" s="80">
        <v>0</v>
      </c>
      <c r="U124" t="s" s="79">
        <v>122</v>
      </c>
      <c r="V124" s="80">
        <v>25</v>
      </c>
      <c r="W124" s="81">
        <v>6.18</v>
      </c>
      <c r="X124" s="81">
        <v>6.14</v>
      </c>
      <c r="Y124" s="80">
        <v>1</v>
      </c>
      <c r="Z124" s="80">
        <v>0</v>
      </c>
      <c r="AA124" t="s" s="79">
        <v>123</v>
      </c>
      <c r="AB124" t="s" s="79">
        <v>124</v>
      </c>
      <c r="AC124" t="s" s="79">
        <v>124</v>
      </c>
      <c r="AD124" t="s" s="82">
        <v>125</v>
      </c>
      <c r="AE124" s="67"/>
    </row>
    <row r="125" ht="15" customHeight="1">
      <c r="A125" t="s" s="83">
        <v>28</v>
      </c>
      <c r="B125" s="69">
        <v>62.6</v>
      </c>
      <c r="C125" t="b" s="70">
        <v>0</v>
      </c>
      <c r="D125" s="71"/>
      <c r="E125" t="s" s="72">
        <v>385</v>
      </c>
      <c r="F125" t="s" s="72">
        <v>127</v>
      </c>
      <c r="G125" s="73">
        <v>24</v>
      </c>
      <c r="H125" t="s" s="72">
        <v>175</v>
      </c>
      <c r="I125" t="s" s="72">
        <v>175</v>
      </c>
      <c r="J125" s="73">
        <v>26</v>
      </c>
      <c r="K125" t="s" s="72">
        <v>128</v>
      </c>
      <c r="L125" t="s" s="72">
        <v>121</v>
      </c>
      <c r="M125" s="71"/>
      <c r="N125" s="71"/>
      <c r="O125" s="71"/>
      <c r="P125" s="73">
        <v>0</v>
      </c>
      <c r="Q125" s="74">
        <v>0</v>
      </c>
      <c r="R125" s="74">
        <v>0</v>
      </c>
      <c r="S125" s="73">
        <v>0</v>
      </c>
      <c r="T125" s="73">
        <v>0</v>
      </c>
      <c r="U125" t="s" s="72">
        <v>122</v>
      </c>
      <c r="V125" s="73">
        <v>22</v>
      </c>
      <c r="W125" s="74">
        <v>5.75</v>
      </c>
      <c r="X125" s="74">
        <v>5.75</v>
      </c>
      <c r="Y125" s="73">
        <v>0</v>
      </c>
      <c r="Z125" s="73">
        <v>1</v>
      </c>
      <c r="AA125" t="s" s="72">
        <v>123</v>
      </c>
      <c r="AB125" t="s" s="72">
        <v>124</v>
      </c>
      <c r="AC125" t="s" s="72">
        <v>124</v>
      </c>
      <c r="AD125" t="s" s="75">
        <v>125</v>
      </c>
      <c r="AE125" s="67"/>
    </row>
    <row r="126" ht="15" customHeight="1">
      <c r="A126" t="s" s="83">
        <v>28</v>
      </c>
      <c r="B126" s="76">
        <v>62.5</v>
      </c>
      <c r="C126" t="b" s="77">
        <v>0</v>
      </c>
      <c r="D126" s="78"/>
      <c r="E126" t="s" s="79">
        <v>386</v>
      </c>
      <c r="F126" t="s" s="79">
        <v>159</v>
      </c>
      <c r="G126" s="80">
        <v>17</v>
      </c>
      <c r="H126" t="s" s="79">
        <v>118</v>
      </c>
      <c r="I126" t="s" s="79">
        <v>118</v>
      </c>
      <c r="J126" s="80">
        <v>31</v>
      </c>
      <c r="K126" t="s" s="79">
        <v>387</v>
      </c>
      <c r="L126" t="s" s="79">
        <v>121</v>
      </c>
      <c r="M126" s="78"/>
      <c r="N126" s="78"/>
      <c r="O126" s="78"/>
      <c r="P126" s="80">
        <v>2</v>
      </c>
      <c r="Q126" s="81">
        <v>6.5</v>
      </c>
      <c r="R126" s="81">
        <v>6.5</v>
      </c>
      <c r="S126" s="80">
        <v>0</v>
      </c>
      <c r="T126" s="80">
        <v>0</v>
      </c>
      <c r="U126" t="s" s="79">
        <v>122</v>
      </c>
      <c r="V126" s="80">
        <v>27</v>
      </c>
      <c r="W126" s="81">
        <v>5.94</v>
      </c>
      <c r="X126" s="81">
        <v>6.17</v>
      </c>
      <c r="Y126" s="80">
        <v>2</v>
      </c>
      <c r="Z126" s="80">
        <v>1</v>
      </c>
      <c r="AA126" t="s" s="79">
        <v>123</v>
      </c>
      <c r="AB126" t="s" s="79">
        <v>124</v>
      </c>
      <c r="AC126" t="s" s="79">
        <v>124</v>
      </c>
      <c r="AD126" t="s" s="82">
        <v>125</v>
      </c>
      <c r="AE126" s="67"/>
    </row>
    <row r="127" ht="15" customHeight="1">
      <c r="A127" t="s" s="86">
        <v>30</v>
      </c>
      <c r="B127" s="69">
        <v>62.1</v>
      </c>
      <c r="C127" t="b" s="70">
        <v>0</v>
      </c>
      <c r="D127" s="71"/>
      <c r="E127" t="s" s="72">
        <v>388</v>
      </c>
      <c r="F127" t="s" s="72">
        <v>127</v>
      </c>
      <c r="G127" s="73">
        <v>18</v>
      </c>
      <c r="H127" t="s" s="72">
        <v>164</v>
      </c>
      <c r="I127" t="s" s="72">
        <v>164</v>
      </c>
      <c r="J127" s="73">
        <v>24</v>
      </c>
      <c r="K127" t="s" s="72">
        <v>206</v>
      </c>
      <c r="L127" t="s" s="72">
        <v>121</v>
      </c>
      <c r="M127" s="71"/>
      <c r="N127" s="71"/>
      <c r="O127" s="71"/>
      <c r="P127" s="73">
        <v>0</v>
      </c>
      <c r="Q127" s="74">
        <v>0</v>
      </c>
      <c r="R127" s="74">
        <v>0</v>
      </c>
      <c r="S127" s="73">
        <v>0</v>
      </c>
      <c r="T127" s="73">
        <v>0</v>
      </c>
      <c r="U127" t="s" s="72">
        <v>122</v>
      </c>
      <c r="V127" s="73">
        <v>28</v>
      </c>
      <c r="W127" s="74">
        <v>6.04</v>
      </c>
      <c r="X127" s="74">
        <v>6.29</v>
      </c>
      <c r="Y127" s="73">
        <v>3</v>
      </c>
      <c r="Z127" s="73">
        <v>0</v>
      </c>
      <c r="AA127" t="s" s="72">
        <v>123</v>
      </c>
      <c r="AB127" t="s" s="72">
        <v>124</v>
      </c>
      <c r="AC127" t="s" s="72">
        <v>124</v>
      </c>
      <c r="AD127" t="s" s="75">
        <v>125</v>
      </c>
      <c r="AE127" s="67"/>
    </row>
    <row r="128" ht="15" customHeight="1">
      <c r="A128" t="s" s="86">
        <v>30</v>
      </c>
      <c r="B128" s="76">
        <v>61.7</v>
      </c>
      <c r="C128" t="b" s="77">
        <v>0</v>
      </c>
      <c r="D128" t="s" s="85">
        <v>161</v>
      </c>
      <c r="E128" t="s" s="79">
        <v>389</v>
      </c>
      <c r="F128" t="s" s="79">
        <v>134</v>
      </c>
      <c r="G128" s="80">
        <v>21</v>
      </c>
      <c r="H128" t="s" s="79">
        <v>390</v>
      </c>
      <c r="I128" t="s" s="79">
        <v>391</v>
      </c>
      <c r="J128" s="80">
        <v>30</v>
      </c>
      <c r="K128" t="s" s="79">
        <v>142</v>
      </c>
      <c r="L128" t="s" s="79">
        <v>121</v>
      </c>
      <c r="M128" s="78"/>
      <c r="N128" s="78"/>
      <c r="O128" s="78"/>
      <c r="P128" s="80">
        <v>1</v>
      </c>
      <c r="Q128" s="81">
        <v>6</v>
      </c>
      <c r="R128" s="81">
        <v>6</v>
      </c>
      <c r="S128" s="80">
        <v>0</v>
      </c>
      <c r="T128" s="80">
        <v>0</v>
      </c>
      <c r="U128" t="s" s="79">
        <v>122</v>
      </c>
      <c r="V128" s="80">
        <v>1</v>
      </c>
      <c r="W128" s="81">
        <v>6.5</v>
      </c>
      <c r="X128" s="81">
        <v>6.5</v>
      </c>
      <c r="Y128" s="80">
        <v>0</v>
      </c>
      <c r="Z128" s="80">
        <v>0</v>
      </c>
      <c r="AA128" t="s" s="79">
        <v>123</v>
      </c>
      <c r="AB128" t="s" s="79">
        <v>124</v>
      </c>
      <c r="AC128" t="s" s="79">
        <v>124</v>
      </c>
      <c r="AD128" t="s" s="82">
        <v>125</v>
      </c>
      <c r="AE128" s="67"/>
    </row>
    <row r="129" ht="15" customHeight="1">
      <c r="A129" t="s" s="86">
        <v>30</v>
      </c>
      <c r="B129" s="69">
        <v>61.6</v>
      </c>
      <c r="C129" t="b" s="70">
        <v>0</v>
      </c>
      <c r="D129" s="71"/>
      <c r="E129" t="s" s="72">
        <v>392</v>
      </c>
      <c r="F129" t="s" s="72">
        <v>130</v>
      </c>
      <c r="G129" s="73">
        <v>20</v>
      </c>
      <c r="H129" t="s" s="72">
        <v>175</v>
      </c>
      <c r="I129" t="s" s="72">
        <v>393</v>
      </c>
      <c r="J129" s="73">
        <v>20</v>
      </c>
      <c r="K129" t="s" s="72">
        <v>128</v>
      </c>
      <c r="L129" t="s" s="72">
        <v>154</v>
      </c>
      <c r="M129" s="71"/>
      <c r="N129" s="71"/>
      <c r="O129" s="71"/>
      <c r="P129" s="73">
        <v>2</v>
      </c>
      <c r="Q129" s="74">
        <v>6</v>
      </c>
      <c r="R129" s="74">
        <v>6</v>
      </c>
      <c r="S129" s="73">
        <v>0</v>
      </c>
      <c r="T129" s="73">
        <v>0</v>
      </c>
      <c r="U129" t="s" s="72">
        <v>122</v>
      </c>
      <c r="V129" s="73">
        <v>31</v>
      </c>
      <c r="W129" s="74">
        <v>6</v>
      </c>
      <c r="X129" s="74">
        <v>6.08</v>
      </c>
      <c r="Y129" s="73">
        <v>2</v>
      </c>
      <c r="Z129" s="73">
        <v>0</v>
      </c>
      <c r="AA129" t="s" s="72">
        <v>123</v>
      </c>
      <c r="AB129" t="s" s="72">
        <v>124</v>
      </c>
      <c r="AC129" t="s" s="72">
        <v>124</v>
      </c>
      <c r="AD129" t="s" s="75">
        <v>125</v>
      </c>
      <c r="AE129" s="67"/>
    </row>
    <row r="130" ht="15" customHeight="1">
      <c r="A130" t="s" s="86">
        <v>30</v>
      </c>
      <c r="B130" s="76">
        <v>61.2</v>
      </c>
      <c r="C130" t="b" s="77">
        <v>0</v>
      </c>
      <c r="D130" t="s" s="85">
        <v>191</v>
      </c>
      <c r="E130" t="s" s="79">
        <v>394</v>
      </c>
      <c r="F130" t="s" s="79">
        <v>149</v>
      </c>
      <c r="G130" s="80">
        <v>18</v>
      </c>
      <c r="H130" t="s" s="79">
        <v>164</v>
      </c>
      <c r="I130" t="s" s="79">
        <v>315</v>
      </c>
      <c r="J130" s="80">
        <v>26</v>
      </c>
      <c r="K130" t="s" s="79">
        <v>395</v>
      </c>
      <c r="L130" t="s" s="79">
        <v>121</v>
      </c>
      <c r="M130" s="78"/>
      <c r="N130" s="78"/>
      <c r="O130" s="78"/>
      <c r="P130" s="80">
        <v>0</v>
      </c>
      <c r="Q130" s="81">
        <v>0</v>
      </c>
      <c r="R130" s="81">
        <v>0</v>
      </c>
      <c r="S130" s="80">
        <v>0</v>
      </c>
      <c r="T130" s="80">
        <v>0</v>
      </c>
      <c r="U130" t="s" s="79">
        <v>122</v>
      </c>
      <c r="V130" s="78"/>
      <c r="W130" s="78"/>
      <c r="X130" s="78"/>
      <c r="Y130" s="78"/>
      <c r="Z130" s="78"/>
      <c r="AA130" s="78"/>
      <c r="AB130" t="s" s="79">
        <v>124</v>
      </c>
      <c r="AC130" t="s" s="79">
        <v>124</v>
      </c>
      <c r="AD130" t="s" s="82">
        <v>125</v>
      </c>
      <c r="AE130" s="67"/>
    </row>
    <row r="131" ht="15" customHeight="1">
      <c r="A131" t="s" s="86">
        <v>30</v>
      </c>
      <c r="B131" s="69">
        <v>60.5</v>
      </c>
      <c r="C131" t="b" s="70">
        <v>0</v>
      </c>
      <c r="D131" s="71"/>
      <c r="E131" t="s" s="72">
        <v>396</v>
      </c>
      <c r="F131" t="s" s="72">
        <v>144</v>
      </c>
      <c r="G131" s="73">
        <v>19</v>
      </c>
      <c r="H131" t="s" s="72">
        <v>397</v>
      </c>
      <c r="I131" t="s" s="72">
        <v>398</v>
      </c>
      <c r="J131" s="73">
        <v>26</v>
      </c>
      <c r="K131" t="s" s="72">
        <v>399</v>
      </c>
      <c r="L131" t="s" s="72">
        <v>154</v>
      </c>
      <c r="M131" s="71"/>
      <c r="N131" s="71"/>
      <c r="O131" s="71"/>
      <c r="P131" s="73">
        <v>0</v>
      </c>
      <c r="Q131" s="74">
        <v>0</v>
      </c>
      <c r="R131" s="74">
        <v>0</v>
      </c>
      <c r="S131" s="73">
        <v>0</v>
      </c>
      <c r="T131" s="73">
        <v>0</v>
      </c>
      <c r="U131" t="s" s="72">
        <v>122</v>
      </c>
      <c r="V131" s="71"/>
      <c r="W131" s="71"/>
      <c r="X131" s="71"/>
      <c r="Y131" s="71"/>
      <c r="Z131" s="71"/>
      <c r="AA131" s="71"/>
      <c r="AB131" t="s" s="72">
        <v>124</v>
      </c>
      <c r="AC131" t="s" s="72">
        <v>124</v>
      </c>
      <c r="AD131" t="s" s="75">
        <v>125</v>
      </c>
      <c r="AE131" s="67"/>
    </row>
    <row r="132" ht="15" customHeight="1">
      <c r="A132" t="s" s="86">
        <v>30</v>
      </c>
      <c r="B132" s="76">
        <v>60.5</v>
      </c>
      <c r="C132" t="b" s="77">
        <v>0</v>
      </c>
      <c r="D132" s="78"/>
      <c r="E132" t="s" s="79">
        <v>400</v>
      </c>
      <c r="F132" t="s" s="79">
        <v>153</v>
      </c>
      <c r="G132" s="80">
        <v>19</v>
      </c>
      <c r="H132" t="s" s="79">
        <v>164</v>
      </c>
      <c r="I132" t="s" s="79">
        <v>401</v>
      </c>
      <c r="J132" s="80">
        <v>25</v>
      </c>
      <c r="K132" t="s" s="79">
        <v>288</v>
      </c>
      <c r="L132" t="s" s="79">
        <v>154</v>
      </c>
      <c r="M132" s="78"/>
      <c r="N132" s="78"/>
      <c r="O132" s="78"/>
      <c r="P132" s="80">
        <v>0</v>
      </c>
      <c r="Q132" s="81">
        <v>0</v>
      </c>
      <c r="R132" s="81">
        <v>0</v>
      </c>
      <c r="S132" s="80">
        <v>0</v>
      </c>
      <c r="T132" s="80">
        <v>0</v>
      </c>
      <c r="U132" t="s" s="79">
        <v>122</v>
      </c>
      <c r="V132" s="78"/>
      <c r="W132" s="78"/>
      <c r="X132" s="78"/>
      <c r="Y132" s="78"/>
      <c r="Z132" s="78"/>
      <c r="AA132" s="78"/>
      <c r="AB132" t="s" s="79">
        <v>124</v>
      </c>
      <c r="AC132" t="s" s="79">
        <v>124</v>
      </c>
      <c r="AD132" t="s" s="82">
        <v>125</v>
      </c>
      <c r="AE132" s="67"/>
    </row>
    <row r="133" ht="15" customHeight="1">
      <c r="A133" t="s" s="86">
        <v>30</v>
      </c>
      <c r="B133" s="69">
        <v>60.2</v>
      </c>
      <c r="C133" t="b" s="70">
        <v>0</v>
      </c>
      <c r="D133" s="71"/>
      <c r="E133" t="s" s="72">
        <v>402</v>
      </c>
      <c r="F133" t="s" s="72">
        <v>149</v>
      </c>
      <c r="G133" s="73">
        <v>18</v>
      </c>
      <c r="H133" t="s" s="72">
        <v>118</v>
      </c>
      <c r="I133" t="s" s="72">
        <v>150</v>
      </c>
      <c r="J133" s="73">
        <v>30</v>
      </c>
      <c r="K133" t="s" s="72">
        <v>136</v>
      </c>
      <c r="L133" t="s" s="72">
        <v>154</v>
      </c>
      <c r="M133" s="71"/>
      <c r="N133" s="71"/>
      <c r="O133" s="71"/>
      <c r="P133" s="73">
        <v>2</v>
      </c>
      <c r="Q133" s="74">
        <v>6</v>
      </c>
      <c r="R133" s="74">
        <v>6</v>
      </c>
      <c r="S133" s="73">
        <v>0</v>
      </c>
      <c r="T133" s="73">
        <v>0</v>
      </c>
      <c r="U133" t="s" s="72">
        <v>122</v>
      </c>
      <c r="V133" s="71"/>
      <c r="W133" s="71"/>
      <c r="X133" s="71"/>
      <c r="Y133" s="71"/>
      <c r="Z133" s="71"/>
      <c r="AA133" s="71"/>
      <c r="AB133" t="s" s="72">
        <v>124</v>
      </c>
      <c r="AC133" t="s" s="72">
        <v>124</v>
      </c>
      <c r="AD133" t="s" s="75">
        <v>125</v>
      </c>
      <c r="AE133" s="67"/>
    </row>
    <row r="134" ht="15" customHeight="1">
      <c r="A134" t="s" s="86">
        <v>30</v>
      </c>
      <c r="B134" s="76">
        <v>59.6</v>
      </c>
      <c r="C134" t="b" s="77">
        <v>0</v>
      </c>
      <c r="D134" s="78"/>
      <c r="E134" t="s" s="79">
        <v>403</v>
      </c>
      <c r="F134" t="s" s="79">
        <v>163</v>
      </c>
      <c r="G134" s="80">
        <v>16</v>
      </c>
      <c r="H134" t="s" s="79">
        <v>118</v>
      </c>
      <c r="I134" t="s" s="79">
        <v>118</v>
      </c>
      <c r="J134" s="80">
        <v>27</v>
      </c>
      <c r="K134" t="s" s="79">
        <v>404</v>
      </c>
      <c r="L134" t="s" s="79">
        <v>121</v>
      </c>
      <c r="M134" s="78"/>
      <c r="N134" s="78"/>
      <c r="O134" s="78"/>
      <c r="P134" s="80">
        <v>2</v>
      </c>
      <c r="Q134" s="81">
        <v>5.5</v>
      </c>
      <c r="R134" s="81">
        <v>5.5</v>
      </c>
      <c r="S134" s="80">
        <v>0</v>
      </c>
      <c r="T134" s="80">
        <v>0</v>
      </c>
      <c r="U134" t="s" s="79">
        <v>122</v>
      </c>
      <c r="V134" s="80">
        <v>35</v>
      </c>
      <c r="W134" s="81">
        <v>5.89</v>
      </c>
      <c r="X134" s="81">
        <v>5.96</v>
      </c>
      <c r="Y134" s="80">
        <v>1</v>
      </c>
      <c r="Z134" s="80">
        <v>1</v>
      </c>
      <c r="AA134" t="s" s="79">
        <v>123</v>
      </c>
      <c r="AB134" t="s" s="79">
        <v>124</v>
      </c>
      <c r="AC134" t="s" s="79">
        <v>124</v>
      </c>
      <c r="AD134" t="s" s="82">
        <v>125</v>
      </c>
      <c r="AE134" s="67"/>
    </row>
    <row r="135" ht="15" customHeight="1">
      <c r="A135" t="s" s="86">
        <v>30</v>
      </c>
      <c r="B135" s="69">
        <v>59.3</v>
      </c>
      <c r="C135" t="b" s="70">
        <v>0</v>
      </c>
      <c r="D135" s="71"/>
      <c r="E135" t="s" s="72">
        <v>405</v>
      </c>
      <c r="F135" t="s" s="72">
        <v>147</v>
      </c>
      <c r="G135" s="73">
        <v>16</v>
      </c>
      <c r="H135" t="s" s="72">
        <v>118</v>
      </c>
      <c r="I135" t="s" s="72">
        <v>131</v>
      </c>
      <c r="J135" s="73">
        <v>24</v>
      </c>
      <c r="K135" t="s" s="72">
        <v>406</v>
      </c>
      <c r="L135" t="s" s="72">
        <v>154</v>
      </c>
      <c r="M135" s="71"/>
      <c r="N135" s="71"/>
      <c r="O135" s="71"/>
      <c r="P135" s="73">
        <v>2</v>
      </c>
      <c r="Q135" s="74">
        <v>6</v>
      </c>
      <c r="R135" s="74">
        <v>6</v>
      </c>
      <c r="S135" s="73">
        <v>0</v>
      </c>
      <c r="T135" s="73">
        <v>0</v>
      </c>
      <c r="U135" t="s" s="72">
        <v>122</v>
      </c>
      <c r="V135" s="73">
        <v>34</v>
      </c>
      <c r="W135" s="74">
        <v>5.97</v>
      </c>
      <c r="X135" s="74">
        <v>5.91</v>
      </c>
      <c r="Y135" s="73">
        <v>0</v>
      </c>
      <c r="Z135" s="73">
        <v>3</v>
      </c>
      <c r="AA135" t="s" s="72">
        <v>123</v>
      </c>
      <c r="AB135" t="s" s="72">
        <v>124</v>
      </c>
      <c r="AC135" t="s" s="72">
        <v>124</v>
      </c>
      <c r="AD135" t="s" s="75">
        <v>125</v>
      </c>
      <c r="AE135" s="67"/>
    </row>
    <row r="136" ht="15" customHeight="1">
      <c r="A136" t="s" s="86">
        <v>30</v>
      </c>
      <c r="B136" s="76">
        <v>59.3</v>
      </c>
      <c r="C136" t="b" s="77">
        <v>0</v>
      </c>
      <c r="D136" t="s" s="85">
        <v>191</v>
      </c>
      <c r="E136" t="s" s="79">
        <v>407</v>
      </c>
      <c r="F136" t="s" s="79">
        <v>117</v>
      </c>
      <c r="G136" s="80">
        <v>22</v>
      </c>
      <c r="H136" t="s" s="79">
        <v>175</v>
      </c>
      <c r="I136" t="s" s="79">
        <v>408</v>
      </c>
      <c r="J136" s="80">
        <v>27</v>
      </c>
      <c r="K136" t="s" s="79">
        <v>316</v>
      </c>
      <c r="L136" t="s" s="79">
        <v>121</v>
      </c>
      <c r="M136" s="78"/>
      <c r="N136" s="78"/>
      <c r="O136" s="78"/>
      <c r="P136" s="80">
        <v>0</v>
      </c>
      <c r="Q136" s="81">
        <v>0</v>
      </c>
      <c r="R136" s="81">
        <v>0</v>
      </c>
      <c r="S136" s="80">
        <v>0</v>
      </c>
      <c r="T136" s="80">
        <v>0</v>
      </c>
      <c r="U136" t="s" s="79">
        <v>122</v>
      </c>
      <c r="V136" s="78"/>
      <c r="W136" s="78"/>
      <c r="X136" s="78"/>
      <c r="Y136" s="78"/>
      <c r="Z136" s="78"/>
      <c r="AA136" s="78"/>
      <c r="AB136" t="s" s="79">
        <v>124</v>
      </c>
      <c r="AC136" t="s" s="79">
        <v>124</v>
      </c>
      <c r="AD136" t="s" s="82">
        <v>125</v>
      </c>
      <c r="AE136" s="67"/>
    </row>
    <row r="137" ht="15" customHeight="1">
      <c r="A137" t="s" s="86">
        <v>30</v>
      </c>
      <c r="B137" s="69">
        <v>58.6</v>
      </c>
      <c r="C137" t="b" s="70">
        <v>0</v>
      </c>
      <c r="D137" s="71"/>
      <c r="E137" t="s" s="72">
        <v>409</v>
      </c>
      <c r="F137" t="s" s="72">
        <v>127</v>
      </c>
      <c r="G137" s="73">
        <v>24</v>
      </c>
      <c r="H137" t="s" s="72">
        <v>175</v>
      </c>
      <c r="I137" t="s" s="72">
        <v>266</v>
      </c>
      <c r="J137" s="73">
        <v>27</v>
      </c>
      <c r="K137" t="s" s="72">
        <v>410</v>
      </c>
      <c r="L137" t="s" s="72">
        <v>121</v>
      </c>
      <c r="M137" s="71"/>
      <c r="N137" s="71"/>
      <c r="O137" t="s" s="88">
        <v>380</v>
      </c>
      <c r="P137" s="73">
        <v>0</v>
      </c>
      <c r="Q137" s="74">
        <v>0</v>
      </c>
      <c r="R137" s="74">
        <v>0</v>
      </c>
      <c r="S137" s="73">
        <v>0</v>
      </c>
      <c r="T137" s="73">
        <v>0</v>
      </c>
      <c r="U137" t="s" s="72">
        <v>122</v>
      </c>
      <c r="V137" s="73">
        <v>28</v>
      </c>
      <c r="W137" s="74">
        <v>6.02</v>
      </c>
      <c r="X137" s="74">
        <v>5.96</v>
      </c>
      <c r="Y137" s="73">
        <v>1</v>
      </c>
      <c r="Z137" s="73">
        <v>0</v>
      </c>
      <c r="AA137" t="s" s="72">
        <v>123</v>
      </c>
      <c r="AB137" t="s" s="72">
        <v>124</v>
      </c>
      <c r="AC137" t="s" s="72">
        <v>124</v>
      </c>
      <c r="AD137" t="s" s="75">
        <v>125</v>
      </c>
      <c r="AE137" s="67"/>
    </row>
    <row r="138" ht="15" customHeight="1">
      <c r="A138" t="s" s="86">
        <v>30</v>
      </c>
      <c r="B138" s="76">
        <v>58.3</v>
      </c>
      <c r="C138" t="b" s="77">
        <v>0</v>
      </c>
      <c r="D138" s="78"/>
      <c r="E138" t="s" s="79">
        <v>411</v>
      </c>
      <c r="F138" t="s" s="79">
        <v>138</v>
      </c>
      <c r="G138" s="80">
        <v>19</v>
      </c>
      <c r="H138" t="s" s="79">
        <v>175</v>
      </c>
      <c r="I138" t="s" s="79">
        <v>200</v>
      </c>
      <c r="J138" s="80">
        <v>29</v>
      </c>
      <c r="K138" t="s" s="79">
        <v>412</v>
      </c>
      <c r="L138" t="s" s="79">
        <v>121</v>
      </c>
      <c r="M138" s="78"/>
      <c r="N138" s="78"/>
      <c r="O138" s="78"/>
      <c r="P138" s="80">
        <v>2</v>
      </c>
      <c r="Q138" s="81">
        <v>6</v>
      </c>
      <c r="R138" s="81">
        <v>5.75</v>
      </c>
      <c r="S138" s="80">
        <v>0</v>
      </c>
      <c r="T138" s="80">
        <v>0</v>
      </c>
      <c r="U138" t="s" s="79">
        <v>122</v>
      </c>
      <c r="V138" s="80">
        <v>32</v>
      </c>
      <c r="W138" s="81">
        <v>6.08</v>
      </c>
      <c r="X138" s="81">
        <v>6.17</v>
      </c>
      <c r="Y138" s="80">
        <v>1</v>
      </c>
      <c r="Z138" s="80">
        <v>2</v>
      </c>
      <c r="AA138" t="s" s="79">
        <v>123</v>
      </c>
      <c r="AB138" t="s" s="79">
        <v>124</v>
      </c>
      <c r="AC138" t="s" s="79">
        <v>124</v>
      </c>
      <c r="AD138" t="s" s="82">
        <v>125</v>
      </c>
      <c r="AE138" s="67"/>
    </row>
    <row r="139" ht="15" customHeight="1">
      <c r="A139" t="s" s="86">
        <v>30</v>
      </c>
      <c r="B139" s="69">
        <v>57.7</v>
      </c>
      <c r="C139" t="b" s="70">
        <v>0</v>
      </c>
      <c r="D139" s="71"/>
      <c r="E139" t="s" s="72">
        <v>413</v>
      </c>
      <c r="F139" t="s" s="72">
        <v>149</v>
      </c>
      <c r="G139" s="73">
        <v>16</v>
      </c>
      <c r="H139" t="s" s="72">
        <v>118</v>
      </c>
      <c r="I139" t="s" s="72">
        <v>118</v>
      </c>
      <c r="J139" s="73">
        <v>23</v>
      </c>
      <c r="K139" t="s" s="72">
        <v>206</v>
      </c>
      <c r="L139" t="s" s="72">
        <v>154</v>
      </c>
      <c r="M139" s="71"/>
      <c r="N139" s="71"/>
      <c r="O139" s="71"/>
      <c r="P139" s="73">
        <v>2</v>
      </c>
      <c r="Q139" s="74">
        <v>6.25</v>
      </c>
      <c r="R139" s="74">
        <v>6</v>
      </c>
      <c r="S139" s="73">
        <v>0</v>
      </c>
      <c r="T139" s="73">
        <v>0</v>
      </c>
      <c r="U139" t="s" s="72">
        <v>122</v>
      </c>
      <c r="V139" s="73">
        <v>23</v>
      </c>
      <c r="W139" s="74">
        <v>5.91</v>
      </c>
      <c r="X139" s="74">
        <v>5.85</v>
      </c>
      <c r="Y139" s="73">
        <v>0</v>
      </c>
      <c r="Z139" s="73">
        <v>0</v>
      </c>
      <c r="AA139" t="s" s="72">
        <v>123</v>
      </c>
      <c r="AB139" t="s" s="72">
        <v>124</v>
      </c>
      <c r="AC139" t="s" s="72">
        <v>124</v>
      </c>
      <c r="AD139" t="s" s="75">
        <v>125</v>
      </c>
      <c r="AE139" s="67"/>
    </row>
    <row r="140" ht="15" customHeight="1">
      <c r="A140" t="s" s="86">
        <v>30</v>
      </c>
      <c r="B140" s="76">
        <v>57.5</v>
      </c>
      <c r="C140" t="b" s="77">
        <v>0</v>
      </c>
      <c r="D140" t="s" s="85">
        <v>191</v>
      </c>
      <c r="E140" t="s" s="79">
        <v>414</v>
      </c>
      <c r="F140" t="s" s="79">
        <v>149</v>
      </c>
      <c r="G140" s="80">
        <v>19</v>
      </c>
      <c r="H140" t="s" s="79">
        <v>175</v>
      </c>
      <c r="I140" t="s" s="79">
        <v>415</v>
      </c>
      <c r="J140" s="80">
        <v>28</v>
      </c>
      <c r="K140" t="s" s="79">
        <v>416</v>
      </c>
      <c r="L140" t="s" s="79">
        <v>121</v>
      </c>
      <c r="M140" s="78"/>
      <c r="N140" s="78"/>
      <c r="O140" s="78"/>
      <c r="P140" s="80">
        <v>2</v>
      </c>
      <c r="Q140" s="81">
        <v>6.25</v>
      </c>
      <c r="R140" s="81">
        <v>6.25</v>
      </c>
      <c r="S140" s="80">
        <v>0</v>
      </c>
      <c r="T140" s="80">
        <v>0</v>
      </c>
      <c r="U140" t="s" s="79">
        <v>122</v>
      </c>
      <c r="V140" s="78"/>
      <c r="W140" s="78"/>
      <c r="X140" s="78"/>
      <c r="Y140" s="78"/>
      <c r="Z140" s="78"/>
      <c r="AA140" s="78"/>
      <c r="AB140" t="s" s="79">
        <v>124</v>
      </c>
      <c r="AC140" t="s" s="79">
        <v>124</v>
      </c>
      <c r="AD140" t="s" s="82">
        <v>125</v>
      </c>
      <c r="AE140" s="67"/>
    </row>
    <row r="141" ht="15" customHeight="1">
      <c r="A141" t="s" s="86">
        <v>30</v>
      </c>
      <c r="B141" s="69">
        <v>56.9</v>
      </c>
      <c r="C141" t="b" s="70">
        <v>0</v>
      </c>
      <c r="D141" s="71"/>
      <c r="E141" t="s" s="72">
        <v>417</v>
      </c>
      <c r="F141" t="s" s="72">
        <v>163</v>
      </c>
      <c r="G141" s="73">
        <v>19</v>
      </c>
      <c r="H141" t="s" s="72">
        <v>175</v>
      </c>
      <c r="I141" t="s" s="72">
        <v>175</v>
      </c>
      <c r="J141" s="73">
        <v>29</v>
      </c>
      <c r="K141" t="s" s="72">
        <v>418</v>
      </c>
      <c r="L141" t="s" s="72">
        <v>121</v>
      </c>
      <c r="M141" s="71"/>
      <c r="N141" s="71"/>
      <c r="O141" s="71"/>
      <c r="P141" s="73">
        <v>2</v>
      </c>
      <c r="Q141" s="74">
        <v>6</v>
      </c>
      <c r="R141" s="74">
        <v>6</v>
      </c>
      <c r="S141" s="73">
        <v>0</v>
      </c>
      <c r="T141" s="73">
        <v>0</v>
      </c>
      <c r="U141" t="s" s="72">
        <v>122</v>
      </c>
      <c r="V141" s="73">
        <v>24</v>
      </c>
      <c r="W141" s="74">
        <v>5.96</v>
      </c>
      <c r="X141" s="74">
        <v>5.94</v>
      </c>
      <c r="Y141" s="73">
        <v>0</v>
      </c>
      <c r="Z141" s="73">
        <v>2</v>
      </c>
      <c r="AA141" t="s" s="72">
        <v>123</v>
      </c>
      <c r="AB141" t="s" s="72">
        <v>124</v>
      </c>
      <c r="AC141" t="s" s="72">
        <v>124</v>
      </c>
      <c r="AD141" t="s" s="75">
        <v>125</v>
      </c>
      <c r="AE141" s="67"/>
    </row>
    <row r="142" ht="15" customHeight="1">
      <c r="A142" t="s" s="86">
        <v>30</v>
      </c>
      <c r="B142" s="76">
        <v>56</v>
      </c>
      <c r="C142" t="b" s="77">
        <v>0</v>
      </c>
      <c r="D142" s="78"/>
      <c r="E142" t="s" s="79">
        <v>419</v>
      </c>
      <c r="F142" t="s" s="79">
        <v>168</v>
      </c>
      <c r="G142" s="80">
        <v>15</v>
      </c>
      <c r="H142" t="s" s="79">
        <v>118</v>
      </c>
      <c r="I142" t="s" s="79">
        <v>118</v>
      </c>
      <c r="J142" s="80">
        <v>23</v>
      </c>
      <c r="K142" t="s" s="79">
        <v>420</v>
      </c>
      <c r="L142" t="s" s="79">
        <v>121</v>
      </c>
      <c r="M142" s="78"/>
      <c r="N142" s="78"/>
      <c r="O142" s="78"/>
      <c r="P142" s="80">
        <v>2</v>
      </c>
      <c r="Q142" s="81">
        <v>5.75</v>
      </c>
      <c r="R142" s="81">
        <v>6</v>
      </c>
      <c r="S142" s="80">
        <v>0</v>
      </c>
      <c r="T142" s="80">
        <v>1</v>
      </c>
      <c r="U142" t="s" s="79">
        <v>122</v>
      </c>
      <c r="V142" s="80">
        <v>36</v>
      </c>
      <c r="W142" s="81">
        <v>5.86</v>
      </c>
      <c r="X142" s="81">
        <v>5.74</v>
      </c>
      <c r="Y142" s="80">
        <v>0</v>
      </c>
      <c r="Z142" s="80">
        <v>0</v>
      </c>
      <c r="AA142" t="s" s="79">
        <v>123</v>
      </c>
      <c r="AB142" t="s" s="79">
        <v>124</v>
      </c>
      <c r="AC142" t="s" s="79">
        <v>124</v>
      </c>
      <c r="AD142" t="s" s="82">
        <v>125</v>
      </c>
      <c r="AE142" s="67"/>
    </row>
    <row r="143" ht="15" customHeight="1">
      <c r="A143" t="s" s="86">
        <v>30</v>
      </c>
      <c r="B143" s="69">
        <v>55.3</v>
      </c>
      <c r="C143" t="b" s="70">
        <v>0</v>
      </c>
      <c r="D143" t="s" s="84">
        <v>178</v>
      </c>
      <c r="E143" t="s" s="72">
        <v>421</v>
      </c>
      <c r="F143" t="s" s="72">
        <v>170</v>
      </c>
      <c r="G143" s="73">
        <v>16</v>
      </c>
      <c r="H143" t="s" s="72">
        <v>164</v>
      </c>
      <c r="I143" t="s" s="72">
        <v>422</v>
      </c>
      <c r="J143" s="73">
        <v>19</v>
      </c>
      <c r="K143" t="s" s="72">
        <v>136</v>
      </c>
      <c r="L143" t="s" s="72">
        <v>154</v>
      </c>
      <c r="M143" s="71"/>
      <c r="N143" s="71"/>
      <c r="O143" s="71"/>
      <c r="P143" s="73">
        <v>1</v>
      </c>
      <c r="Q143" s="74">
        <v>5.5</v>
      </c>
      <c r="R143" s="74">
        <v>5.5</v>
      </c>
      <c r="S143" s="73">
        <v>0</v>
      </c>
      <c r="T143" s="73">
        <v>0</v>
      </c>
      <c r="U143" t="s" s="72">
        <v>122</v>
      </c>
      <c r="V143" s="71"/>
      <c r="W143" s="71"/>
      <c r="X143" s="71"/>
      <c r="Y143" s="71"/>
      <c r="Z143" s="71"/>
      <c r="AA143" s="71"/>
      <c r="AB143" t="s" s="72">
        <v>124</v>
      </c>
      <c r="AC143" t="s" s="72">
        <v>124</v>
      </c>
      <c r="AD143" t="s" s="75">
        <v>125</v>
      </c>
      <c r="AE143" s="67"/>
    </row>
    <row r="144" ht="15" customHeight="1">
      <c r="A144" t="s" s="86">
        <v>30</v>
      </c>
      <c r="B144" s="76">
        <v>54.8</v>
      </c>
      <c r="C144" t="b" s="77">
        <v>0</v>
      </c>
      <c r="D144" s="78"/>
      <c r="E144" t="s" s="79">
        <v>423</v>
      </c>
      <c r="F144" t="s" s="79">
        <v>170</v>
      </c>
      <c r="G144" s="80">
        <v>16</v>
      </c>
      <c r="H144" t="s" s="79">
        <v>118</v>
      </c>
      <c r="I144" t="s" s="79">
        <v>150</v>
      </c>
      <c r="J144" s="80">
        <v>24</v>
      </c>
      <c r="K144" t="s" s="79">
        <v>257</v>
      </c>
      <c r="L144" t="s" s="79">
        <v>121</v>
      </c>
      <c r="M144" s="78"/>
      <c r="N144" s="78"/>
      <c r="O144" s="78"/>
      <c r="P144" s="80">
        <v>2</v>
      </c>
      <c r="Q144" s="81">
        <v>4</v>
      </c>
      <c r="R144" s="81">
        <v>3.75</v>
      </c>
      <c r="S144" s="80">
        <v>0</v>
      </c>
      <c r="T144" s="80">
        <v>0</v>
      </c>
      <c r="U144" t="s" s="79">
        <v>122</v>
      </c>
      <c r="V144" s="78"/>
      <c r="W144" s="78"/>
      <c r="X144" s="78"/>
      <c r="Y144" s="78"/>
      <c r="Z144" s="78"/>
      <c r="AA144" s="78"/>
      <c r="AB144" t="s" s="79">
        <v>124</v>
      </c>
      <c r="AC144" t="s" s="79">
        <v>124</v>
      </c>
      <c r="AD144" t="s" s="82">
        <v>125</v>
      </c>
      <c r="AE144" s="67"/>
    </row>
    <row r="145" ht="15" customHeight="1">
      <c r="A145" t="s" s="86">
        <v>30</v>
      </c>
      <c r="B145" s="69">
        <v>54.8</v>
      </c>
      <c r="C145" t="b" s="70">
        <v>0</v>
      </c>
      <c r="D145" s="71"/>
      <c r="E145" t="s" s="72">
        <v>424</v>
      </c>
      <c r="F145" t="s" s="72">
        <v>180</v>
      </c>
      <c r="G145" s="73">
        <v>16</v>
      </c>
      <c r="H145" t="s" s="72">
        <v>425</v>
      </c>
      <c r="I145" t="s" s="72">
        <v>426</v>
      </c>
      <c r="J145" s="73">
        <v>27</v>
      </c>
      <c r="K145" t="s" s="72">
        <v>184</v>
      </c>
      <c r="L145" t="s" s="72">
        <v>154</v>
      </c>
      <c r="M145" s="71"/>
      <c r="N145" s="71"/>
      <c r="O145" s="71"/>
      <c r="P145" s="73">
        <v>2</v>
      </c>
      <c r="Q145" s="74">
        <v>5.75</v>
      </c>
      <c r="R145" s="74">
        <v>5.75</v>
      </c>
      <c r="S145" s="73">
        <v>0</v>
      </c>
      <c r="T145" s="73">
        <v>0</v>
      </c>
      <c r="U145" t="s" s="72">
        <v>122</v>
      </c>
      <c r="V145" s="71"/>
      <c r="W145" s="71"/>
      <c r="X145" s="71"/>
      <c r="Y145" s="71"/>
      <c r="Z145" s="71"/>
      <c r="AA145" s="71"/>
      <c r="AB145" t="s" s="72">
        <v>124</v>
      </c>
      <c r="AC145" t="s" s="72">
        <v>124</v>
      </c>
      <c r="AD145" t="s" s="75">
        <v>125</v>
      </c>
      <c r="AE145" s="67"/>
    </row>
    <row r="146" ht="15" customHeight="1">
      <c r="A146" t="s" s="86">
        <v>30</v>
      </c>
      <c r="B146" s="76">
        <v>54.6</v>
      </c>
      <c r="C146" t="b" s="77">
        <v>0</v>
      </c>
      <c r="D146" s="78"/>
      <c r="E146" t="s" s="79">
        <v>427</v>
      </c>
      <c r="F146" t="s" s="79">
        <v>130</v>
      </c>
      <c r="G146" s="80">
        <v>19</v>
      </c>
      <c r="H146" t="s" s="79">
        <v>175</v>
      </c>
      <c r="I146" t="s" s="79">
        <v>200</v>
      </c>
      <c r="J146" s="80">
        <v>28</v>
      </c>
      <c r="K146" t="s" s="79">
        <v>428</v>
      </c>
      <c r="L146" t="s" s="79">
        <v>121</v>
      </c>
      <c r="M146" s="78"/>
      <c r="N146" s="78"/>
      <c r="O146" s="78"/>
      <c r="P146" s="80">
        <v>0</v>
      </c>
      <c r="Q146" s="81">
        <v>0</v>
      </c>
      <c r="R146" s="81">
        <v>0</v>
      </c>
      <c r="S146" s="80">
        <v>0</v>
      </c>
      <c r="T146" s="80">
        <v>0</v>
      </c>
      <c r="U146" t="s" s="79">
        <v>122</v>
      </c>
      <c r="V146" s="80">
        <v>32</v>
      </c>
      <c r="W146" s="81">
        <v>5.92</v>
      </c>
      <c r="X146" s="81">
        <v>5.83</v>
      </c>
      <c r="Y146" s="80">
        <v>0</v>
      </c>
      <c r="Z146" s="80">
        <v>1</v>
      </c>
      <c r="AA146" t="s" s="79">
        <v>123</v>
      </c>
      <c r="AB146" t="s" s="79">
        <v>124</v>
      </c>
      <c r="AC146" t="s" s="79">
        <v>124</v>
      </c>
      <c r="AD146" t="s" s="82">
        <v>125</v>
      </c>
      <c r="AE146" s="67"/>
    </row>
    <row r="147" ht="15" customHeight="1">
      <c r="A147" t="s" s="86">
        <v>30</v>
      </c>
      <c r="B147" s="69">
        <v>54.6</v>
      </c>
      <c r="C147" t="b" s="70">
        <v>0</v>
      </c>
      <c r="D147" s="71"/>
      <c r="E147" t="s" s="72">
        <v>429</v>
      </c>
      <c r="F147" t="s" s="72">
        <v>149</v>
      </c>
      <c r="G147" s="73">
        <v>19</v>
      </c>
      <c r="H147" t="s" s="72">
        <v>175</v>
      </c>
      <c r="I147" t="s" s="72">
        <v>175</v>
      </c>
      <c r="J147" s="73">
        <v>26</v>
      </c>
      <c r="K147" t="s" s="72">
        <v>430</v>
      </c>
      <c r="L147" t="s" s="72">
        <v>154</v>
      </c>
      <c r="M147" s="71"/>
      <c r="N147" s="71"/>
      <c r="O147" s="71"/>
      <c r="P147" s="73">
        <v>1</v>
      </c>
      <c r="Q147" s="74">
        <v>7</v>
      </c>
      <c r="R147" s="74">
        <v>8</v>
      </c>
      <c r="S147" s="73">
        <v>0</v>
      </c>
      <c r="T147" s="73">
        <v>1</v>
      </c>
      <c r="U147" t="s" s="72">
        <v>122</v>
      </c>
      <c r="V147" s="73">
        <v>21</v>
      </c>
      <c r="W147" s="74">
        <v>5.83</v>
      </c>
      <c r="X147" s="74">
        <v>5.71</v>
      </c>
      <c r="Y147" s="73">
        <v>0</v>
      </c>
      <c r="Z147" s="73">
        <v>0</v>
      </c>
      <c r="AA147" t="s" s="72">
        <v>123</v>
      </c>
      <c r="AB147" t="s" s="72">
        <v>124</v>
      </c>
      <c r="AC147" t="s" s="72">
        <v>124</v>
      </c>
      <c r="AD147" t="s" s="75">
        <v>125</v>
      </c>
      <c r="AE147" s="67"/>
    </row>
    <row r="148" ht="15" customHeight="1">
      <c r="A148" t="s" s="86">
        <v>30</v>
      </c>
      <c r="B148" s="76">
        <v>54</v>
      </c>
      <c r="C148" t="b" s="77">
        <v>0</v>
      </c>
      <c r="D148" t="s" s="85">
        <v>178</v>
      </c>
      <c r="E148" t="s" s="79">
        <v>431</v>
      </c>
      <c r="F148" t="s" s="79">
        <v>193</v>
      </c>
      <c r="G148" s="80">
        <v>14</v>
      </c>
      <c r="H148" t="s" s="79">
        <v>118</v>
      </c>
      <c r="I148" t="s" s="79">
        <v>432</v>
      </c>
      <c r="J148" s="80">
        <v>23</v>
      </c>
      <c r="K148" t="s" s="79">
        <v>316</v>
      </c>
      <c r="L148" t="s" s="79">
        <v>328</v>
      </c>
      <c r="M148" s="78"/>
      <c r="N148" s="78"/>
      <c r="O148" s="78"/>
      <c r="P148" s="80">
        <v>2</v>
      </c>
      <c r="Q148" s="81">
        <v>5.5</v>
      </c>
      <c r="R148" s="81">
        <v>5.25</v>
      </c>
      <c r="S148" s="80">
        <v>0</v>
      </c>
      <c r="T148" s="80">
        <v>0</v>
      </c>
      <c r="U148" t="s" s="79">
        <v>122</v>
      </c>
      <c r="V148" s="80">
        <v>21</v>
      </c>
      <c r="W148" s="81">
        <v>5.88</v>
      </c>
      <c r="X148" s="81">
        <v>5.81</v>
      </c>
      <c r="Y148" s="80">
        <v>1</v>
      </c>
      <c r="Z148" s="80">
        <v>0</v>
      </c>
      <c r="AA148" t="s" s="79">
        <v>123</v>
      </c>
      <c r="AB148" t="s" s="79">
        <v>124</v>
      </c>
      <c r="AC148" t="s" s="79">
        <v>124</v>
      </c>
      <c r="AD148" t="s" s="82">
        <v>125</v>
      </c>
      <c r="AE148" s="67"/>
    </row>
    <row r="149" ht="15" customHeight="1">
      <c r="A149" t="s" s="86">
        <v>30</v>
      </c>
      <c r="B149" s="69">
        <v>54</v>
      </c>
      <c r="C149" t="b" s="70">
        <v>0</v>
      </c>
      <c r="D149" s="71"/>
      <c r="E149" t="s" s="72">
        <v>433</v>
      </c>
      <c r="F149" t="s" s="72">
        <v>144</v>
      </c>
      <c r="G149" s="73">
        <v>18</v>
      </c>
      <c r="H149" t="s" s="72">
        <v>175</v>
      </c>
      <c r="I149" t="s" s="72">
        <v>175</v>
      </c>
      <c r="J149" s="73">
        <v>27</v>
      </c>
      <c r="K149" t="s" s="72">
        <v>128</v>
      </c>
      <c r="L149" t="s" s="72">
        <v>121</v>
      </c>
      <c r="M149" s="71"/>
      <c r="N149" s="71"/>
      <c r="O149" s="71"/>
      <c r="P149" s="73">
        <v>2</v>
      </c>
      <c r="Q149" s="74">
        <v>6</v>
      </c>
      <c r="R149" s="74">
        <v>6</v>
      </c>
      <c r="S149" s="73">
        <v>0</v>
      </c>
      <c r="T149" s="73">
        <v>0</v>
      </c>
      <c r="U149" t="s" s="72">
        <v>122</v>
      </c>
      <c r="V149" s="73">
        <v>28</v>
      </c>
      <c r="W149" s="74">
        <v>5.79</v>
      </c>
      <c r="X149" s="74">
        <v>5.82</v>
      </c>
      <c r="Y149" s="73">
        <v>0</v>
      </c>
      <c r="Z149" s="73">
        <v>2</v>
      </c>
      <c r="AA149" t="s" s="72">
        <v>123</v>
      </c>
      <c r="AB149" t="s" s="72">
        <v>124</v>
      </c>
      <c r="AC149" t="s" s="72">
        <v>124</v>
      </c>
      <c r="AD149" t="s" s="75">
        <v>125</v>
      </c>
      <c r="AE149" s="67"/>
    </row>
    <row r="150" ht="15" customHeight="1">
      <c r="A150" t="s" s="86">
        <v>30</v>
      </c>
      <c r="B150" s="76">
        <v>53.4</v>
      </c>
      <c r="C150" t="b" s="77">
        <v>0</v>
      </c>
      <c r="D150" s="78"/>
      <c r="E150" t="s" s="79">
        <v>434</v>
      </c>
      <c r="F150" t="s" s="79">
        <v>159</v>
      </c>
      <c r="G150" s="80">
        <v>15</v>
      </c>
      <c r="H150" t="s" s="79">
        <v>164</v>
      </c>
      <c r="I150" t="s" s="79">
        <v>164</v>
      </c>
      <c r="J150" s="80">
        <v>35</v>
      </c>
      <c r="K150" t="s" s="79">
        <v>435</v>
      </c>
      <c r="L150" t="s" s="79">
        <v>121</v>
      </c>
      <c r="M150" s="78"/>
      <c r="N150" s="78"/>
      <c r="O150" s="78"/>
      <c r="P150" s="80">
        <v>0</v>
      </c>
      <c r="Q150" s="81">
        <v>0</v>
      </c>
      <c r="R150" s="81">
        <v>0</v>
      </c>
      <c r="S150" s="80">
        <v>0</v>
      </c>
      <c r="T150" s="80">
        <v>0</v>
      </c>
      <c r="U150" t="s" s="79">
        <v>122</v>
      </c>
      <c r="V150" s="80">
        <v>29</v>
      </c>
      <c r="W150" s="81">
        <v>5.97</v>
      </c>
      <c r="X150" s="81">
        <v>6.16</v>
      </c>
      <c r="Y150" s="80">
        <v>3</v>
      </c>
      <c r="Z150" s="80">
        <v>0</v>
      </c>
      <c r="AA150" t="s" s="79">
        <v>123</v>
      </c>
      <c r="AB150" t="s" s="79">
        <v>124</v>
      </c>
      <c r="AC150" t="s" s="79">
        <v>124</v>
      </c>
      <c r="AD150" t="s" s="82">
        <v>125</v>
      </c>
      <c r="AE150" s="67"/>
    </row>
    <row r="151" ht="15" customHeight="1">
      <c r="A151" t="s" s="86">
        <v>30</v>
      </c>
      <c r="B151" s="69">
        <v>52.9</v>
      </c>
      <c r="C151" t="b" s="70">
        <v>0</v>
      </c>
      <c r="D151" s="71"/>
      <c r="E151" t="s" s="72">
        <v>436</v>
      </c>
      <c r="F151" t="s" s="72">
        <v>156</v>
      </c>
      <c r="G151" s="73">
        <v>14</v>
      </c>
      <c r="H151" t="s" s="72">
        <v>118</v>
      </c>
      <c r="I151" t="s" s="72">
        <v>118</v>
      </c>
      <c r="J151" s="73">
        <v>24</v>
      </c>
      <c r="K151" t="s" s="72">
        <v>437</v>
      </c>
      <c r="L151" t="s" s="72">
        <v>121</v>
      </c>
      <c r="M151" s="71"/>
      <c r="N151" s="71"/>
      <c r="O151" s="71"/>
      <c r="P151" s="73">
        <v>3</v>
      </c>
      <c r="Q151" s="74">
        <v>5.17</v>
      </c>
      <c r="R151" s="74">
        <v>5.17</v>
      </c>
      <c r="S151" s="73">
        <v>0</v>
      </c>
      <c r="T151" s="73">
        <v>0</v>
      </c>
      <c r="U151" t="s" s="72">
        <v>122</v>
      </c>
      <c r="V151" s="73">
        <v>31</v>
      </c>
      <c r="W151" s="74">
        <v>5.89</v>
      </c>
      <c r="X151" s="74">
        <v>5.85</v>
      </c>
      <c r="Y151" s="73">
        <v>0</v>
      </c>
      <c r="Z151" s="73">
        <v>1</v>
      </c>
      <c r="AA151" t="s" s="72">
        <v>123</v>
      </c>
      <c r="AB151" t="s" s="72">
        <v>124</v>
      </c>
      <c r="AC151" t="s" s="72">
        <v>124</v>
      </c>
      <c r="AD151" t="s" s="75">
        <v>125</v>
      </c>
      <c r="AE151" s="67"/>
    </row>
    <row r="152" ht="15" customHeight="1">
      <c r="A152" t="s" s="86">
        <v>30</v>
      </c>
      <c r="B152" s="76">
        <v>52.1</v>
      </c>
      <c r="C152" t="b" s="77">
        <v>0</v>
      </c>
      <c r="D152" s="78"/>
      <c r="E152" t="s" s="79">
        <v>438</v>
      </c>
      <c r="F152" t="s" s="79">
        <v>141</v>
      </c>
      <c r="G152" s="80">
        <v>18</v>
      </c>
      <c r="H152" t="s" s="79">
        <v>439</v>
      </c>
      <c r="I152" t="s" s="79">
        <v>439</v>
      </c>
      <c r="J152" s="80">
        <v>26</v>
      </c>
      <c r="K152" t="s" s="79">
        <v>395</v>
      </c>
      <c r="L152" t="s" s="79">
        <v>121</v>
      </c>
      <c r="M152" s="78"/>
      <c r="N152" s="78"/>
      <c r="O152" s="78"/>
      <c r="P152" s="80">
        <v>1</v>
      </c>
      <c r="Q152" s="81">
        <v>5.5</v>
      </c>
      <c r="R152" s="81">
        <v>5.5</v>
      </c>
      <c r="S152" s="80">
        <v>0</v>
      </c>
      <c r="T152" s="80">
        <v>0</v>
      </c>
      <c r="U152" t="s" s="79">
        <v>122</v>
      </c>
      <c r="V152" s="80">
        <v>25</v>
      </c>
      <c r="W152" s="81">
        <v>6.08</v>
      </c>
      <c r="X152" s="81">
        <v>5.96</v>
      </c>
      <c r="Y152" s="80">
        <v>0</v>
      </c>
      <c r="Z152" s="80">
        <v>1</v>
      </c>
      <c r="AA152" t="s" s="79">
        <v>123</v>
      </c>
      <c r="AB152" t="s" s="79">
        <v>124</v>
      </c>
      <c r="AC152" t="s" s="79">
        <v>124</v>
      </c>
      <c r="AD152" t="s" s="82">
        <v>125</v>
      </c>
      <c r="AE152" s="67"/>
    </row>
    <row r="153" ht="15" customHeight="1">
      <c r="A153" t="s" s="86">
        <v>30</v>
      </c>
      <c r="B153" s="69">
        <v>51.8</v>
      </c>
      <c r="C153" t="b" s="70">
        <v>0</v>
      </c>
      <c r="D153" s="71"/>
      <c r="E153" t="s" s="72">
        <v>440</v>
      </c>
      <c r="F153" t="s" s="72">
        <v>147</v>
      </c>
      <c r="G153" s="73">
        <v>14</v>
      </c>
      <c r="H153" t="s" s="72">
        <v>118</v>
      </c>
      <c r="I153" t="s" s="72">
        <v>118</v>
      </c>
      <c r="J153" s="73">
        <v>29</v>
      </c>
      <c r="K153" t="s" s="72">
        <v>325</v>
      </c>
      <c r="L153" t="s" s="72">
        <v>121</v>
      </c>
      <c r="M153" s="71"/>
      <c r="N153" s="71"/>
      <c r="O153" s="71"/>
      <c r="P153" s="73">
        <v>2</v>
      </c>
      <c r="Q153" s="74">
        <v>5.75</v>
      </c>
      <c r="R153" s="74">
        <v>5.5</v>
      </c>
      <c r="S153" s="73">
        <v>0</v>
      </c>
      <c r="T153" s="73">
        <v>0</v>
      </c>
      <c r="U153" t="s" s="72">
        <v>122</v>
      </c>
      <c r="V153" s="73">
        <v>22</v>
      </c>
      <c r="W153" s="74">
        <v>5.8</v>
      </c>
      <c r="X153" s="74">
        <v>5.7</v>
      </c>
      <c r="Y153" s="73">
        <v>0</v>
      </c>
      <c r="Z153" s="73">
        <v>1</v>
      </c>
      <c r="AA153" t="s" s="72">
        <v>123</v>
      </c>
      <c r="AB153" t="s" s="72">
        <v>124</v>
      </c>
      <c r="AC153" t="s" s="72">
        <v>124</v>
      </c>
      <c r="AD153" t="s" s="75">
        <v>125</v>
      </c>
      <c r="AE153" s="67"/>
    </row>
    <row r="154" ht="15" customHeight="1">
      <c r="A154" t="s" s="86">
        <v>30</v>
      </c>
      <c r="B154" s="76">
        <v>51.5</v>
      </c>
      <c r="C154" t="b" s="77">
        <v>0</v>
      </c>
      <c r="D154" t="s" s="85">
        <v>161</v>
      </c>
      <c r="E154" t="s" s="79">
        <v>441</v>
      </c>
      <c r="F154" t="s" s="79">
        <v>147</v>
      </c>
      <c r="G154" s="80">
        <v>14</v>
      </c>
      <c r="H154" t="s" s="79">
        <v>118</v>
      </c>
      <c r="I154" t="s" s="79">
        <v>308</v>
      </c>
      <c r="J154" s="80">
        <v>21</v>
      </c>
      <c r="K154" t="s" s="79">
        <v>267</v>
      </c>
      <c r="L154" t="s" s="79">
        <v>154</v>
      </c>
      <c r="M154" s="78"/>
      <c r="N154" s="78"/>
      <c r="O154" s="78"/>
      <c r="P154" s="80">
        <v>2</v>
      </c>
      <c r="Q154" s="81">
        <v>6.25</v>
      </c>
      <c r="R154" s="81">
        <v>6.25</v>
      </c>
      <c r="S154" s="80">
        <v>0</v>
      </c>
      <c r="T154" s="80">
        <v>0</v>
      </c>
      <c r="U154" t="s" s="79">
        <v>122</v>
      </c>
      <c r="V154" s="80">
        <v>16</v>
      </c>
      <c r="W154" s="81">
        <v>5.78</v>
      </c>
      <c r="X154" s="81">
        <v>5.88</v>
      </c>
      <c r="Y154" s="80">
        <v>1</v>
      </c>
      <c r="Z154" s="80">
        <v>0</v>
      </c>
      <c r="AA154" t="s" s="79">
        <v>123</v>
      </c>
      <c r="AB154" t="s" s="79">
        <v>124</v>
      </c>
      <c r="AC154" t="s" s="79">
        <v>124</v>
      </c>
      <c r="AD154" t="s" s="82">
        <v>125</v>
      </c>
      <c r="AE154" s="67"/>
    </row>
    <row r="155" ht="15" customHeight="1">
      <c r="A155" t="s" s="86">
        <v>30</v>
      </c>
      <c r="B155" s="69">
        <v>50.5</v>
      </c>
      <c r="C155" t="b" s="70">
        <v>0</v>
      </c>
      <c r="D155" s="71"/>
      <c r="E155" t="s" s="72">
        <v>442</v>
      </c>
      <c r="F155" t="s" s="72">
        <v>170</v>
      </c>
      <c r="G155" s="73">
        <v>17</v>
      </c>
      <c r="H155" t="s" s="72">
        <v>443</v>
      </c>
      <c r="I155" t="s" s="72">
        <v>443</v>
      </c>
      <c r="J155" s="73">
        <v>27</v>
      </c>
      <c r="K155" t="s" s="72">
        <v>128</v>
      </c>
      <c r="L155" t="s" s="72">
        <v>154</v>
      </c>
      <c r="M155" s="71"/>
      <c r="N155" s="71"/>
      <c r="O155" s="71"/>
      <c r="P155" s="73">
        <v>1</v>
      </c>
      <c r="Q155" s="74">
        <v>4.5</v>
      </c>
      <c r="R155" s="74">
        <v>4.5</v>
      </c>
      <c r="S155" s="73">
        <v>0</v>
      </c>
      <c r="T155" s="73">
        <v>0</v>
      </c>
      <c r="U155" t="s" s="72">
        <v>122</v>
      </c>
      <c r="V155" s="73">
        <v>31</v>
      </c>
      <c r="W155" s="74">
        <v>5.81</v>
      </c>
      <c r="X155" s="74">
        <v>5.74</v>
      </c>
      <c r="Y155" s="73">
        <v>1</v>
      </c>
      <c r="Z155" s="73">
        <v>0</v>
      </c>
      <c r="AA155" t="s" s="72">
        <v>123</v>
      </c>
      <c r="AB155" t="s" s="72">
        <v>124</v>
      </c>
      <c r="AC155" t="s" s="72">
        <v>124</v>
      </c>
      <c r="AD155" t="s" s="75">
        <v>125</v>
      </c>
      <c r="AE155" s="67"/>
    </row>
    <row r="156" ht="15" customHeight="1">
      <c r="A156" t="s" s="86">
        <v>30</v>
      </c>
      <c r="B156" s="76">
        <v>50.5</v>
      </c>
      <c r="C156" t="b" s="77">
        <v>0</v>
      </c>
      <c r="D156" s="78"/>
      <c r="E156" t="s" s="79">
        <v>444</v>
      </c>
      <c r="F156" t="s" s="79">
        <v>147</v>
      </c>
      <c r="G156" s="80">
        <v>19</v>
      </c>
      <c r="H156" t="s" s="79">
        <v>175</v>
      </c>
      <c r="I156" t="s" s="79">
        <v>445</v>
      </c>
      <c r="J156" s="80">
        <v>26</v>
      </c>
      <c r="K156" t="s" s="79">
        <v>446</v>
      </c>
      <c r="L156" t="s" s="79">
        <v>121</v>
      </c>
      <c r="M156" s="78"/>
      <c r="N156" s="78"/>
      <c r="O156" s="78"/>
      <c r="P156" s="80">
        <v>0</v>
      </c>
      <c r="Q156" s="81">
        <v>0</v>
      </c>
      <c r="R156" s="81">
        <v>0</v>
      </c>
      <c r="S156" s="80">
        <v>0</v>
      </c>
      <c r="T156" s="80">
        <v>0</v>
      </c>
      <c r="U156" t="s" s="79">
        <v>122</v>
      </c>
      <c r="V156" s="78"/>
      <c r="W156" s="78"/>
      <c r="X156" s="78"/>
      <c r="Y156" s="78"/>
      <c r="Z156" s="78"/>
      <c r="AA156" s="78"/>
      <c r="AB156" t="s" s="79">
        <v>124</v>
      </c>
      <c r="AC156" t="s" s="79">
        <v>124</v>
      </c>
      <c r="AD156" t="s" s="82">
        <v>125</v>
      </c>
      <c r="AE156" s="67"/>
    </row>
    <row r="157" ht="15" customHeight="1">
      <c r="A157" t="s" s="86">
        <v>30</v>
      </c>
      <c r="B157" s="69">
        <v>50.3</v>
      </c>
      <c r="C157" t="b" s="70">
        <v>0</v>
      </c>
      <c r="D157" s="71"/>
      <c r="E157" t="s" s="72">
        <v>447</v>
      </c>
      <c r="F157" t="s" s="72">
        <v>138</v>
      </c>
      <c r="G157" s="73">
        <v>18</v>
      </c>
      <c r="H157" t="s" s="72">
        <v>175</v>
      </c>
      <c r="I157" t="s" s="72">
        <v>175</v>
      </c>
      <c r="J157" s="73">
        <v>28</v>
      </c>
      <c r="K157" t="s" s="72">
        <v>128</v>
      </c>
      <c r="L157" t="s" s="72">
        <v>121</v>
      </c>
      <c r="M157" s="71"/>
      <c r="N157" s="71"/>
      <c r="O157" s="71"/>
      <c r="P157" s="73">
        <v>0</v>
      </c>
      <c r="Q157" s="74">
        <v>0</v>
      </c>
      <c r="R157" s="74">
        <v>0</v>
      </c>
      <c r="S157" s="73">
        <v>0</v>
      </c>
      <c r="T157" s="73">
        <v>0</v>
      </c>
      <c r="U157" t="s" s="72">
        <v>122</v>
      </c>
      <c r="V157" s="73">
        <v>16</v>
      </c>
      <c r="W157" s="74">
        <v>5.97</v>
      </c>
      <c r="X157" s="74">
        <v>6.25</v>
      </c>
      <c r="Y157" s="73">
        <v>2</v>
      </c>
      <c r="Z157" s="73">
        <v>0</v>
      </c>
      <c r="AA157" t="s" s="72">
        <v>123</v>
      </c>
      <c r="AB157" t="s" s="72">
        <v>124</v>
      </c>
      <c r="AC157" t="s" s="72">
        <v>124</v>
      </c>
      <c r="AD157" t="s" s="75">
        <v>125</v>
      </c>
      <c r="AE157" s="67"/>
    </row>
    <row r="158" ht="15" customHeight="1">
      <c r="A158" t="s" s="86">
        <v>30</v>
      </c>
      <c r="B158" s="76">
        <v>50</v>
      </c>
      <c r="C158" t="b" s="77">
        <v>0</v>
      </c>
      <c r="D158" s="78"/>
      <c r="E158" t="s" s="79">
        <v>448</v>
      </c>
      <c r="F158" t="s" s="79">
        <v>172</v>
      </c>
      <c r="G158" s="80">
        <v>17</v>
      </c>
      <c r="H158" t="s" s="79">
        <v>175</v>
      </c>
      <c r="I158" t="s" s="79">
        <v>203</v>
      </c>
      <c r="J158" s="80">
        <v>22</v>
      </c>
      <c r="K158" t="s" s="79">
        <v>136</v>
      </c>
      <c r="L158" t="s" s="79">
        <v>154</v>
      </c>
      <c r="M158" s="78"/>
      <c r="N158" s="78"/>
      <c r="O158" s="78"/>
      <c r="P158" s="80">
        <v>1</v>
      </c>
      <c r="Q158" s="81">
        <v>6</v>
      </c>
      <c r="R158" s="81">
        <v>6</v>
      </c>
      <c r="S158" s="80">
        <v>0</v>
      </c>
      <c r="T158" s="80">
        <v>0</v>
      </c>
      <c r="U158" t="s" s="79">
        <v>122</v>
      </c>
      <c r="V158" s="80">
        <v>16</v>
      </c>
      <c r="W158" s="81">
        <v>6.06</v>
      </c>
      <c r="X158" s="81">
        <v>6.41</v>
      </c>
      <c r="Y158" s="80">
        <v>1</v>
      </c>
      <c r="Z158" s="80">
        <v>3</v>
      </c>
      <c r="AA158" t="s" s="79">
        <v>123</v>
      </c>
      <c r="AB158" t="s" s="79">
        <v>124</v>
      </c>
      <c r="AC158" t="s" s="79">
        <v>124</v>
      </c>
      <c r="AD158" t="s" s="82">
        <v>125</v>
      </c>
      <c r="AE158" s="67"/>
    </row>
    <row r="159" ht="15" customHeight="1">
      <c r="A159" t="s" s="86">
        <v>30</v>
      </c>
      <c r="B159" s="69">
        <v>49.2</v>
      </c>
      <c r="C159" t="b" s="70">
        <v>0</v>
      </c>
      <c r="D159" s="71"/>
      <c r="E159" t="s" s="72">
        <v>449</v>
      </c>
      <c r="F159" t="s" s="72">
        <v>153</v>
      </c>
      <c r="G159" s="73">
        <v>20</v>
      </c>
      <c r="H159" t="s" s="72">
        <v>175</v>
      </c>
      <c r="I159" t="s" s="72">
        <v>450</v>
      </c>
      <c r="J159" s="73">
        <v>27</v>
      </c>
      <c r="K159" t="s" s="72">
        <v>128</v>
      </c>
      <c r="L159" t="s" s="72">
        <v>154</v>
      </c>
      <c r="M159" s="71"/>
      <c r="N159" s="71"/>
      <c r="O159" t="s" s="88">
        <v>451</v>
      </c>
      <c r="P159" s="73">
        <v>0</v>
      </c>
      <c r="Q159" s="74">
        <v>0</v>
      </c>
      <c r="R159" s="74">
        <v>0</v>
      </c>
      <c r="S159" s="73">
        <v>0</v>
      </c>
      <c r="T159" s="73">
        <v>0</v>
      </c>
      <c r="U159" t="s" s="72">
        <v>122</v>
      </c>
      <c r="V159" s="73">
        <v>32</v>
      </c>
      <c r="W159" s="74">
        <v>5.84</v>
      </c>
      <c r="X159" s="74">
        <v>5.83</v>
      </c>
      <c r="Y159" s="73">
        <v>0</v>
      </c>
      <c r="Z159" s="73">
        <v>1</v>
      </c>
      <c r="AA159" t="s" s="72">
        <v>123</v>
      </c>
      <c r="AB159" t="s" s="72">
        <v>124</v>
      </c>
      <c r="AC159" t="s" s="72">
        <v>124</v>
      </c>
      <c r="AD159" t="s" s="75">
        <v>125</v>
      </c>
      <c r="AE159" s="67"/>
    </row>
    <row r="160" ht="15" customHeight="1">
      <c r="A160" t="s" s="86">
        <v>30</v>
      </c>
      <c r="B160" s="76">
        <v>49.2</v>
      </c>
      <c r="C160" t="b" s="77">
        <v>0</v>
      </c>
      <c r="D160" s="78"/>
      <c r="E160" t="s" s="79">
        <v>452</v>
      </c>
      <c r="F160" t="s" s="79">
        <v>117</v>
      </c>
      <c r="G160" s="80">
        <v>17</v>
      </c>
      <c r="H160" t="s" s="79">
        <v>453</v>
      </c>
      <c r="I160" t="s" s="79">
        <v>453</v>
      </c>
      <c r="J160" s="80">
        <v>23</v>
      </c>
      <c r="K160" t="s" s="79">
        <v>128</v>
      </c>
      <c r="L160" t="s" s="79">
        <v>121</v>
      </c>
      <c r="M160" s="78"/>
      <c r="N160" s="78"/>
      <c r="O160" s="78"/>
      <c r="P160" s="80">
        <v>1</v>
      </c>
      <c r="Q160" s="81">
        <v>6.5</v>
      </c>
      <c r="R160" s="81">
        <v>6.5</v>
      </c>
      <c r="S160" s="80">
        <v>0</v>
      </c>
      <c r="T160" s="80">
        <v>0</v>
      </c>
      <c r="U160" t="s" s="79">
        <v>122</v>
      </c>
      <c r="V160" s="80">
        <v>21</v>
      </c>
      <c r="W160" s="81">
        <v>5.88</v>
      </c>
      <c r="X160" s="81">
        <v>5.86</v>
      </c>
      <c r="Y160" s="80">
        <v>0</v>
      </c>
      <c r="Z160" s="80">
        <v>0</v>
      </c>
      <c r="AA160" t="s" s="79">
        <v>123</v>
      </c>
      <c r="AB160" t="s" s="79">
        <v>124</v>
      </c>
      <c r="AC160" t="s" s="79">
        <v>124</v>
      </c>
      <c r="AD160" t="s" s="82">
        <v>125</v>
      </c>
      <c r="AE160" s="67"/>
    </row>
    <row r="161" ht="15" customHeight="1">
      <c r="A161" t="s" s="86">
        <v>30</v>
      </c>
      <c r="B161" s="69">
        <v>49.2</v>
      </c>
      <c r="C161" t="b" s="70">
        <v>0</v>
      </c>
      <c r="D161" t="s" s="84">
        <v>191</v>
      </c>
      <c r="E161" t="s" s="72">
        <v>454</v>
      </c>
      <c r="F161" t="s" s="72">
        <v>180</v>
      </c>
      <c r="G161" s="73">
        <v>13</v>
      </c>
      <c r="H161" t="s" s="72">
        <v>118</v>
      </c>
      <c r="I161" t="s" s="72">
        <v>139</v>
      </c>
      <c r="J161" s="73">
        <v>24</v>
      </c>
      <c r="K161" t="s" s="72">
        <v>128</v>
      </c>
      <c r="L161" t="s" s="72">
        <v>154</v>
      </c>
      <c r="M161" s="71"/>
      <c r="N161" s="71"/>
      <c r="O161" s="71"/>
      <c r="P161" s="73">
        <v>2</v>
      </c>
      <c r="Q161" s="74">
        <v>6</v>
      </c>
      <c r="R161" s="74">
        <v>6</v>
      </c>
      <c r="S161" s="73">
        <v>0</v>
      </c>
      <c r="T161" s="73">
        <v>0</v>
      </c>
      <c r="U161" t="s" s="72">
        <v>122</v>
      </c>
      <c r="V161" s="71"/>
      <c r="W161" s="71"/>
      <c r="X161" s="71"/>
      <c r="Y161" s="71"/>
      <c r="Z161" s="71"/>
      <c r="AA161" s="71"/>
      <c r="AB161" t="s" s="72">
        <v>124</v>
      </c>
      <c r="AC161" t="s" s="72">
        <v>124</v>
      </c>
      <c r="AD161" t="s" s="75">
        <v>125</v>
      </c>
      <c r="AE161" s="67"/>
    </row>
    <row r="162" ht="15" customHeight="1">
      <c r="A162" t="s" s="86">
        <v>30</v>
      </c>
      <c r="B162" s="76">
        <v>49.1</v>
      </c>
      <c r="C162" t="b" s="77">
        <v>0</v>
      </c>
      <c r="D162" s="78"/>
      <c r="E162" t="s" s="79">
        <v>455</v>
      </c>
      <c r="F162" t="s" s="79">
        <v>117</v>
      </c>
      <c r="G162" s="80">
        <v>17</v>
      </c>
      <c r="H162" t="s" s="79">
        <v>175</v>
      </c>
      <c r="I162" t="s" s="79">
        <v>456</v>
      </c>
      <c r="J162" s="80">
        <v>23</v>
      </c>
      <c r="K162" t="s" s="79">
        <v>416</v>
      </c>
      <c r="L162" t="s" s="79">
        <v>328</v>
      </c>
      <c r="M162" s="78"/>
      <c r="N162" s="78"/>
      <c r="O162" s="78"/>
      <c r="P162" s="80">
        <v>0</v>
      </c>
      <c r="Q162" s="81">
        <v>0</v>
      </c>
      <c r="R162" s="81">
        <v>0</v>
      </c>
      <c r="S162" s="80">
        <v>0</v>
      </c>
      <c r="T162" s="80">
        <v>0</v>
      </c>
      <c r="U162" t="s" s="79">
        <v>122</v>
      </c>
      <c r="V162" s="80">
        <v>18</v>
      </c>
      <c r="W162" s="81">
        <v>6.11</v>
      </c>
      <c r="X162" s="81">
        <v>6.47</v>
      </c>
      <c r="Y162" s="80">
        <v>1</v>
      </c>
      <c r="Z162" s="80">
        <v>4</v>
      </c>
      <c r="AA162" t="s" s="79">
        <v>123</v>
      </c>
      <c r="AB162" t="s" s="79">
        <v>124</v>
      </c>
      <c r="AC162" t="s" s="79">
        <v>124</v>
      </c>
      <c r="AD162" t="s" s="82">
        <v>125</v>
      </c>
      <c r="AE162" s="67"/>
    </row>
    <row r="163" ht="15" customHeight="1">
      <c r="A163" t="s" s="86">
        <v>30</v>
      </c>
      <c r="B163" s="69">
        <v>48.5</v>
      </c>
      <c r="C163" t="b" s="70">
        <v>0</v>
      </c>
      <c r="D163" s="71"/>
      <c r="E163" t="s" s="72">
        <v>457</v>
      </c>
      <c r="F163" t="s" s="72">
        <v>183</v>
      </c>
      <c r="G163" s="73">
        <v>14</v>
      </c>
      <c r="H163" t="s" s="72">
        <v>164</v>
      </c>
      <c r="I163" t="s" s="72">
        <v>164</v>
      </c>
      <c r="J163" s="73">
        <v>35</v>
      </c>
      <c r="K163" t="s" s="72">
        <v>166</v>
      </c>
      <c r="L163" t="s" s="72">
        <v>154</v>
      </c>
      <c r="M163" s="71"/>
      <c r="N163" s="71"/>
      <c r="O163" s="71"/>
      <c r="P163" s="73">
        <v>0</v>
      </c>
      <c r="Q163" s="74">
        <v>0</v>
      </c>
      <c r="R163" s="74">
        <v>0</v>
      </c>
      <c r="S163" s="73">
        <v>0</v>
      </c>
      <c r="T163" s="73">
        <v>0</v>
      </c>
      <c r="U163" t="s" s="72">
        <v>122</v>
      </c>
      <c r="V163" s="73">
        <v>22</v>
      </c>
      <c r="W163" s="74">
        <v>5.82</v>
      </c>
      <c r="X163" s="74">
        <v>5.59</v>
      </c>
      <c r="Y163" s="73">
        <v>0</v>
      </c>
      <c r="Z163" s="73">
        <v>0</v>
      </c>
      <c r="AA163" t="s" s="72">
        <v>123</v>
      </c>
      <c r="AB163" t="s" s="72">
        <v>124</v>
      </c>
      <c r="AC163" t="s" s="72">
        <v>124</v>
      </c>
      <c r="AD163" t="s" s="75">
        <v>125</v>
      </c>
      <c r="AE163" s="67"/>
    </row>
    <row r="164" ht="15" customHeight="1">
      <c r="A164" t="s" s="86">
        <v>30</v>
      </c>
      <c r="B164" s="76">
        <v>48.2</v>
      </c>
      <c r="C164" t="b" s="77">
        <v>0</v>
      </c>
      <c r="D164" s="78"/>
      <c r="E164" t="s" s="79">
        <v>458</v>
      </c>
      <c r="F164" t="s" s="79">
        <v>130</v>
      </c>
      <c r="G164" s="80">
        <v>16</v>
      </c>
      <c r="H164" t="s" s="79">
        <v>175</v>
      </c>
      <c r="I164" t="s" s="79">
        <v>175</v>
      </c>
      <c r="J164" s="80">
        <v>24</v>
      </c>
      <c r="K164" t="s" s="79">
        <v>399</v>
      </c>
      <c r="L164" t="s" s="79">
        <v>121</v>
      </c>
      <c r="M164" s="78"/>
      <c r="N164" s="78"/>
      <c r="O164" s="78"/>
      <c r="P164" s="80">
        <v>2</v>
      </c>
      <c r="Q164" s="81">
        <v>6.5</v>
      </c>
      <c r="R164" s="81">
        <v>6.5</v>
      </c>
      <c r="S164" s="80">
        <v>0</v>
      </c>
      <c r="T164" s="80">
        <v>0</v>
      </c>
      <c r="U164" t="s" s="79">
        <v>122</v>
      </c>
      <c r="V164" s="80">
        <v>24</v>
      </c>
      <c r="W164" s="81">
        <v>5.71</v>
      </c>
      <c r="X164" s="81">
        <v>5.85</v>
      </c>
      <c r="Y164" s="80">
        <v>1</v>
      </c>
      <c r="Z164" s="80">
        <v>1</v>
      </c>
      <c r="AA164" t="s" s="79">
        <v>123</v>
      </c>
      <c r="AB164" t="s" s="79">
        <v>124</v>
      </c>
      <c r="AC164" t="s" s="79">
        <v>124</v>
      </c>
      <c r="AD164" t="s" s="82">
        <v>125</v>
      </c>
      <c r="AE164" s="67"/>
    </row>
    <row r="165" ht="15" customHeight="1">
      <c r="A165" t="s" s="86">
        <v>30</v>
      </c>
      <c r="B165" s="69">
        <v>48</v>
      </c>
      <c r="C165" t="b" s="70">
        <v>0</v>
      </c>
      <c r="D165" t="s" s="84">
        <v>178</v>
      </c>
      <c r="E165" t="s" s="72">
        <v>459</v>
      </c>
      <c r="F165" t="s" s="72">
        <v>141</v>
      </c>
      <c r="G165" s="73">
        <v>14</v>
      </c>
      <c r="H165" t="s" s="72">
        <v>460</v>
      </c>
      <c r="I165" t="s" s="72">
        <v>461</v>
      </c>
      <c r="J165" s="73">
        <v>23</v>
      </c>
      <c r="K165" t="s" s="72">
        <v>277</v>
      </c>
      <c r="L165" t="s" s="72">
        <v>154</v>
      </c>
      <c r="M165" s="71"/>
      <c r="N165" s="71"/>
      <c r="O165" s="71"/>
      <c r="P165" s="73">
        <v>0</v>
      </c>
      <c r="Q165" s="74">
        <v>0</v>
      </c>
      <c r="R165" s="74">
        <v>0</v>
      </c>
      <c r="S165" s="73">
        <v>0</v>
      </c>
      <c r="T165" s="73">
        <v>0</v>
      </c>
      <c r="U165" t="s" s="72">
        <v>122</v>
      </c>
      <c r="V165" s="71"/>
      <c r="W165" s="71"/>
      <c r="X165" s="71"/>
      <c r="Y165" s="71"/>
      <c r="Z165" s="71"/>
      <c r="AA165" s="71"/>
      <c r="AB165" t="s" s="72">
        <v>124</v>
      </c>
      <c r="AC165" t="s" s="72">
        <v>124</v>
      </c>
      <c r="AD165" t="s" s="75">
        <v>125</v>
      </c>
      <c r="AE165" s="67"/>
    </row>
    <row r="166" ht="15" customHeight="1">
      <c r="A166" t="s" s="86">
        <v>30</v>
      </c>
      <c r="B166" s="76">
        <v>47.4</v>
      </c>
      <c r="C166" t="b" s="77">
        <v>0</v>
      </c>
      <c r="D166" s="78"/>
      <c r="E166" t="s" s="79">
        <v>462</v>
      </c>
      <c r="F166" t="s" s="79">
        <v>170</v>
      </c>
      <c r="G166" s="80">
        <v>16</v>
      </c>
      <c r="H166" t="s" s="79">
        <v>463</v>
      </c>
      <c r="I166" t="s" s="79">
        <v>463</v>
      </c>
      <c r="J166" s="80">
        <v>28</v>
      </c>
      <c r="K166" t="s" s="79">
        <v>464</v>
      </c>
      <c r="L166" t="s" s="79">
        <v>121</v>
      </c>
      <c r="M166" s="78"/>
      <c r="N166" s="78"/>
      <c r="O166" s="78"/>
      <c r="P166" s="80">
        <v>1</v>
      </c>
      <c r="Q166" s="81">
        <v>5</v>
      </c>
      <c r="R166" s="81">
        <v>5</v>
      </c>
      <c r="S166" s="80">
        <v>0</v>
      </c>
      <c r="T166" s="80">
        <v>0</v>
      </c>
      <c r="U166" t="s" s="79">
        <v>122</v>
      </c>
      <c r="V166" s="80">
        <v>35</v>
      </c>
      <c r="W166" s="81">
        <v>5.89</v>
      </c>
      <c r="X166" s="81">
        <v>5.71</v>
      </c>
      <c r="Y166" s="80">
        <v>0</v>
      </c>
      <c r="Z166" s="80">
        <v>0</v>
      </c>
      <c r="AA166" t="s" s="79">
        <v>123</v>
      </c>
      <c r="AB166" t="s" s="79">
        <v>124</v>
      </c>
      <c r="AC166" t="s" s="79">
        <v>124</v>
      </c>
      <c r="AD166" t="s" s="82">
        <v>125</v>
      </c>
      <c r="AE166" s="67"/>
    </row>
    <row r="167" ht="15" customHeight="1">
      <c r="A167" t="s" s="86">
        <v>30</v>
      </c>
      <c r="B167" s="69">
        <v>47.4</v>
      </c>
      <c r="C167" t="b" s="70">
        <v>0</v>
      </c>
      <c r="D167" s="71"/>
      <c r="E167" t="s" s="72">
        <v>465</v>
      </c>
      <c r="F167" t="s" s="72">
        <v>127</v>
      </c>
      <c r="G167" s="73">
        <v>16</v>
      </c>
      <c r="H167" t="s" s="72">
        <v>175</v>
      </c>
      <c r="I167" t="s" s="72">
        <v>175</v>
      </c>
      <c r="J167" s="73">
        <v>25</v>
      </c>
      <c r="K167" t="s" s="72">
        <v>466</v>
      </c>
      <c r="L167" t="s" s="72">
        <v>121</v>
      </c>
      <c r="M167" s="71"/>
      <c r="N167" s="71"/>
      <c r="O167" s="71"/>
      <c r="P167" s="73">
        <v>2</v>
      </c>
      <c r="Q167" s="74">
        <v>5.75</v>
      </c>
      <c r="R167" s="74">
        <v>5.75</v>
      </c>
      <c r="S167" s="73">
        <v>0</v>
      </c>
      <c r="T167" s="73">
        <v>0</v>
      </c>
      <c r="U167" t="s" s="72">
        <v>122</v>
      </c>
      <c r="V167" s="73">
        <v>17</v>
      </c>
      <c r="W167" s="74">
        <v>5.79</v>
      </c>
      <c r="X167" s="74">
        <v>5.94</v>
      </c>
      <c r="Y167" s="73">
        <v>1</v>
      </c>
      <c r="Z167" s="73">
        <v>0</v>
      </c>
      <c r="AA167" t="s" s="72">
        <v>123</v>
      </c>
      <c r="AB167" t="s" s="72">
        <v>124</v>
      </c>
      <c r="AC167" t="s" s="72">
        <v>124</v>
      </c>
      <c r="AD167" t="s" s="75">
        <v>125</v>
      </c>
      <c r="AE167" s="67"/>
    </row>
    <row r="168" ht="15" customHeight="1">
      <c r="A168" t="s" s="86">
        <v>30</v>
      </c>
      <c r="B168" s="76">
        <v>47.2</v>
      </c>
      <c r="C168" t="b" s="77">
        <v>0</v>
      </c>
      <c r="D168" t="s" s="85">
        <v>161</v>
      </c>
      <c r="E168" t="s" s="79">
        <v>467</v>
      </c>
      <c r="F168" t="s" s="79">
        <v>187</v>
      </c>
      <c r="G168" s="80">
        <v>13</v>
      </c>
      <c r="H168" t="s" s="79">
        <v>118</v>
      </c>
      <c r="I168" t="s" s="79">
        <v>468</v>
      </c>
      <c r="J168" s="80">
        <v>28</v>
      </c>
      <c r="K168" t="s" s="79">
        <v>325</v>
      </c>
      <c r="L168" t="s" s="79">
        <v>154</v>
      </c>
      <c r="M168" s="78"/>
      <c r="N168" s="78"/>
      <c r="O168" s="78"/>
      <c r="P168" s="80">
        <v>2</v>
      </c>
      <c r="Q168" s="81">
        <v>6</v>
      </c>
      <c r="R168" s="81">
        <v>6.5</v>
      </c>
      <c r="S168" s="80">
        <v>0</v>
      </c>
      <c r="T168" s="80">
        <v>1</v>
      </c>
      <c r="U168" t="s" s="79">
        <v>122</v>
      </c>
      <c r="V168" s="78"/>
      <c r="W168" s="78"/>
      <c r="X168" s="78"/>
      <c r="Y168" s="78"/>
      <c r="Z168" s="78"/>
      <c r="AA168" s="78"/>
      <c r="AB168" t="s" s="79">
        <v>124</v>
      </c>
      <c r="AC168" t="s" s="79">
        <v>124</v>
      </c>
      <c r="AD168" t="s" s="82">
        <v>125</v>
      </c>
      <c r="AE168" s="67"/>
    </row>
    <row r="169" ht="15" customHeight="1">
      <c r="A169" t="s" s="86">
        <v>30</v>
      </c>
      <c r="B169" s="69">
        <v>47.2</v>
      </c>
      <c r="C169" t="b" s="70">
        <v>0</v>
      </c>
      <c r="D169" t="s" s="84">
        <v>161</v>
      </c>
      <c r="E169" t="s" s="72">
        <v>469</v>
      </c>
      <c r="F169" t="s" s="72">
        <v>183</v>
      </c>
      <c r="G169" s="73">
        <v>13</v>
      </c>
      <c r="H169" t="s" s="72">
        <v>470</v>
      </c>
      <c r="I169" t="s" s="72">
        <v>471</v>
      </c>
      <c r="J169" s="73">
        <v>27</v>
      </c>
      <c r="K169" t="s" s="72">
        <v>325</v>
      </c>
      <c r="L169" t="s" s="72">
        <v>121</v>
      </c>
      <c r="M169" s="71"/>
      <c r="N169" s="71"/>
      <c r="O169" s="71"/>
      <c r="P169" s="73">
        <v>2</v>
      </c>
      <c r="Q169" s="74">
        <v>5.75</v>
      </c>
      <c r="R169" s="74">
        <v>5.75</v>
      </c>
      <c r="S169" s="73">
        <v>0</v>
      </c>
      <c r="T169" s="73">
        <v>0</v>
      </c>
      <c r="U169" t="s" s="72">
        <v>122</v>
      </c>
      <c r="V169" s="71"/>
      <c r="W169" s="71"/>
      <c r="X169" s="71"/>
      <c r="Y169" s="71"/>
      <c r="Z169" s="71"/>
      <c r="AA169" s="71"/>
      <c r="AB169" t="s" s="72">
        <v>124</v>
      </c>
      <c r="AC169" t="s" s="72">
        <v>124</v>
      </c>
      <c r="AD169" t="s" s="75">
        <v>125</v>
      </c>
      <c r="AE169" s="67"/>
    </row>
    <row r="170" ht="15" customHeight="1">
      <c r="A170" t="s" s="86">
        <v>30</v>
      </c>
      <c r="B170" s="76">
        <v>46.3</v>
      </c>
      <c r="C170" t="b" s="77">
        <v>0</v>
      </c>
      <c r="D170" t="s" s="85">
        <v>191</v>
      </c>
      <c r="E170" t="s" s="79">
        <v>472</v>
      </c>
      <c r="F170" t="s" s="79">
        <v>187</v>
      </c>
      <c r="G170" s="80">
        <v>12</v>
      </c>
      <c r="H170" t="s" s="79">
        <v>118</v>
      </c>
      <c r="I170" t="s" s="79">
        <v>139</v>
      </c>
      <c r="J170" s="80">
        <v>27</v>
      </c>
      <c r="K170" t="s" s="79">
        <v>128</v>
      </c>
      <c r="L170" t="s" s="79">
        <v>121</v>
      </c>
      <c r="M170" s="78"/>
      <c r="N170" s="78"/>
      <c r="O170" s="78"/>
      <c r="P170" s="80">
        <v>2</v>
      </c>
      <c r="Q170" s="81">
        <v>5.75</v>
      </c>
      <c r="R170" s="81">
        <v>5.75</v>
      </c>
      <c r="S170" s="80">
        <v>0</v>
      </c>
      <c r="T170" s="80">
        <v>0</v>
      </c>
      <c r="U170" t="s" s="79">
        <v>122</v>
      </c>
      <c r="V170" s="78"/>
      <c r="W170" s="78"/>
      <c r="X170" s="78"/>
      <c r="Y170" s="78"/>
      <c r="Z170" s="78"/>
      <c r="AA170" s="78"/>
      <c r="AB170" t="s" s="79">
        <v>124</v>
      </c>
      <c r="AC170" t="s" s="79">
        <v>124</v>
      </c>
      <c r="AD170" t="s" s="82">
        <v>125</v>
      </c>
      <c r="AE170" s="67"/>
    </row>
    <row r="171" ht="15" customHeight="1">
      <c r="A171" t="s" s="86">
        <v>30</v>
      </c>
      <c r="B171" s="69">
        <v>46.2</v>
      </c>
      <c r="C171" t="b" s="70">
        <v>0</v>
      </c>
      <c r="D171" s="71"/>
      <c r="E171" t="s" s="72">
        <v>473</v>
      </c>
      <c r="F171" t="s" s="72">
        <v>153</v>
      </c>
      <c r="G171" s="73">
        <v>16</v>
      </c>
      <c r="H171" t="s" s="72">
        <v>175</v>
      </c>
      <c r="I171" t="s" s="72">
        <v>175</v>
      </c>
      <c r="J171" s="73">
        <v>28</v>
      </c>
      <c r="K171" t="s" s="72">
        <v>474</v>
      </c>
      <c r="L171" t="s" s="72">
        <v>154</v>
      </c>
      <c r="M171" s="71"/>
      <c r="N171" s="71"/>
      <c r="O171" s="71"/>
      <c r="P171" s="73">
        <v>1</v>
      </c>
      <c r="Q171" s="74">
        <v>4.5</v>
      </c>
      <c r="R171" s="74">
        <v>4.5</v>
      </c>
      <c r="S171" s="73">
        <v>0</v>
      </c>
      <c r="T171" s="73">
        <v>0</v>
      </c>
      <c r="U171" t="s" s="72">
        <v>122</v>
      </c>
      <c r="V171" s="73">
        <v>24</v>
      </c>
      <c r="W171" s="74">
        <v>5.79</v>
      </c>
      <c r="X171" s="74">
        <v>5.73</v>
      </c>
      <c r="Y171" s="73">
        <v>0</v>
      </c>
      <c r="Z171" s="73">
        <v>0</v>
      </c>
      <c r="AA171" t="s" s="72">
        <v>123</v>
      </c>
      <c r="AB171" t="s" s="72">
        <v>124</v>
      </c>
      <c r="AC171" t="s" s="72">
        <v>124</v>
      </c>
      <c r="AD171" t="s" s="75">
        <v>125</v>
      </c>
      <c r="AE171" s="67"/>
    </row>
    <row r="172" ht="15" customHeight="1">
      <c r="A172" t="s" s="86">
        <v>30</v>
      </c>
      <c r="B172" s="76">
        <v>46</v>
      </c>
      <c r="C172" t="b" s="77">
        <v>0</v>
      </c>
      <c r="D172" s="78"/>
      <c r="E172" t="s" s="79">
        <v>475</v>
      </c>
      <c r="F172" t="s" s="79">
        <v>156</v>
      </c>
      <c r="G172" s="80">
        <v>14</v>
      </c>
      <c r="H172" t="s" s="79">
        <v>164</v>
      </c>
      <c r="I172" t="s" s="79">
        <v>401</v>
      </c>
      <c r="J172" s="80">
        <v>24</v>
      </c>
      <c r="K172" t="s" s="79">
        <v>476</v>
      </c>
      <c r="L172" t="s" s="79">
        <v>121</v>
      </c>
      <c r="M172" s="78"/>
      <c r="N172" s="78"/>
      <c r="O172" s="78"/>
      <c r="P172" s="80">
        <v>0</v>
      </c>
      <c r="Q172" s="81">
        <v>0</v>
      </c>
      <c r="R172" s="81">
        <v>0</v>
      </c>
      <c r="S172" s="80">
        <v>0</v>
      </c>
      <c r="T172" s="80">
        <v>0</v>
      </c>
      <c r="U172" t="s" s="79">
        <v>122</v>
      </c>
      <c r="V172" s="78"/>
      <c r="W172" s="78"/>
      <c r="X172" s="78"/>
      <c r="Y172" s="78"/>
      <c r="Z172" s="78"/>
      <c r="AA172" s="78"/>
      <c r="AB172" t="s" s="79">
        <v>124</v>
      </c>
      <c r="AC172" t="s" s="79">
        <v>124</v>
      </c>
      <c r="AD172" t="s" s="82">
        <v>125</v>
      </c>
      <c r="AE172" s="67"/>
    </row>
    <row r="173" ht="15" customHeight="1">
      <c r="A173" t="s" s="86">
        <v>30</v>
      </c>
      <c r="B173" s="69">
        <v>45.5</v>
      </c>
      <c r="C173" t="b" s="70">
        <v>0</v>
      </c>
      <c r="D173" s="71"/>
      <c r="E173" t="s" s="72">
        <v>477</v>
      </c>
      <c r="F173" t="s" s="72">
        <v>153</v>
      </c>
      <c r="G173" s="73">
        <v>16</v>
      </c>
      <c r="H173" t="s" s="72">
        <v>478</v>
      </c>
      <c r="I173" t="s" s="72">
        <v>478</v>
      </c>
      <c r="J173" s="73">
        <v>27</v>
      </c>
      <c r="K173" t="s" s="72">
        <v>157</v>
      </c>
      <c r="L173" t="s" s="72">
        <v>121</v>
      </c>
      <c r="M173" s="71"/>
      <c r="N173" s="71"/>
      <c r="O173" s="71"/>
      <c r="P173" s="73">
        <v>0</v>
      </c>
      <c r="Q173" s="74">
        <v>0</v>
      </c>
      <c r="R173" s="74">
        <v>0</v>
      </c>
      <c r="S173" s="73">
        <v>0</v>
      </c>
      <c r="T173" s="73">
        <v>0</v>
      </c>
      <c r="U173" t="s" s="72">
        <v>122</v>
      </c>
      <c r="V173" s="73">
        <v>22</v>
      </c>
      <c r="W173" s="74">
        <v>5.89</v>
      </c>
      <c r="X173" s="74">
        <v>6.11</v>
      </c>
      <c r="Y173" s="73">
        <v>2</v>
      </c>
      <c r="Z173" s="73">
        <v>0</v>
      </c>
      <c r="AA173" t="s" s="72">
        <v>123</v>
      </c>
      <c r="AB173" t="s" s="72">
        <v>124</v>
      </c>
      <c r="AC173" t="s" s="72">
        <v>124</v>
      </c>
      <c r="AD173" t="s" s="75">
        <v>125</v>
      </c>
      <c r="AE173" s="67"/>
    </row>
    <row r="174" ht="15" customHeight="1">
      <c r="A174" t="s" s="86">
        <v>30</v>
      </c>
      <c r="B174" s="76">
        <v>45.3</v>
      </c>
      <c r="C174" t="b" s="77">
        <v>0</v>
      </c>
      <c r="D174" s="78"/>
      <c r="E174" t="s" s="79">
        <v>479</v>
      </c>
      <c r="F174" t="s" s="79">
        <v>144</v>
      </c>
      <c r="G174" s="80">
        <v>12</v>
      </c>
      <c r="H174" t="s" s="79">
        <v>118</v>
      </c>
      <c r="I174" t="s" s="79">
        <v>118</v>
      </c>
      <c r="J174" s="80">
        <v>27</v>
      </c>
      <c r="K174" t="s" s="79">
        <v>313</v>
      </c>
      <c r="L174" t="s" s="79">
        <v>154</v>
      </c>
      <c r="M174" s="78"/>
      <c r="N174" s="78"/>
      <c r="O174" s="78"/>
      <c r="P174" s="80">
        <v>2</v>
      </c>
      <c r="Q174" s="81">
        <v>5.5</v>
      </c>
      <c r="R174" s="81">
        <v>5.25</v>
      </c>
      <c r="S174" s="80">
        <v>0</v>
      </c>
      <c r="T174" s="80">
        <v>0</v>
      </c>
      <c r="U174" t="s" s="79">
        <v>122</v>
      </c>
      <c r="V174" s="80">
        <v>25</v>
      </c>
      <c r="W174" s="81">
        <v>5.86</v>
      </c>
      <c r="X174" s="81">
        <v>5.82</v>
      </c>
      <c r="Y174" s="80">
        <v>0</v>
      </c>
      <c r="Z174" s="80">
        <v>0</v>
      </c>
      <c r="AA174" t="s" s="79">
        <v>123</v>
      </c>
      <c r="AB174" t="s" s="79">
        <v>124</v>
      </c>
      <c r="AC174" t="s" s="79">
        <v>124</v>
      </c>
      <c r="AD174" t="s" s="82">
        <v>125</v>
      </c>
      <c r="AE174" s="67"/>
    </row>
    <row r="175" ht="15" customHeight="1">
      <c r="A175" t="s" s="86">
        <v>30</v>
      </c>
      <c r="B175" s="69">
        <v>45.1</v>
      </c>
      <c r="C175" t="b" s="70">
        <v>0</v>
      </c>
      <c r="D175" s="71"/>
      <c r="E175" t="s" s="72">
        <v>480</v>
      </c>
      <c r="F175" t="s" s="72">
        <v>170</v>
      </c>
      <c r="G175" s="73">
        <v>19</v>
      </c>
      <c r="H175" t="s" s="72">
        <v>175</v>
      </c>
      <c r="I175" t="s" s="72">
        <v>450</v>
      </c>
      <c r="J175" s="73">
        <v>25</v>
      </c>
      <c r="K175" t="s" s="72">
        <v>128</v>
      </c>
      <c r="L175" t="s" s="72">
        <v>154</v>
      </c>
      <c r="M175" s="71"/>
      <c r="N175" s="71"/>
      <c r="O175" t="s" s="88">
        <v>481</v>
      </c>
      <c r="P175" s="73">
        <v>0</v>
      </c>
      <c r="Q175" s="74">
        <v>0</v>
      </c>
      <c r="R175" s="74">
        <v>0</v>
      </c>
      <c r="S175" s="73">
        <v>0</v>
      </c>
      <c r="T175" s="73">
        <v>0</v>
      </c>
      <c r="U175" t="s" s="72">
        <v>122</v>
      </c>
      <c r="V175" s="73">
        <v>23</v>
      </c>
      <c r="W175" s="74">
        <v>6.11</v>
      </c>
      <c r="X175" s="74">
        <v>6.07</v>
      </c>
      <c r="Y175" s="73">
        <v>1</v>
      </c>
      <c r="Z175" s="73">
        <v>1</v>
      </c>
      <c r="AA175" t="s" s="72">
        <v>123</v>
      </c>
      <c r="AB175" t="s" s="72">
        <v>124</v>
      </c>
      <c r="AC175" t="s" s="72">
        <v>124</v>
      </c>
      <c r="AD175" t="s" s="75">
        <v>125</v>
      </c>
      <c r="AE175" s="67"/>
    </row>
    <row r="176" ht="15" customHeight="1">
      <c r="A176" t="s" s="86">
        <v>30</v>
      </c>
      <c r="B176" s="76">
        <v>44.5</v>
      </c>
      <c r="C176" t="b" s="77">
        <v>0</v>
      </c>
      <c r="D176" s="78"/>
      <c r="E176" t="s" s="79">
        <v>482</v>
      </c>
      <c r="F176" t="s" s="79">
        <v>172</v>
      </c>
      <c r="G176" s="80">
        <v>13</v>
      </c>
      <c r="H176" t="s" s="79">
        <v>164</v>
      </c>
      <c r="I176" t="s" s="79">
        <v>164</v>
      </c>
      <c r="J176" s="80">
        <v>24</v>
      </c>
      <c r="K176" t="s" s="79">
        <v>399</v>
      </c>
      <c r="L176" t="s" s="79">
        <v>121</v>
      </c>
      <c r="M176" s="78"/>
      <c r="N176" s="78"/>
      <c r="O176" s="78"/>
      <c r="P176" s="80">
        <v>0</v>
      </c>
      <c r="Q176" s="81">
        <v>0</v>
      </c>
      <c r="R176" s="81">
        <v>0</v>
      </c>
      <c r="S176" s="80">
        <v>0</v>
      </c>
      <c r="T176" s="80">
        <v>0</v>
      </c>
      <c r="U176" t="s" s="79">
        <v>122</v>
      </c>
      <c r="V176" s="80">
        <v>14</v>
      </c>
      <c r="W176" s="81">
        <v>5.96</v>
      </c>
      <c r="X176" s="81">
        <v>5.96</v>
      </c>
      <c r="Y176" s="80">
        <v>0</v>
      </c>
      <c r="Z176" s="80">
        <v>1</v>
      </c>
      <c r="AA176" t="s" s="79">
        <v>123</v>
      </c>
      <c r="AB176" t="s" s="79">
        <v>124</v>
      </c>
      <c r="AC176" t="s" s="79">
        <v>124</v>
      </c>
      <c r="AD176" t="s" s="82">
        <v>125</v>
      </c>
      <c r="AE176" s="67"/>
    </row>
    <row r="177" ht="15" customHeight="1">
      <c r="A177" t="s" s="87">
        <v>32</v>
      </c>
      <c r="B177" s="69">
        <v>43.8</v>
      </c>
      <c r="C177" t="b" s="70">
        <v>0</v>
      </c>
      <c r="D177" s="71"/>
      <c r="E177" t="s" s="72">
        <v>483</v>
      </c>
      <c r="F177" t="s" s="72">
        <v>172</v>
      </c>
      <c r="G177" s="73">
        <v>11</v>
      </c>
      <c r="H177" t="s" s="72">
        <v>118</v>
      </c>
      <c r="I177" t="s" s="72">
        <v>118</v>
      </c>
      <c r="J177" s="73">
        <v>24</v>
      </c>
      <c r="K177" t="s" s="72">
        <v>484</v>
      </c>
      <c r="L177" t="s" s="72">
        <v>154</v>
      </c>
      <c r="M177" s="71"/>
      <c r="N177" s="71"/>
      <c r="O177" s="71"/>
      <c r="P177" s="73">
        <v>2</v>
      </c>
      <c r="Q177" s="74">
        <v>6</v>
      </c>
      <c r="R177" s="74">
        <v>6</v>
      </c>
      <c r="S177" s="73">
        <v>0</v>
      </c>
      <c r="T177" s="73">
        <v>0</v>
      </c>
      <c r="U177" t="s" s="72">
        <v>122</v>
      </c>
      <c r="V177" s="73">
        <v>27</v>
      </c>
      <c r="W177" s="74">
        <v>5.81</v>
      </c>
      <c r="X177" s="74">
        <v>5.72</v>
      </c>
      <c r="Y177" s="73">
        <v>0</v>
      </c>
      <c r="Z177" s="73">
        <v>0</v>
      </c>
      <c r="AA177" t="s" s="72">
        <v>123</v>
      </c>
      <c r="AB177" t="s" s="72">
        <v>124</v>
      </c>
      <c r="AC177" t="s" s="72">
        <v>124</v>
      </c>
      <c r="AD177" t="s" s="75">
        <v>125</v>
      </c>
      <c r="AE177" s="67"/>
    </row>
    <row r="178" ht="15" customHeight="1">
      <c r="A178" t="s" s="87">
        <v>32</v>
      </c>
      <c r="B178" s="76">
        <v>43.7</v>
      </c>
      <c r="C178" t="b" s="77">
        <v>0</v>
      </c>
      <c r="D178" t="s" s="85">
        <v>161</v>
      </c>
      <c r="E178" t="s" s="79">
        <v>485</v>
      </c>
      <c r="F178" t="s" s="79">
        <v>170</v>
      </c>
      <c r="G178" s="80">
        <v>13</v>
      </c>
      <c r="H178" t="s" s="79">
        <v>164</v>
      </c>
      <c r="I178" t="s" s="79">
        <v>486</v>
      </c>
      <c r="J178" s="80">
        <v>21</v>
      </c>
      <c r="K178" t="s" s="79">
        <v>277</v>
      </c>
      <c r="L178" t="s" s="79">
        <v>154</v>
      </c>
      <c r="M178" s="78"/>
      <c r="N178" s="78"/>
      <c r="O178" s="78"/>
      <c r="P178" s="80">
        <v>1</v>
      </c>
      <c r="Q178" s="81">
        <v>5.5</v>
      </c>
      <c r="R178" s="81">
        <v>5.5</v>
      </c>
      <c r="S178" s="80">
        <v>0</v>
      </c>
      <c r="T178" s="80">
        <v>0</v>
      </c>
      <c r="U178" t="s" s="79">
        <v>122</v>
      </c>
      <c r="V178" s="78"/>
      <c r="W178" s="78"/>
      <c r="X178" s="78"/>
      <c r="Y178" s="78"/>
      <c r="Z178" s="78"/>
      <c r="AA178" s="78"/>
      <c r="AB178" t="s" s="79">
        <v>124</v>
      </c>
      <c r="AC178" t="s" s="79">
        <v>124</v>
      </c>
      <c r="AD178" t="s" s="82">
        <v>125</v>
      </c>
      <c r="AE178" s="67"/>
    </row>
    <row r="179" ht="15" customHeight="1">
      <c r="A179" t="s" s="87">
        <v>32</v>
      </c>
      <c r="B179" s="69">
        <v>42.8</v>
      </c>
      <c r="C179" t="b" s="70">
        <v>0</v>
      </c>
      <c r="D179" t="s" s="84">
        <v>161</v>
      </c>
      <c r="E179" t="s" s="72">
        <v>487</v>
      </c>
      <c r="F179" t="s" s="72">
        <v>163</v>
      </c>
      <c r="G179" s="73">
        <v>11</v>
      </c>
      <c r="H179" t="s" s="72">
        <v>118</v>
      </c>
      <c r="I179" t="s" s="72">
        <v>308</v>
      </c>
      <c r="J179" s="73">
        <v>20</v>
      </c>
      <c r="K179" t="s" s="72">
        <v>128</v>
      </c>
      <c r="L179" t="s" s="72">
        <v>121</v>
      </c>
      <c r="M179" s="71"/>
      <c r="N179" s="71"/>
      <c r="O179" s="71"/>
      <c r="P179" s="73">
        <v>2</v>
      </c>
      <c r="Q179" s="74">
        <v>6</v>
      </c>
      <c r="R179" s="74">
        <v>6</v>
      </c>
      <c r="S179" s="73">
        <v>0</v>
      </c>
      <c r="T179" s="73">
        <v>0</v>
      </c>
      <c r="U179" t="s" s="72">
        <v>122</v>
      </c>
      <c r="V179" s="73">
        <v>12</v>
      </c>
      <c r="W179" s="74">
        <v>5.88</v>
      </c>
      <c r="X179" s="74">
        <v>5.88</v>
      </c>
      <c r="Y179" s="73">
        <v>0</v>
      </c>
      <c r="Z179" s="73">
        <v>0</v>
      </c>
      <c r="AA179" t="s" s="72">
        <v>123</v>
      </c>
      <c r="AB179" t="s" s="72">
        <v>124</v>
      </c>
      <c r="AC179" t="s" s="72">
        <v>124</v>
      </c>
      <c r="AD179" t="s" s="75">
        <v>125</v>
      </c>
      <c r="AE179" s="67"/>
    </row>
    <row r="180" ht="15" customHeight="1">
      <c r="A180" t="s" s="87">
        <v>32</v>
      </c>
      <c r="B180" s="76">
        <v>42.6</v>
      </c>
      <c r="C180" t="b" s="77">
        <v>0</v>
      </c>
      <c r="D180" t="s" s="85">
        <v>161</v>
      </c>
      <c r="E180" t="s" s="79">
        <v>488</v>
      </c>
      <c r="F180" t="s" s="79">
        <v>187</v>
      </c>
      <c r="G180" s="80">
        <v>11</v>
      </c>
      <c r="H180" t="s" s="79">
        <v>118</v>
      </c>
      <c r="I180" t="s" s="79">
        <v>468</v>
      </c>
      <c r="J180" s="80">
        <v>25</v>
      </c>
      <c r="K180" t="s" s="79">
        <v>128</v>
      </c>
      <c r="L180" t="s" s="79">
        <v>154</v>
      </c>
      <c r="M180" s="78"/>
      <c r="N180" s="78"/>
      <c r="O180" s="78"/>
      <c r="P180" s="80">
        <v>2</v>
      </c>
      <c r="Q180" s="81">
        <v>5.5</v>
      </c>
      <c r="R180" s="81">
        <v>5.5</v>
      </c>
      <c r="S180" s="80">
        <v>0</v>
      </c>
      <c r="T180" s="80">
        <v>0</v>
      </c>
      <c r="U180" t="s" s="79">
        <v>122</v>
      </c>
      <c r="V180" s="78"/>
      <c r="W180" s="78"/>
      <c r="X180" s="78"/>
      <c r="Y180" s="78"/>
      <c r="Z180" s="78"/>
      <c r="AA180" s="78"/>
      <c r="AB180" t="s" s="79">
        <v>124</v>
      </c>
      <c r="AC180" t="s" s="79">
        <v>124</v>
      </c>
      <c r="AD180" t="s" s="82">
        <v>125</v>
      </c>
      <c r="AE180" s="67"/>
    </row>
    <row r="181" ht="15" customHeight="1">
      <c r="A181" t="s" s="87">
        <v>32</v>
      </c>
      <c r="B181" s="69">
        <v>42.2</v>
      </c>
      <c r="C181" t="b" s="70">
        <v>0</v>
      </c>
      <c r="D181" t="s" s="84">
        <v>161</v>
      </c>
      <c r="E181" t="s" s="72">
        <v>489</v>
      </c>
      <c r="F181" t="s" s="72">
        <v>117</v>
      </c>
      <c r="G181" s="73">
        <v>15</v>
      </c>
      <c r="H181" t="s" s="72">
        <v>175</v>
      </c>
      <c r="I181" t="s" s="72">
        <v>490</v>
      </c>
      <c r="J181" s="73">
        <v>22</v>
      </c>
      <c r="K181" t="s" s="72">
        <v>151</v>
      </c>
      <c r="L181" t="s" s="72">
        <v>154</v>
      </c>
      <c r="M181" s="71"/>
      <c r="N181" s="71"/>
      <c r="O181" s="71"/>
      <c r="P181" s="73">
        <v>1</v>
      </c>
      <c r="Q181" s="74">
        <v>6</v>
      </c>
      <c r="R181" s="74">
        <v>6</v>
      </c>
      <c r="S181" s="73">
        <v>0</v>
      </c>
      <c r="T181" s="73">
        <v>0</v>
      </c>
      <c r="U181" t="s" s="72">
        <v>122</v>
      </c>
      <c r="V181" s="71"/>
      <c r="W181" s="71"/>
      <c r="X181" s="71"/>
      <c r="Y181" s="71"/>
      <c r="Z181" s="71"/>
      <c r="AA181" s="71"/>
      <c r="AB181" t="s" s="72">
        <v>124</v>
      </c>
      <c r="AC181" t="s" s="72">
        <v>124</v>
      </c>
      <c r="AD181" t="s" s="75">
        <v>125</v>
      </c>
      <c r="AE181" s="67"/>
    </row>
    <row r="182" ht="15" customHeight="1">
      <c r="A182" t="s" s="87">
        <v>32</v>
      </c>
      <c r="B182" s="76">
        <v>41.8</v>
      </c>
      <c r="C182" t="b" s="77">
        <v>0</v>
      </c>
      <c r="D182" s="78"/>
      <c r="E182" t="s" s="79">
        <v>491</v>
      </c>
      <c r="F182" t="s" s="79">
        <v>172</v>
      </c>
      <c r="G182" s="80">
        <v>16</v>
      </c>
      <c r="H182" t="s" s="79">
        <v>175</v>
      </c>
      <c r="I182" t="s" s="79">
        <v>445</v>
      </c>
      <c r="J182" s="80">
        <v>29</v>
      </c>
      <c r="K182" t="s" s="79">
        <v>395</v>
      </c>
      <c r="L182" t="s" s="79">
        <v>121</v>
      </c>
      <c r="M182" s="78"/>
      <c r="N182" s="78"/>
      <c r="O182" s="78"/>
      <c r="P182" s="80">
        <v>0</v>
      </c>
      <c r="Q182" s="81">
        <v>0</v>
      </c>
      <c r="R182" s="81">
        <v>0</v>
      </c>
      <c r="S182" s="80">
        <v>0</v>
      </c>
      <c r="T182" s="80">
        <v>0</v>
      </c>
      <c r="U182" t="s" s="79">
        <v>122</v>
      </c>
      <c r="V182" s="78"/>
      <c r="W182" s="78"/>
      <c r="X182" s="78"/>
      <c r="Y182" s="78"/>
      <c r="Z182" s="78"/>
      <c r="AA182" s="78"/>
      <c r="AB182" t="s" s="79">
        <v>124</v>
      </c>
      <c r="AC182" t="s" s="79">
        <v>124</v>
      </c>
      <c r="AD182" t="s" s="82">
        <v>125</v>
      </c>
      <c r="AE182" s="67"/>
    </row>
    <row r="183" ht="15" customHeight="1">
      <c r="A183" t="s" s="87">
        <v>32</v>
      </c>
      <c r="B183" s="69">
        <v>41.8</v>
      </c>
      <c r="C183" t="b" s="70">
        <v>0</v>
      </c>
      <c r="D183" s="71"/>
      <c r="E183" t="s" s="72">
        <v>492</v>
      </c>
      <c r="F183" t="s" s="72">
        <v>141</v>
      </c>
      <c r="G183" s="73">
        <v>16</v>
      </c>
      <c r="H183" t="s" s="72">
        <v>175</v>
      </c>
      <c r="I183" t="s" s="72">
        <v>493</v>
      </c>
      <c r="J183" s="73">
        <v>22</v>
      </c>
      <c r="K183" t="s" s="72">
        <v>288</v>
      </c>
      <c r="L183" t="s" s="72">
        <v>121</v>
      </c>
      <c r="M183" s="71"/>
      <c r="N183" s="71"/>
      <c r="O183" s="71"/>
      <c r="P183" s="73">
        <v>0</v>
      </c>
      <c r="Q183" s="74">
        <v>0</v>
      </c>
      <c r="R183" s="74">
        <v>0</v>
      </c>
      <c r="S183" s="73">
        <v>0</v>
      </c>
      <c r="T183" s="73">
        <v>0</v>
      </c>
      <c r="U183" t="s" s="72">
        <v>122</v>
      </c>
      <c r="V183" s="71"/>
      <c r="W183" s="71"/>
      <c r="X183" s="71"/>
      <c r="Y183" s="71"/>
      <c r="Z183" s="71"/>
      <c r="AA183" s="71"/>
      <c r="AB183" t="s" s="72">
        <v>124</v>
      </c>
      <c r="AC183" t="s" s="72">
        <v>124</v>
      </c>
      <c r="AD183" t="s" s="75">
        <v>125</v>
      </c>
      <c r="AE183" s="67"/>
    </row>
    <row r="184" ht="15" customHeight="1">
      <c r="A184" t="s" s="87">
        <v>32</v>
      </c>
      <c r="B184" s="76">
        <v>39.5</v>
      </c>
      <c r="C184" t="b" s="77">
        <v>0</v>
      </c>
      <c r="D184" t="s" s="85">
        <v>191</v>
      </c>
      <c r="E184" t="s" s="79">
        <v>494</v>
      </c>
      <c r="F184" t="s" s="79">
        <v>183</v>
      </c>
      <c r="G184" s="80">
        <v>9</v>
      </c>
      <c r="H184" t="s" s="79">
        <v>118</v>
      </c>
      <c r="I184" t="s" s="79">
        <v>139</v>
      </c>
      <c r="J184" s="80">
        <v>24</v>
      </c>
      <c r="K184" t="s" s="79">
        <v>435</v>
      </c>
      <c r="L184" t="s" s="79">
        <v>121</v>
      </c>
      <c r="M184" s="78"/>
      <c r="N184" s="78"/>
      <c r="O184" s="78"/>
      <c r="P184" s="80">
        <v>2</v>
      </c>
      <c r="Q184" s="81">
        <v>5.5</v>
      </c>
      <c r="R184" s="81">
        <v>5.25</v>
      </c>
      <c r="S184" s="80">
        <v>0</v>
      </c>
      <c r="T184" s="80">
        <v>0</v>
      </c>
      <c r="U184" t="s" s="79">
        <v>122</v>
      </c>
      <c r="V184" s="78"/>
      <c r="W184" s="78"/>
      <c r="X184" s="78"/>
      <c r="Y184" s="78"/>
      <c r="Z184" s="78"/>
      <c r="AA184" s="78"/>
      <c r="AB184" t="s" s="79">
        <v>124</v>
      </c>
      <c r="AC184" t="s" s="79">
        <v>124</v>
      </c>
      <c r="AD184" t="s" s="82">
        <v>125</v>
      </c>
      <c r="AE184" s="67"/>
    </row>
    <row r="185" ht="15" customHeight="1">
      <c r="A185" t="s" s="87">
        <v>32</v>
      </c>
      <c r="B185" s="69">
        <v>39</v>
      </c>
      <c r="C185" t="b" s="70">
        <v>0</v>
      </c>
      <c r="D185" s="71"/>
      <c r="E185" t="s" s="72">
        <v>495</v>
      </c>
      <c r="F185" t="s" s="72">
        <v>180</v>
      </c>
      <c r="G185" s="73">
        <v>14</v>
      </c>
      <c r="H185" t="s" s="72">
        <v>175</v>
      </c>
      <c r="I185" t="s" s="72">
        <v>445</v>
      </c>
      <c r="J185" s="73">
        <v>25</v>
      </c>
      <c r="K185" t="s" s="72">
        <v>496</v>
      </c>
      <c r="L185" t="s" s="72">
        <v>121</v>
      </c>
      <c r="M185" s="71"/>
      <c r="N185" s="71"/>
      <c r="O185" s="71"/>
      <c r="P185" s="73">
        <v>2</v>
      </c>
      <c r="Q185" s="74">
        <v>6.25</v>
      </c>
      <c r="R185" s="74">
        <v>6.25</v>
      </c>
      <c r="S185" s="73">
        <v>0</v>
      </c>
      <c r="T185" s="73">
        <v>0</v>
      </c>
      <c r="U185" t="s" s="72">
        <v>122</v>
      </c>
      <c r="V185" s="71"/>
      <c r="W185" s="71"/>
      <c r="X185" s="71"/>
      <c r="Y185" s="71"/>
      <c r="Z185" s="71"/>
      <c r="AA185" s="71"/>
      <c r="AB185" t="s" s="72">
        <v>124</v>
      </c>
      <c r="AC185" t="s" s="72">
        <v>124</v>
      </c>
      <c r="AD185" t="s" s="75">
        <v>125</v>
      </c>
      <c r="AE185" s="67"/>
    </row>
    <row r="186" ht="15" customHeight="1">
      <c r="A186" t="s" s="87">
        <v>32</v>
      </c>
      <c r="B186" s="76">
        <v>39</v>
      </c>
      <c r="C186" t="b" s="77">
        <v>0</v>
      </c>
      <c r="D186" s="78"/>
      <c r="E186" t="s" s="79">
        <v>497</v>
      </c>
      <c r="F186" t="s" s="79">
        <v>183</v>
      </c>
      <c r="G186" s="80">
        <v>14</v>
      </c>
      <c r="H186" t="s" s="79">
        <v>498</v>
      </c>
      <c r="I186" t="s" s="79">
        <v>499</v>
      </c>
      <c r="J186" s="80">
        <v>33</v>
      </c>
      <c r="K186" t="s" s="79">
        <v>500</v>
      </c>
      <c r="L186" t="s" s="79">
        <v>154</v>
      </c>
      <c r="M186" s="78"/>
      <c r="N186" s="78"/>
      <c r="O186" s="78"/>
      <c r="P186" s="80">
        <v>2</v>
      </c>
      <c r="Q186" s="81">
        <v>6.25</v>
      </c>
      <c r="R186" s="81">
        <v>6</v>
      </c>
      <c r="S186" s="80">
        <v>0</v>
      </c>
      <c r="T186" s="80">
        <v>0</v>
      </c>
      <c r="U186" t="s" s="79">
        <v>122</v>
      </c>
      <c r="V186" s="78"/>
      <c r="W186" s="78"/>
      <c r="X186" s="78"/>
      <c r="Y186" s="78"/>
      <c r="Z186" s="78"/>
      <c r="AA186" s="78"/>
      <c r="AB186" t="s" s="79">
        <v>124</v>
      </c>
      <c r="AC186" t="s" s="79">
        <v>124</v>
      </c>
      <c r="AD186" t="s" s="82">
        <v>125</v>
      </c>
      <c r="AE186" s="67"/>
    </row>
    <row r="187" ht="15" customHeight="1">
      <c r="A187" t="s" s="87">
        <v>32</v>
      </c>
      <c r="B187" s="69">
        <v>38.7</v>
      </c>
      <c r="C187" t="b" s="70">
        <v>0</v>
      </c>
      <c r="D187" s="71"/>
      <c r="E187" t="s" s="72">
        <v>501</v>
      </c>
      <c r="F187" t="s" s="72">
        <v>172</v>
      </c>
      <c r="G187" s="73">
        <v>10</v>
      </c>
      <c r="H187" t="s" s="72">
        <v>118</v>
      </c>
      <c r="I187" t="s" s="72">
        <v>150</v>
      </c>
      <c r="J187" s="73">
        <v>23</v>
      </c>
      <c r="K187" t="s" s="72">
        <v>399</v>
      </c>
      <c r="L187" t="s" s="72">
        <v>154</v>
      </c>
      <c r="M187" s="71"/>
      <c r="N187" s="71"/>
      <c r="O187" s="71"/>
      <c r="P187" s="73">
        <v>2</v>
      </c>
      <c r="Q187" s="74">
        <v>6.25</v>
      </c>
      <c r="R187" s="74">
        <v>6.75</v>
      </c>
      <c r="S187" s="73">
        <v>0</v>
      </c>
      <c r="T187" s="73">
        <v>1</v>
      </c>
      <c r="U187" t="s" s="72">
        <v>122</v>
      </c>
      <c r="V187" s="71"/>
      <c r="W187" s="71"/>
      <c r="X187" s="71"/>
      <c r="Y187" s="71"/>
      <c r="Z187" s="71"/>
      <c r="AA187" s="71"/>
      <c r="AB187" t="s" s="72">
        <v>124</v>
      </c>
      <c r="AC187" t="s" s="72">
        <v>124</v>
      </c>
      <c r="AD187" t="s" s="75">
        <v>125</v>
      </c>
      <c r="AE187" s="67"/>
    </row>
    <row r="188" ht="15" customHeight="1">
      <c r="A188" t="s" s="87">
        <v>32</v>
      </c>
      <c r="B188" s="76">
        <v>38.7</v>
      </c>
      <c r="C188" t="b" s="77">
        <v>0</v>
      </c>
      <c r="D188" s="78"/>
      <c r="E188" t="s" s="79">
        <v>502</v>
      </c>
      <c r="F188" t="s" s="79">
        <v>147</v>
      </c>
      <c r="G188" s="80">
        <v>15</v>
      </c>
      <c r="H188" t="s" s="79">
        <v>175</v>
      </c>
      <c r="I188" t="s" s="79">
        <v>445</v>
      </c>
      <c r="J188" s="80">
        <v>26</v>
      </c>
      <c r="K188" t="s" s="79">
        <v>128</v>
      </c>
      <c r="L188" t="s" s="79">
        <v>154</v>
      </c>
      <c r="M188" s="78"/>
      <c r="N188" s="78"/>
      <c r="O188" s="78"/>
      <c r="P188" s="80">
        <v>0</v>
      </c>
      <c r="Q188" s="81">
        <v>0</v>
      </c>
      <c r="R188" s="81">
        <v>0</v>
      </c>
      <c r="S188" s="80">
        <v>0</v>
      </c>
      <c r="T188" s="80">
        <v>0</v>
      </c>
      <c r="U188" t="s" s="79">
        <v>122</v>
      </c>
      <c r="V188" s="78"/>
      <c r="W188" s="78"/>
      <c r="X188" s="78"/>
      <c r="Y188" s="78"/>
      <c r="Z188" s="78"/>
      <c r="AA188" s="78"/>
      <c r="AB188" t="s" s="79">
        <v>124</v>
      </c>
      <c r="AC188" t="s" s="79">
        <v>124</v>
      </c>
      <c r="AD188" t="s" s="82">
        <v>125</v>
      </c>
      <c r="AE188" s="67"/>
    </row>
    <row r="189" ht="15" customHeight="1">
      <c r="A189" t="s" s="87">
        <v>32</v>
      </c>
      <c r="B189" s="69">
        <v>38.7</v>
      </c>
      <c r="C189" t="b" s="70">
        <v>0</v>
      </c>
      <c r="D189" s="71"/>
      <c r="E189" t="s" s="72">
        <v>503</v>
      </c>
      <c r="F189" t="s" s="72">
        <v>163</v>
      </c>
      <c r="G189" s="73">
        <v>15</v>
      </c>
      <c r="H189" t="s" s="72">
        <v>504</v>
      </c>
      <c r="I189" t="s" s="72">
        <v>505</v>
      </c>
      <c r="J189" s="73">
        <v>24</v>
      </c>
      <c r="K189" t="s" s="72">
        <v>484</v>
      </c>
      <c r="L189" t="s" s="72">
        <v>121</v>
      </c>
      <c r="M189" s="71"/>
      <c r="N189" s="71"/>
      <c r="O189" s="71"/>
      <c r="P189" s="73">
        <v>0</v>
      </c>
      <c r="Q189" s="74">
        <v>0</v>
      </c>
      <c r="R189" s="74">
        <v>0</v>
      </c>
      <c r="S189" s="73">
        <v>0</v>
      </c>
      <c r="T189" s="73">
        <v>0</v>
      </c>
      <c r="U189" t="s" s="72">
        <v>122</v>
      </c>
      <c r="V189" s="71"/>
      <c r="W189" s="71"/>
      <c r="X189" s="71"/>
      <c r="Y189" s="71"/>
      <c r="Z189" s="71"/>
      <c r="AA189" s="71"/>
      <c r="AB189" t="s" s="72">
        <v>124</v>
      </c>
      <c r="AC189" t="s" s="72">
        <v>124</v>
      </c>
      <c r="AD189" t="s" s="75">
        <v>125</v>
      </c>
      <c r="AE189" s="67"/>
    </row>
    <row r="190" ht="15" customHeight="1">
      <c r="A190" t="s" s="87">
        <v>32</v>
      </c>
      <c r="B190" s="76">
        <v>37.9</v>
      </c>
      <c r="C190" t="b" s="77">
        <v>0</v>
      </c>
      <c r="D190" s="78"/>
      <c r="E190" t="s" s="79">
        <v>506</v>
      </c>
      <c r="F190" t="s" s="79">
        <v>183</v>
      </c>
      <c r="G190" s="80">
        <v>9</v>
      </c>
      <c r="H190" t="s" s="79">
        <v>118</v>
      </c>
      <c r="I190" t="s" s="79">
        <v>118</v>
      </c>
      <c r="J190" s="80">
        <v>24</v>
      </c>
      <c r="K190" t="s" s="79">
        <v>342</v>
      </c>
      <c r="L190" t="s" s="79">
        <v>121</v>
      </c>
      <c r="M190" s="78"/>
      <c r="N190" s="78"/>
      <c r="O190" s="78"/>
      <c r="P190" s="80">
        <v>2</v>
      </c>
      <c r="Q190" s="81">
        <v>5</v>
      </c>
      <c r="R190" s="81">
        <v>5</v>
      </c>
      <c r="S190" s="80">
        <v>0</v>
      </c>
      <c r="T190" s="80">
        <v>0</v>
      </c>
      <c r="U190" t="s" s="79">
        <v>122</v>
      </c>
      <c r="V190" s="80">
        <v>18</v>
      </c>
      <c r="W190" s="81">
        <v>5.94</v>
      </c>
      <c r="X190" s="81">
        <v>5.86</v>
      </c>
      <c r="Y190" s="80">
        <v>0</v>
      </c>
      <c r="Z190" s="80">
        <v>0</v>
      </c>
      <c r="AA190" t="s" s="79">
        <v>123</v>
      </c>
      <c r="AB190" t="s" s="79">
        <v>124</v>
      </c>
      <c r="AC190" t="s" s="79">
        <v>124</v>
      </c>
      <c r="AD190" t="s" s="82">
        <v>125</v>
      </c>
      <c r="AE190" s="67"/>
    </row>
    <row r="191" ht="15" customHeight="1">
      <c r="A191" t="s" s="87">
        <v>32</v>
      </c>
      <c r="B191" s="69">
        <v>37.6</v>
      </c>
      <c r="C191" t="b" s="70">
        <v>0</v>
      </c>
      <c r="D191" s="71"/>
      <c r="E191" t="s" s="72">
        <v>507</v>
      </c>
      <c r="F191" t="s" s="72">
        <v>127</v>
      </c>
      <c r="G191" s="73">
        <v>13</v>
      </c>
      <c r="H191" t="s" s="72">
        <v>175</v>
      </c>
      <c r="I191" t="s" s="72">
        <v>175</v>
      </c>
      <c r="J191" s="73">
        <v>33</v>
      </c>
      <c r="K191" t="s" s="72">
        <v>508</v>
      </c>
      <c r="L191" t="s" s="72">
        <v>154</v>
      </c>
      <c r="M191" s="71"/>
      <c r="N191" s="71"/>
      <c r="O191" s="71"/>
      <c r="P191" s="73">
        <v>2</v>
      </c>
      <c r="Q191" s="74">
        <v>6</v>
      </c>
      <c r="R191" s="74">
        <v>6</v>
      </c>
      <c r="S191" s="73">
        <v>0</v>
      </c>
      <c r="T191" s="73">
        <v>0</v>
      </c>
      <c r="U191" t="s" s="72">
        <v>122</v>
      </c>
      <c r="V191" s="73">
        <v>17</v>
      </c>
      <c r="W191" s="74">
        <v>5.94</v>
      </c>
      <c r="X191" s="74">
        <v>5.85</v>
      </c>
      <c r="Y191" s="73">
        <v>0</v>
      </c>
      <c r="Z191" s="73">
        <v>0</v>
      </c>
      <c r="AA191" t="s" s="72">
        <v>123</v>
      </c>
      <c r="AB191" t="s" s="72">
        <v>124</v>
      </c>
      <c r="AC191" t="s" s="72">
        <v>124</v>
      </c>
      <c r="AD191" t="s" s="75">
        <v>125</v>
      </c>
      <c r="AE191" s="67"/>
    </row>
    <row r="192" ht="15" customHeight="1">
      <c r="A192" t="s" s="87">
        <v>32</v>
      </c>
      <c r="B192" s="76">
        <v>35.9</v>
      </c>
      <c r="C192" t="b" s="77">
        <v>0</v>
      </c>
      <c r="D192" s="78"/>
      <c r="E192" t="s" s="79">
        <v>509</v>
      </c>
      <c r="F192" t="s" s="79">
        <v>156</v>
      </c>
      <c r="G192" s="80">
        <v>13</v>
      </c>
      <c r="H192" t="s" s="79">
        <v>175</v>
      </c>
      <c r="I192" t="s" s="79">
        <v>175</v>
      </c>
      <c r="J192" s="80">
        <v>33</v>
      </c>
      <c r="K192" t="s" s="79">
        <v>128</v>
      </c>
      <c r="L192" t="s" s="79">
        <v>121</v>
      </c>
      <c r="M192" s="78"/>
      <c r="N192" s="78"/>
      <c r="O192" s="78"/>
      <c r="P192" s="80">
        <v>1</v>
      </c>
      <c r="Q192" s="81">
        <v>5</v>
      </c>
      <c r="R192" s="81">
        <v>5</v>
      </c>
      <c r="S192" s="80">
        <v>0</v>
      </c>
      <c r="T192" s="80">
        <v>0</v>
      </c>
      <c r="U192" t="s" s="79">
        <v>122</v>
      </c>
      <c r="V192" s="80">
        <v>13</v>
      </c>
      <c r="W192" s="81">
        <v>5.85</v>
      </c>
      <c r="X192" s="81">
        <v>5.69</v>
      </c>
      <c r="Y192" s="80">
        <v>0</v>
      </c>
      <c r="Z192" s="80">
        <v>0</v>
      </c>
      <c r="AA192" t="s" s="79">
        <v>123</v>
      </c>
      <c r="AB192" t="s" s="79">
        <v>124</v>
      </c>
      <c r="AC192" t="s" s="79">
        <v>124</v>
      </c>
      <c r="AD192" t="s" s="82">
        <v>125</v>
      </c>
      <c r="AE192" s="67"/>
    </row>
    <row r="193" ht="15" customHeight="1">
      <c r="A193" t="s" s="87">
        <v>32</v>
      </c>
      <c r="B193" s="69">
        <v>35.2</v>
      </c>
      <c r="C193" t="b" s="70">
        <v>0</v>
      </c>
      <c r="D193" s="71"/>
      <c r="E193" t="s" s="72">
        <v>510</v>
      </c>
      <c r="F193" t="s" s="72">
        <v>180</v>
      </c>
      <c r="G193" s="73">
        <v>13</v>
      </c>
      <c r="H193" t="s" s="72">
        <v>511</v>
      </c>
      <c r="I193" t="s" s="72">
        <v>512</v>
      </c>
      <c r="J193" s="73">
        <v>23</v>
      </c>
      <c r="K193" t="s" s="72">
        <v>128</v>
      </c>
      <c r="L193" t="s" s="72">
        <v>154</v>
      </c>
      <c r="M193" s="71"/>
      <c r="N193" s="71"/>
      <c r="O193" s="71"/>
      <c r="P193" s="73">
        <v>2</v>
      </c>
      <c r="Q193" s="74">
        <v>6.75</v>
      </c>
      <c r="R193" s="74">
        <v>8.5</v>
      </c>
      <c r="S193" s="73">
        <v>1</v>
      </c>
      <c r="T193" s="73">
        <v>1</v>
      </c>
      <c r="U193" t="s" s="72">
        <v>122</v>
      </c>
      <c r="V193" s="71"/>
      <c r="W193" s="71"/>
      <c r="X193" s="71"/>
      <c r="Y193" s="71"/>
      <c r="Z193" s="71"/>
      <c r="AA193" s="71"/>
      <c r="AB193" t="s" s="72">
        <v>124</v>
      </c>
      <c r="AC193" t="s" s="72">
        <v>124</v>
      </c>
      <c r="AD193" t="s" s="75">
        <v>125</v>
      </c>
      <c r="AE193" s="67"/>
    </row>
    <row r="194" ht="15" customHeight="1">
      <c r="A194" t="s" s="87">
        <v>32</v>
      </c>
      <c r="B194" s="76">
        <v>35.2</v>
      </c>
      <c r="C194" t="b" s="77">
        <v>0</v>
      </c>
      <c r="D194" s="78"/>
      <c r="E194" t="s" s="79">
        <v>513</v>
      </c>
      <c r="F194" t="s" s="79">
        <v>180</v>
      </c>
      <c r="G194" s="80">
        <v>13</v>
      </c>
      <c r="H194" t="s" s="79">
        <v>175</v>
      </c>
      <c r="I194" t="s" s="79">
        <v>493</v>
      </c>
      <c r="J194" s="80">
        <v>22</v>
      </c>
      <c r="K194" t="s" s="79">
        <v>128</v>
      </c>
      <c r="L194" t="s" s="79">
        <v>121</v>
      </c>
      <c r="M194" s="78"/>
      <c r="N194" s="78"/>
      <c r="O194" s="78"/>
      <c r="P194" s="80">
        <v>2</v>
      </c>
      <c r="Q194" s="81">
        <v>6.5</v>
      </c>
      <c r="R194" s="81">
        <v>6</v>
      </c>
      <c r="S194" s="80">
        <v>0</v>
      </c>
      <c r="T194" s="80">
        <v>0</v>
      </c>
      <c r="U194" t="s" s="79">
        <v>122</v>
      </c>
      <c r="V194" s="78"/>
      <c r="W194" s="78"/>
      <c r="X194" s="78"/>
      <c r="Y194" s="78"/>
      <c r="Z194" s="78"/>
      <c r="AA194" s="78"/>
      <c r="AB194" t="s" s="79">
        <v>124</v>
      </c>
      <c r="AC194" t="s" s="79">
        <v>124</v>
      </c>
      <c r="AD194" t="s" s="82">
        <v>125</v>
      </c>
      <c r="AE194" s="67"/>
    </row>
    <row r="195" ht="15" customHeight="1">
      <c r="A195" t="s" s="87">
        <v>32</v>
      </c>
      <c r="B195" s="69">
        <v>35.2</v>
      </c>
      <c r="C195" t="b" s="70">
        <v>0</v>
      </c>
      <c r="D195" s="71"/>
      <c r="E195" t="s" s="72">
        <v>514</v>
      </c>
      <c r="F195" t="s" s="72">
        <v>172</v>
      </c>
      <c r="G195" s="73">
        <v>14</v>
      </c>
      <c r="H195" t="s" s="72">
        <v>175</v>
      </c>
      <c r="I195" t="s" s="72">
        <v>266</v>
      </c>
      <c r="J195" s="73">
        <v>26</v>
      </c>
      <c r="K195" t="s" s="72">
        <v>145</v>
      </c>
      <c r="L195" t="s" s="72">
        <v>121</v>
      </c>
      <c r="M195" s="71"/>
      <c r="N195" s="71"/>
      <c r="O195" t="s" s="88">
        <v>268</v>
      </c>
      <c r="P195" s="73">
        <v>0</v>
      </c>
      <c r="Q195" s="74">
        <v>0</v>
      </c>
      <c r="R195" s="74">
        <v>0</v>
      </c>
      <c r="S195" s="73">
        <v>0</v>
      </c>
      <c r="T195" s="73">
        <v>0</v>
      </c>
      <c r="U195" t="s" s="72">
        <v>122</v>
      </c>
      <c r="V195" s="73">
        <v>34</v>
      </c>
      <c r="W195" s="74">
        <v>5.79</v>
      </c>
      <c r="X195" s="74">
        <v>5.72</v>
      </c>
      <c r="Y195" s="73">
        <v>0</v>
      </c>
      <c r="Z195" s="73">
        <v>1</v>
      </c>
      <c r="AA195" t="s" s="72">
        <v>123</v>
      </c>
      <c r="AB195" t="s" s="72">
        <v>124</v>
      </c>
      <c r="AC195" t="s" s="72">
        <v>124</v>
      </c>
      <c r="AD195" t="s" s="75">
        <v>125</v>
      </c>
      <c r="AE195" s="67"/>
    </row>
    <row r="196" ht="15" customHeight="1">
      <c r="A196" t="s" s="87">
        <v>32</v>
      </c>
      <c r="B196" s="76">
        <v>34.6</v>
      </c>
      <c r="C196" t="b" s="77">
        <v>0</v>
      </c>
      <c r="D196" s="78"/>
      <c r="E196" t="s" s="79">
        <v>515</v>
      </c>
      <c r="F196" t="s" s="79">
        <v>144</v>
      </c>
      <c r="G196" s="80">
        <v>13</v>
      </c>
      <c r="H196" t="s" s="79">
        <v>175</v>
      </c>
      <c r="I196" t="s" s="79">
        <v>175</v>
      </c>
      <c r="J196" s="80">
        <v>23</v>
      </c>
      <c r="K196" t="s" s="79">
        <v>516</v>
      </c>
      <c r="L196" t="s" s="79">
        <v>121</v>
      </c>
      <c r="M196" s="78"/>
      <c r="N196" s="78"/>
      <c r="O196" s="78"/>
      <c r="P196" s="80">
        <v>0</v>
      </c>
      <c r="Q196" s="81">
        <v>0</v>
      </c>
      <c r="R196" s="81">
        <v>0</v>
      </c>
      <c r="S196" s="80">
        <v>0</v>
      </c>
      <c r="T196" s="80">
        <v>0</v>
      </c>
      <c r="U196" t="s" s="79">
        <v>122</v>
      </c>
      <c r="V196" s="80">
        <v>18</v>
      </c>
      <c r="W196" s="81">
        <v>5.81</v>
      </c>
      <c r="X196" s="81">
        <v>5.72</v>
      </c>
      <c r="Y196" s="80">
        <v>0</v>
      </c>
      <c r="Z196" s="80">
        <v>0</v>
      </c>
      <c r="AA196" t="s" s="79">
        <v>123</v>
      </c>
      <c r="AB196" t="s" s="79">
        <v>124</v>
      </c>
      <c r="AC196" t="s" s="79">
        <v>124</v>
      </c>
      <c r="AD196" t="s" s="82">
        <v>125</v>
      </c>
      <c r="AE196" s="67"/>
    </row>
    <row r="197" ht="15" customHeight="1">
      <c r="A197" t="s" s="87">
        <v>32</v>
      </c>
      <c r="B197" s="69">
        <v>34.1</v>
      </c>
      <c r="C197" t="b" s="70">
        <v>0</v>
      </c>
      <c r="D197" s="71"/>
      <c r="E197" t="s" s="72">
        <v>517</v>
      </c>
      <c r="F197" t="s" s="72">
        <v>159</v>
      </c>
      <c r="G197" s="73">
        <v>12</v>
      </c>
      <c r="H197" t="s" s="72">
        <v>175</v>
      </c>
      <c r="I197" t="s" s="72">
        <v>175</v>
      </c>
      <c r="J197" s="73">
        <v>23</v>
      </c>
      <c r="K197" t="s" s="72">
        <v>128</v>
      </c>
      <c r="L197" t="s" s="72">
        <v>121</v>
      </c>
      <c r="M197" s="71"/>
      <c r="N197" s="71"/>
      <c r="O197" s="71"/>
      <c r="P197" s="73">
        <v>1</v>
      </c>
      <c r="Q197" s="74">
        <v>6</v>
      </c>
      <c r="R197" s="74">
        <v>6</v>
      </c>
      <c r="S197" s="73">
        <v>0</v>
      </c>
      <c r="T197" s="73">
        <v>0</v>
      </c>
      <c r="U197" t="s" s="72">
        <v>122</v>
      </c>
      <c r="V197" s="73">
        <v>25</v>
      </c>
      <c r="W197" s="74">
        <v>5.92</v>
      </c>
      <c r="X197" s="74">
        <v>5.9</v>
      </c>
      <c r="Y197" s="73">
        <v>0</v>
      </c>
      <c r="Z197" s="73">
        <v>1</v>
      </c>
      <c r="AA197" t="s" s="72">
        <v>123</v>
      </c>
      <c r="AB197" t="s" s="72">
        <v>124</v>
      </c>
      <c r="AC197" t="s" s="72">
        <v>124</v>
      </c>
      <c r="AD197" t="s" s="75">
        <v>125</v>
      </c>
      <c r="AE197" s="67"/>
    </row>
    <row r="198" ht="15" customHeight="1">
      <c r="A198" t="s" s="87">
        <v>32</v>
      </c>
      <c r="B198" s="76">
        <v>34</v>
      </c>
      <c r="C198" t="b" s="77">
        <v>0</v>
      </c>
      <c r="D198" s="78"/>
      <c r="E198" t="s" s="79">
        <v>518</v>
      </c>
      <c r="F198" t="s" s="79">
        <v>163</v>
      </c>
      <c r="G198" s="80">
        <v>9</v>
      </c>
      <c r="H198" t="s" s="79">
        <v>164</v>
      </c>
      <c r="I198" t="s" s="79">
        <v>401</v>
      </c>
      <c r="J198" s="80">
        <v>28</v>
      </c>
      <c r="K198" t="s" s="79">
        <v>519</v>
      </c>
      <c r="L198" t="s" s="79">
        <v>121</v>
      </c>
      <c r="M198" s="78"/>
      <c r="N198" s="78"/>
      <c r="O198" s="78"/>
      <c r="P198" s="80">
        <v>1</v>
      </c>
      <c r="Q198" s="81">
        <v>5.5</v>
      </c>
      <c r="R198" s="81">
        <v>5.5</v>
      </c>
      <c r="S198" s="80">
        <v>0</v>
      </c>
      <c r="T198" s="80">
        <v>0</v>
      </c>
      <c r="U198" t="s" s="79">
        <v>122</v>
      </c>
      <c r="V198" s="78"/>
      <c r="W198" s="78"/>
      <c r="X198" s="78"/>
      <c r="Y198" s="78"/>
      <c r="Z198" s="78"/>
      <c r="AA198" s="78"/>
      <c r="AB198" t="s" s="79">
        <v>124</v>
      </c>
      <c r="AC198" t="s" s="79">
        <v>124</v>
      </c>
      <c r="AD198" t="s" s="82">
        <v>125</v>
      </c>
      <c r="AE198" s="67"/>
    </row>
    <row r="199" ht="15" customHeight="1">
      <c r="A199" t="s" s="87">
        <v>32</v>
      </c>
      <c r="B199" s="69">
        <v>34</v>
      </c>
      <c r="C199" t="b" s="70">
        <v>0</v>
      </c>
      <c r="D199" t="s" s="84">
        <v>161</v>
      </c>
      <c r="E199" t="s" s="72">
        <v>520</v>
      </c>
      <c r="F199" t="s" s="72">
        <v>187</v>
      </c>
      <c r="G199" s="73">
        <v>9</v>
      </c>
      <c r="H199" t="s" s="72">
        <v>521</v>
      </c>
      <c r="I199" t="s" s="72">
        <v>522</v>
      </c>
      <c r="J199" s="73">
        <v>22</v>
      </c>
      <c r="K199" t="s" s="72">
        <v>523</v>
      </c>
      <c r="L199" t="s" s="72">
        <v>121</v>
      </c>
      <c r="M199" s="71"/>
      <c r="N199" s="71"/>
      <c r="O199" s="71"/>
      <c r="P199" s="73">
        <v>0</v>
      </c>
      <c r="Q199" s="74">
        <v>0</v>
      </c>
      <c r="R199" s="74">
        <v>0</v>
      </c>
      <c r="S199" s="73">
        <v>0</v>
      </c>
      <c r="T199" s="73">
        <v>0</v>
      </c>
      <c r="U199" t="s" s="72">
        <v>122</v>
      </c>
      <c r="V199" s="73">
        <v>6</v>
      </c>
      <c r="W199" s="74">
        <v>5.75</v>
      </c>
      <c r="X199" s="74">
        <v>5.58</v>
      </c>
      <c r="Y199" s="73">
        <v>0</v>
      </c>
      <c r="Z199" s="73">
        <v>0</v>
      </c>
      <c r="AA199" t="s" s="72">
        <v>123</v>
      </c>
      <c r="AB199" t="s" s="72">
        <v>124</v>
      </c>
      <c r="AC199" t="s" s="72">
        <v>124</v>
      </c>
      <c r="AD199" t="s" s="75">
        <v>125</v>
      </c>
      <c r="AE199" s="67"/>
    </row>
    <row r="200" ht="15" customHeight="1">
      <c r="A200" t="s" s="87">
        <v>32</v>
      </c>
      <c r="B200" s="76">
        <v>33.7</v>
      </c>
      <c r="C200" t="b" s="77">
        <v>0</v>
      </c>
      <c r="D200" s="78"/>
      <c r="E200" t="s" s="79">
        <v>524</v>
      </c>
      <c r="F200" t="s" s="79">
        <v>138</v>
      </c>
      <c r="G200" s="80">
        <v>14</v>
      </c>
      <c r="H200" t="s" s="79">
        <v>175</v>
      </c>
      <c r="I200" t="s" s="79">
        <v>266</v>
      </c>
      <c r="J200" s="80">
        <v>25</v>
      </c>
      <c r="K200" t="s" s="79">
        <v>230</v>
      </c>
      <c r="L200" t="s" s="79">
        <v>154</v>
      </c>
      <c r="M200" s="78"/>
      <c r="N200" s="78"/>
      <c r="O200" t="s" s="88">
        <v>525</v>
      </c>
      <c r="P200" s="80">
        <v>0</v>
      </c>
      <c r="Q200" s="81">
        <v>0</v>
      </c>
      <c r="R200" s="81">
        <v>0</v>
      </c>
      <c r="S200" s="80">
        <v>0</v>
      </c>
      <c r="T200" s="80">
        <v>0</v>
      </c>
      <c r="U200" t="s" s="79">
        <v>122</v>
      </c>
      <c r="V200" s="80">
        <v>10</v>
      </c>
      <c r="W200" s="81">
        <v>5.95</v>
      </c>
      <c r="X200" s="81">
        <v>6.5</v>
      </c>
      <c r="Y200" s="80">
        <v>2</v>
      </c>
      <c r="Z200" s="80">
        <v>0</v>
      </c>
      <c r="AA200" t="s" s="79">
        <v>123</v>
      </c>
      <c r="AB200" t="s" s="79">
        <v>124</v>
      </c>
      <c r="AC200" t="s" s="79">
        <v>124</v>
      </c>
      <c r="AD200" t="s" s="82">
        <v>125</v>
      </c>
      <c r="AE200" s="67"/>
    </row>
    <row r="201" ht="15" customHeight="1">
      <c r="A201" t="s" s="87">
        <v>32</v>
      </c>
      <c r="B201" s="69">
        <v>33.5</v>
      </c>
      <c r="C201" t="b" s="70">
        <v>0</v>
      </c>
      <c r="D201" s="71"/>
      <c r="E201" t="s" s="72">
        <v>526</v>
      </c>
      <c r="F201" t="s" s="72">
        <v>170</v>
      </c>
      <c r="G201" s="73">
        <v>12</v>
      </c>
      <c r="H201" t="s" s="72">
        <v>175</v>
      </c>
      <c r="I201" t="s" s="72">
        <v>175</v>
      </c>
      <c r="J201" s="73">
        <v>26</v>
      </c>
      <c r="K201" t="s" s="72">
        <v>325</v>
      </c>
      <c r="L201" t="s" s="72">
        <v>121</v>
      </c>
      <c r="M201" s="71"/>
      <c r="N201" s="71"/>
      <c r="O201" s="71"/>
      <c r="P201" s="73">
        <v>1</v>
      </c>
      <c r="Q201" s="74">
        <v>5</v>
      </c>
      <c r="R201" s="74">
        <v>5</v>
      </c>
      <c r="S201" s="73">
        <v>0</v>
      </c>
      <c r="T201" s="73">
        <v>0</v>
      </c>
      <c r="U201" t="s" s="72">
        <v>122</v>
      </c>
      <c r="V201" s="73">
        <v>15</v>
      </c>
      <c r="W201" s="74">
        <v>5.87</v>
      </c>
      <c r="X201" s="74">
        <v>6.07</v>
      </c>
      <c r="Y201" s="73">
        <v>1</v>
      </c>
      <c r="Z201" s="73">
        <v>1</v>
      </c>
      <c r="AA201" t="s" s="72">
        <v>123</v>
      </c>
      <c r="AB201" t="s" s="72">
        <v>124</v>
      </c>
      <c r="AC201" t="s" s="72">
        <v>124</v>
      </c>
      <c r="AD201" t="s" s="75">
        <v>125</v>
      </c>
      <c r="AE201" s="67"/>
    </row>
    <row r="202" ht="15" customHeight="1">
      <c r="A202" t="s" s="87">
        <v>32</v>
      </c>
      <c r="B202" s="76">
        <v>32.3</v>
      </c>
      <c r="C202" t="b" s="77">
        <v>0</v>
      </c>
      <c r="D202" t="s" s="85">
        <v>161</v>
      </c>
      <c r="E202" t="s" s="79">
        <v>527</v>
      </c>
      <c r="F202" t="s" s="79">
        <v>172</v>
      </c>
      <c r="G202" s="80">
        <v>7</v>
      </c>
      <c r="H202" t="s" s="79">
        <v>164</v>
      </c>
      <c r="I202" t="s" s="79">
        <v>528</v>
      </c>
      <c r="J202" s="80">
        <v>26</v>
      </c>
      <c r="K202" t="s" s="79">
        <v>529</v>
      </c>
      <c r="L202" t="s" s="79">
        <v>121</v>
      </c>
      <c r="M202" s="78"/>
      <c r="N202" s="78"/>
      <c r="O202" s="78"/>
      <c r="P202" s="80">
        <v>1</v>
      </c>
      <c r="Q202" s="81">
        <v>6</v>
      </c>
      <c r="R202" s="81">
        <v>6</v>
      </c>
      <c r="S202" s="80">
        <v>0</v>
      </c>
      <c r="T202" s="80">
        <v>0</v>
      </c>
      <c r="U202" t="s" s="79">
        <v>122</v>
      </c>
      <c r="V202" s="80">
        <v>35</v>
      </c>
      <c r="W202" s="81">
        <v>6.01</v>
      </c>
      <c r="X202" s="81">
        <v>5.97</v>
      </c>
      <c r="Y202" s="80">
        <v>0</v>
      </c>
      <c r="Z202" s="80">
        <v>0</v>
      </c>
      <c r="AA202" t="s" s="79">
        <v>123</v>
      </c>
      <c r="AB202" t="s" s="79">
        <v>124</v>
      </c>
      <c r="AC202" t="s" s="79">
        <v>124</v>
      </c>
      <c r="AD202" t="s" s="82">
        <v>125</v>
      </c>
      <c r="AE202" s="67"/>
    </row>
    <row r="203" ht="15" customHeight="1">
      <c r="A203" t="s" s="87">
        <v>32</v>
      </c>
      <c r="B203" s="69">
        <v>32.3</v>
      </c>
      <c r="C203" t="b" s="70">
        <v>0</v>
      </c>
      <c r="D203" s="71"/>
      <c r="E203" t="s" s="72">
        <v>530</v>
      </c>
      <c r="F203" t="s" s="72">
        <v>153</v>
      </c>
      <c r="G203" s="73">
        <v>12</v>
      </c>
      <c r="H203" t="s" s="72">
        <v>531</v>
      </c>
      <c r="I203" t="s" s="72">
        <v>532</v>
      </c>
      <c r="J203" s="73">
        <v>24</v>
      </c>
      <c r="K203" t="s" s="72">
        <v>136</v>
      </c>
      <c r="L203" t="s" s="72">
        <v>121</v>
      </c>
      <c r="M203" s="71"/>
      <c r="N203" s="71"/>
      <c r="O203" s="71"/>
      <c r="P203" s="73">
        <v>2</v>
      </c>
      <c r="Q203" s="74">
        <v>5.25</v>
      </c>
      <c r="R203" s="74">
        <v>5.25</v>
      </c>
      <c r="S203" s="73">
        <v>0</v>
      </c>
      <c r="T203" s="73">
        <v>0</v>
      </c>
      <c r="U203" t="s" s="72">
        <v>122</v>
      </c>
      <c r="V203" s="71"/>
      <c r="W203" s="71"/>
      <c r="X203" s="71"/>
      <c r="Y203" s="71"/>
      <c r="Z203" s="71"/>
      <c r="AA203" s="71"/>
      <c r="AB203" t="s" s="72">
        <v>124</v>
      </c>
      <c r="AC203" t="s" s="72">
        <v>124</v>
      </c>
      <c r="AD203" t="s" s="75">
        <v>125</v>
      </c>
      <c r="AE203" s="67"/>
    </row>
    <row r="204" ht="15" customHeight="1">
      <c r="A204" t="s" s="87">
        <v>32</v>
      </c>
      <c r="B204" s="76">
        <v>32.2</v>
      </c>
      <c r="C204" t="b" s="77">
        <v>0</v>
      </c>
      <c r="D204" s="78"/>
      <c r="E204" t="s" s="79">
        <v>533</v>
      </c>
      <c r="F204" t="s" s="79">
        <v>153</v>
      </c>
      <c r="G204" s="80">
        <v>13</v>
      </c>
      <c r="H204" t="s" s="79">
        <v>175</v>
      </c>
      <c r="I204" t="s" s="79">
        <v>493</v>
      </c>
      <c r="J204" s="80">
        <v>22</v>
      </c>
      <c r="K204" t="s" s="79">
        <v>128</v>
      </c>
      <c r="L204" t="s" s="79">
        <v>121</v>
      </c>
      <c r="M204" s="78"/>
      <c r="N204" s="78"/>
      <c r="O204" s="78"/>
      <c r="P204" s="80">
        <v>0</v>
      </c>
      <c r="Q204" s="81">
        <v>0</v>
      </c>
      <c r="R204" s="81">
        <v>0</v>
      </c>
      <c r="S204" s="80">
        <v>0</v>
      </c>
      <c r="T204" s="80">
        <v>0</v>
      </c>
      <c r="U204" t="s" s="79">
        <v>122</v>
      </c>
      <c r="V204" s="78"/>
      <c r="W204" s="78"/>
      <c r="X204" s="78"/>
      <c r="Y204" s="78"/>
      <c r="Z204" s="78"/>
      <c r="AA204" s="78"/>
      <c r="AB204" t="s" s="79">
        <v>124</v>
      </c>
      <c r="AC204" t="s" s="79">
        <v>124</v>
      </c>
      <c r="AD204" t="s" s="82">
        <v>125</v>
      </c>
      <c r="AE204" s="67"/>
    </row>
    <row r="205" ht="15" customHeight="1">
      <c r="A205" t="s" s="87">
        <v>32</v>
      </c>
      <c r="B205" s="69">
        <v>31.9</v>
      </c>
      <c r="C205" t="b" s="70">
        <v>0</v>
      </c>
      <c r="D205" t="s" s="84">
        <v>161</v>
      </c>
      <c r="E205" t="s" s="72">
        <v>534</v>
      </c>
      <c r="F205" t="s" s="72">
        <v>168</v>
      </c>
      <c r="G205" s="73">
        <v>7</v>
      </c>
      <c r="H205" t="s" s="72">
        <v>118</v>
      </c>
      <c r="I205" t="s" s="72">
        <v>432</v>
      </c>
      <c r="J205" s="73">
        <v>28</v>
      </c>
      <c r="K205" t="s" s="72">
        <v>535</v>
      </c>
      <c r="L205" t="s" s="72">
        <v>121</v>
      </c>
      <c r="M205" s="71"/>
      <c r="N205" s="71"/>
      <c r="O205" s="71"/>
      <c r="P205" s="73">
        <v>2</v>
      </c>
      <c r="Q205" s="74">
        <v>5.5</v>
      </c>
      <c r="R205" s="74">
        <v>5.25</v>
      </c>
      <c r="S205" s="73">
        <v>0</v>
      </c>
      <c r="T205" s="73">
        <v>0</v>
      </c>
      <c r="U205" t="s" s="72">
        <v>122</v>
      </c>
      <c r="V205" s="73">
        <v>21</v>
      </c>
      <c r="W205" s="74">
        <v>5.81</v>
      </c>
      <c r="X205" s="74">
        <v>5.62</v>
      </c>
      <c r="Y205" s="73">
        <v>0</v>
      </c>
      <c r="Z205" s="73">
        <v>0</v>
      </c>
      <c r="AA205" t="s" s="72">
        <v>123</v>
      </c>
      <c r="AB205" t="s" s="72">
        <v>124</v>
      </c>
      <c r="AC205" t="s" s="72">
        <v>124</v>
      </c>
      <c r="AD205" t="s" s="75">
        <v>125</v>
      </c>
      <c r="AE205" s="67"/>
    </row>
    <row r="206" ht="15" customHeight="1">
      <c r="A206" t="s" s="87">
        <v>32</v>
      </c>
      <c r="B206" s="76">
        <v>31.5</v>
      </c>
      <c r="C206" t="b" s="77">
        <v>0</v>
      </c>
      <c r="D206" s="78"/>
      <c r="E206" t="s" s="79">
        <v>536</v>
      </c>
      <c r="F206" t="s" s="79">
        <v>168</v>
      </c>
      <c r="G206" s="80">
        <v>10</v>
      </c>
      <c r="H206" t="s" s="79">
        <v>537</v>
      </c>
      <c r="I206" t="s" s="79">
        <v>537</v>
      </c>
      <c r="J206" s="80">
        <v>24</v>
      </c>
      <c r="K206" t="s" s="79">
        <v>356</v>
      </c>
      <c r="L206" t="s" s="79">
        <v>121</v>
      </c>
      <c r="M206" s="78"/>
      <c r="N206" s="78"/>
      <c r="O206" s="78"/>
      <c r="P206" s="80">
        <v>2</v>
      </c>
      <c r="Q206" s="81">
        <v>5.5</v>
      </c>
      <c r="R206" s="81">
        <v>5.5</v>
      </c>
      <c r="S206" s="80">
        <v>0</v>
      </c>
      <c r="T206" s="80">
        <v>0</v>
      </c>
      <c r="U206" t="s" s="79">
        <v>122</v>
      </c>
      <c r="V206" s="80">
        <v>19</v>
      </c>
      <c r="W206" s="81">
        <v>5.79</v>
      </c>
      <c r="X206" s="81">
        <v>5.87</v>
      </c>
      <c r="Y206" s="80">
        <v>1</v>
      </c>
      <c r="Z206" s="80">
        <v>0</v>
      </c>
      <c r="AA206" t="s" s="79">
        <v>123</v>
      </c>
      <c r="AB206" t="s" s="79">
        <v>124</v>
      </c>
      <c r="AC206" t="s" s="79">
        <v>124</v>
      </c>
      <c r="AD206" t="s" s="82">
        <v>125</v>
      </c>
      <c r="AE206" s="67"/>
    </row>
    <row r="207" ht="15" customHeight="1">
      <c r="A207" t="s" s="87">
        <v>32</v>
      </c>
      <c r="B207" s="69">
        <v>31.5</v>
      </c>
      <c r="C207" t="b" s="70">
        <v>0</v>
      </c>
      <c r="D207" s="71"/>
      <c r="E207" t="s" s="72">
        <v>538</v>
      </c>
      <c r="F207" t="s" s="72">
        <v>149</v>
      </c>
      <c r="G207" s="73">
        <v>12</v>
      </c>
      <c r="H207" t="s" s="72">
        <v>175</v>
      </c>
      <c r="I207" t="s" s="72">
        <v>175</v>
      </c>
      <c r="J207" s="73">
        <v>32</v>
      </c>
      <c r="K207" t="s" s="72">
        <v>128</v>
      </c>
      <c r="L207" t="s" s="72">
        <v>121</v>
      </c>
      <c r="M207" s="71"/>
      <c r="N207" s="71"/>
      <c r="O207" s="71"/>
      <c r="P207" s="73">
        <v>0</v>
      </c>
      <c r="Q207" s="74">
        <v>0</v>
      </c>
      <c r="R207" s="74">
        <v>0</v>
      </c>
      <c r="S207" s="73">
        <v>0</v>
      </c>
      <c r="T207" s="73">
        <v>0</v>
      </c>
      <c r="U207" t="s" s="72">
        <v>122</v>
      </c>
      <c r="V207" s="73">
        <v>17</v>
      </c>
      <c r="W207" s="74">
        <v>5.74</v>
      </c>
      <c r="X207" s="74">
        <v>5.68</v>
      </c>
      <c r="Y207" s="73">
        <v>0</v>
      </c>
      <c r="Z207" s="73">
        <v>0</v>
      </c>
      <c r="AA207" t="s" s="72">
        <v>123</v>
      </c>
      <c r="AB207" t="s" s="72">
        <v>124</v>
      </c>
      <c r="AC207" t="s" s="72">
        <v>124</v>
      </c>
      <c r="AD207" t="s" s="75">
        <v>125</v>
      </c>
      <c r="AE207" s="67"/>
    </row>
    <row r="208" ht="15" customHeight="1">
      <c r="A208" t="s" s="87">
        <v>32</v>
      </c>
      <c r="B208" s="76">
        <v>30.9</v>
      </c>
      <c r="C208" t="b" s="77">
        <v>0</v>
      </c>
      <c r="D208" s="78"/>
      <c r="E208" t="s" s="79">
        <v>539</v>
      </c>
      <c r="F208" t="s" s="79">
        <v>180</v>
      </c>
      <c r="G208" s="80">
        <v>8</v>
      </c>
      <c r="H208" t="s" s="79">
        <v>118</v>
      </c>
      <c r="I208" t="s" s="79">
        <v>150</v>
      </c>
      <c r="J208" s="80">
        <v>24</v>
      </c>
      <c r="K208" t="s" s="79">
        <v>128</v>
      </c>
      <c r="L208" t="s" s="79">
        <v>121</v>
      </c>
      <c r="M208" s="78"/>
      <c r="N208" s="78"/>
      <c r="O208" s="78"/>
      <c r="P208" s="80">
        <v>2</v>
      </c>
      <c r="Q208" s="81">
        <v>6</v>
      </c>
      <c r="R208" s="81">
        <v>6</v>
      </c>
      <c r="S208" s="80">
        <v>0</v>
      </c>
      <c r="T208" s="80">
        <v>0</v>
      </c>
      <c r="U208" t="s" s="79">
        <v>122</v>
      </c>
      <c r="V208" s="78"/>
      <c r="W208" s="78"/>
      <c r="X208" s="78"/>
      <c r="Y208" s="78"/>
      <c r="Z208" s="78"/>
      <c r="AA208" s="78"/>
      <c r="AB208" t="s" s="79">
        <v>124</v>
      </c>
      <c r="AC208" t="s" s="79">
        <v>124</v>
      </c>
      <c r="AD208" t="s" s="82">
        <v>125</v>
      </c>
      <c r="AE208" s="67"/>
    </row>
    <row r="209" ht="15" customHeight="1">
      <c r="A209" t="s" s="87">
        <v>32</v>
      </c>
      <c r="B209" s="69">
        <v>29.7</v>
      </c>
      <c r="C209" t="b" s="70">
        <v>0</v>
      </c>
      <c r="D209" t="s" s="84">
        <v>161</v>
      </c>
      <c r="E209" t="s" s="72">
        <v>540</v>
      </c>
      <c r="F209" t="s" s="72">
        <v>187</v>
      </c>
      <c r="G209" s="73">
        <v>8</v>
      </c>
      <c r="H209" t="s" s="72">
        <v>164</v>
      </c>
      <c r="I209" t="s" s="72">
        <v>194</v>
      </c>
      <c r="J209" s="73">
        <v>21</v>
      </c>
      <c r="K209" t="s" s="72">
        <v>145</v>
      </c>
      <c r="L209" t="s" s="72">
        <v>121</v>
      </c>
      <c r="M209" s="71"/>
      <c r="N209" s="71"/>
      <c r="O209" s="71"/>
      <c r="P209" s="73">
        <v>0</v>
      </c>
      <c r="Q209" s="74">
        <v>0</v>
      </c>
      <c r="R209" s="74">
        <v>0</v>
      </c>
      <c r="S209" s="73">
        <v>0</v>
      </c>
      <c r="T209" s="73">
        <v>0</v>
      </c>
      <c r="U209" t="s" s="72">
        <v>122</v>
      </c>
      <c r="V209" s="73">
        <v>9</v>
      </c>
      <c r="W209" s="74">
        <v>5.83</v>
      </c>
      <c r="X209" s="74">
        <v>5.67</v>
      </c>
      <c r="Y209" s="73">
        <v>0</v>
      </c>
      <c r="Z209" s="73">
        <v>0</v>
      </c>
      <c r="AA209" t="s" s="72">
        <v>123</v>
      </c>
      <c r="AB209" t="s" s="72">
        <v>124</v>
      </c>
      <c r="AC209" t="s" s="72">
        <v>124</v>
      </c>
      <c r="AD209" t="s" s="75">
        <v>125</v>
      </c>
      <c r="AE209" s="67"/>
    </row>
    <row r="210" ht="15" customHeight="1">
      <c r="A210" t="s" s="87">
        <v>32</v>
      </c>
      <c r="B210" s="76">
        <v>29.5</v>
      </c>
      <c r="C210" t="b" s="77">
        <v>0</v>
      </c>
      <c r="D210" s="78"/>
      <c r="E210" t="s" s="79">
        <v>541</v>
      </c>
      <c r="F210" t="s" s="79">
        <v>149</v>
      </c>
      <c r="G210" s="80">
        <v>11</v>
      </c>
      <c r="H210" t="s" s="79">
        <v>175</v>
      </c>
      <c r="I210" t="s" s="79">
        <v>175</v>
      </c>
      <c r="J210" s="80">
        <v>33</v>
      </c>
      <c r="K210" t="s" s="79">
        <v>136</v>
      </c>
      <c r="L210" t="s" s="79">
        <v>121</v>
      </c>
      <c r="M210" s="78"/>
      <c r="N210" s="78"/>
      <c r="O210" s="78"/>
      <c r="P210" s="80">
        <v>0</v>
      </c>
      <c r="Q210" s="81">
        <v>0</v>
      </c>
      <c r="R210" s="81">
        <v>0</v>
      </c>
      <c r="S210" s="80">
        <v>0</v>
      </c>
      <c r="T210" s="80">
        <v>0</v>
      </c>
      <c r="U210" t="s" s="79">
        <v>122</v>
      </c>
      <c r="V210" s="80">
        <v>11</v>
      </c>
      <c r="W210" s="81">
        <v>5.82</v>
      </c>
      <c r="X210" s="81">
        <v>5.73</v>
      </c>
      <c r="Y210" s="80">
        <v>0</v>
      </c>
      <c r="Z210" s="80">
        <v>0</v>
      </c>
      <c r="AA210" t="s" s="79">
        <v>123</v>
      </c>
      <c r="AB210" t="s" s="79">
        <v>124</v>
      </c>
      <c r="AC210" t="s" s="79">
        <v>124</v>
      </c>
      <c r="AD210" t="s" s="82">
        <v>125</v>
      </c>
      <c r="AE210" s="67"/>
    </row>
    <row r="211" ht="15" customHeight="1">
      <c r="A211" t="s" s="87">
        <v>32</v>
      </c>
      <c r="B211" s="69">
        <v>29.2</v>
      </c>
      <c r="C211" t="b" s="70">
        <v>0</v>
      </c>
      <c r="D211" t="s" s="84">
        <v>161</v>
      </c>
      <c r="E211" t="s" s="72">
        <v>542</v>
      </c>
      <c r="F211" t="s" s="72">
        <v>144</v>
      </c>
      <c r="G211" s="73">
        <v>10</v>
      </c>
      <c r="H211" t="s" s="72">
        <v>175</v>
      </c>
      <c r="I211" t="s" s="72">
        <v>408</v>
      </c>
      <c r="J211" s="73">
        <v>24</v>
      </c>
      <c r="K211" t="s" s="72">
        <v>543</v>
      </c>
      <c r="L211" t="s" s="72">
        <v>154</v>
      </c>
      <c r="M211" s="71"/>
      <c r="N211" s="71"/>
      <c r="O211" s="71"/>
      <c r="P211" s="73">
        <v>1</v>
      </c>
      <c r="Q211" s="74">
        <v>6.5</v>
      </c>
      <c r="R211" s="74">
        <v>6.5</v>
      </c>
      <c r="S211" s="73">
        <v>0</v>
      </c>
      <c r="T211" s="73">
        <v>0</v>
      </c>
      <c r="U211" t="s" s="72">
        <v>122</v>
      </c>
      <c r="V211" s="71"/>
      <c r="W211" s="71"/>
      <c r="X211" s="71"/>
      <c r="Y211" s="71"/>
      <c r="Z211" s="71"/>
      <c r="AA211" s="71"/>
      <c r="AB211" t="s" s="72">
        <v>124</v>
      </c>
      <c r="AC211" t="s" s="72">
        <v>124</v>
      </c>
      <c r="AD211" t="s" s="75">
        <v>125</v>
      </c>
      <c r="AE211" s="67"/>
    </row>
    <row r="212" ht="15" customHeight="1">
      <c r="A212" t="s" s="87">
        <v>32</v>
      </c>
      <c r="B212" s="76">
        <v>28.8</v>
      </c>
      <c r="C212" t="b" s="77">
        <v>0</v>
      </c>
      <c r="D212" s="78"/>
      <c r="E212" t="s" s="79">
        <v>544</v>
      </c>
      <c r="F212" t="s" s="79">
        <v>149</v>
      </c>
      <c r="G212" s="80">
        <v>10</v>
      </c>
      <c r="H212" t="s" s="79">
        <v>175</v>
      </c>
      <c r="I212" t="s" s="79">
        <v>175</v>
      </c>
      <c r="J212" s="80">
        <v>27</v>
      </c>
      <c r="K212" t="s" s="79">
        <v>128</v>
      </c>
      <c r="L212" t="s" s="79">
        <v>154</v>
      </c>
      <c r="M212" s="78"/>
      <c r="N212" s="78"/>
      <c r="O212" s="78"/>
      <c r="P212" s="80">
        <v>0</v>
      </c>
      <c r="Q212" s="81">
        <v>0</v>
      </c>
      <c r="R212" s="81">
        <v>0</v>
      </c>
      <c r="S212" s="80">
        <v>0</v>
      </c>
      <c r="T212" s="80">
        <v>0</v>
      </c>
      <c r="U212" t="s" s="79">
        <v>122</v>
      </c>
      <c r="V212" s="80">
        <v>24</v>
      </c>
      <c r="W212" s="81">
        <v>5.73</v>
      </c>
      <c r="X212" s="81">
        <v>5.69</v>
      </c>
      <c r="Y212" s="80">
        <v>1</v>
      </c>
      <c r="Z212" s="80">
        <v>0</v>
      </c>
      <c r="AA212" t="s" s="79">
        <v>123</v>
      </c>
      <c r="AB212" t="s" s="79">
        <v>124</v>
      </c>
      <c r="AC212" t="s" s="79">
        <v>124</v>
      </c>
      <c r="AD212" t="s" s="82">
        <v>125</v>
      </c>
      <c r="AE212" s="67"/>
    </row>
    <row r="213" ht="15" customHeight="1">
      <c r="A213" t="s" s="87">
        <v>32</v>
      </c>
      <c r="B213" s="69">
        <v>28.4</v>
      </c>
      <c r="C213" t="b" s="70">
        <v>0</v>
      </c>
      <c r="D213" s="71"/>
      <c r="E213" t="s" s="72">
        <v>545</v>
      </c>
      <c r="F213" t="s" s="72">
        <v>149</v>
      </c>
      <c r="G213" s="73">
        <v>9</v>
      </c>
      <c r="H213" t="s" s="72">
        <v>175</v>
      </c>
      <c r="I213" t="s" s="72">
        <v>175</v>
      </c>
      <c r="J213" s="73">
        <v>23</v>
      </c>
      <c r="K213" t="s" s="72">
        <v>128</v>
      </c>
      <c r="L213" t="s" s="72">
        <v>121</v>
      </c>
      <c r="M213" s="71"/>
      <c r="N213" s="71"/>
      <c r="O213" s="71"/>
      <c r="P213" s="73">
        <v>2</v>
      </c>
      <c r="Q213" s="74">
        <v>6.25</v>
      </c>
      <c r="R213" s="74">
        <v>6</v>
      </c>
      <c r="S213" s="73">
        <v>0</v>
      </c>
      <c r="T213" s="73">
        <v>0</v>
      </c>
      <c r="U213" t="s" s="72">
        <v>122</v>
      </c>
      <c r="V213" s="73">
        <v>23</v>
      </c>
      <c r="W213" s="74">
        <v>5.72</v>
      </c>
      <c r="X213" s="74">
        <v>5.72</v>
      </c>
      <c r="Y213" s="73">
        <v>0</v>
      </c>
      <c r="Z213" s="73">
        <v>1</v>
      </c>
      <c r="AA213" t="s" s="72">
        <v>123</v>
      </c>
      <c r="AB213" t="s" s="72">
        <v>124</v>
      </c>
      <c r="AC213" t="s" s="72">
        <v>124</v>
      </c>
      <c r="AD213" t="s" s="75">
        <v>125</v>
      </c>
      <c r="AE213" s="67"/>
    </row>
    <row r="214" ht="15" customHeight="1">
      <c r="A214" t="s" s="87">
        <v>32</v>
      </c>
      <c r="B214" s="76">
        <v>27.9</v>
      </c>
      <c r="C214" t="b" s="77">
        <v>0</v>
      </c>
      <c r="D214" s="78"/>
      <c r="E214" t="s" s="79">
        <v>546</v>
      </c>
      <c r="F214" t="s" s="79">
        <v>180</v>
      </c>
      <c r="G214" s="80">
        <v>8</v>
      </c>
      <c r="H214" t="s" s="79">
        <v>164</v>
      </c>
      <c r="I214" t="s" s="79">
        <v>401</v>
      </c>
      <c r="J214" s="80">
        <v>23</v>
      </c>
      <c r="K214" t="s" s="79">
        <v>547</v>
      </c>
      <c r="L214" t="s" s="79">
        <v>121</v>
      </c>
      <c r="M214" s="78"/>
      <c r="N214" s="78"/>
      <c r="O214" s="78"/>
      <c r="P214" s="80">
        <v>0</v>
      </c>
      <c r="Q214" s="81">
        <v>0</v>
      </c>
      <c r="R214" s="81">
        <v>0</v>
      </c>
      <c r="S214" s="80">
        <v>0</v>
      </c>
      <c r="T214" s="80">
        <v>0</v>
      </c>
      <c r="U214" t="s" s="79">
        <v>122</v>
      </c>
      <c r="V214" s="78"/>
      <c r="W214" s="78"/>
      <c r="X214" s="78"/>
      <c r="Y214" s="78"/>
      <c r="Z214" s="78"/>
      <c r="AA214" s="78"/>
      <c r="AB214" t="s" s="79">
        <v>124</v>
      </c>
      <c r="AC214" t="s" s="79">
        <v>124</v>
      </c>
      <c r="AD214" t="s" s="82">
        <v>125</v>
      </c>
      <c r="AE214" s="67"/>
    </row>
    <row r="215" ht="15" customHeight="1">
      <c r="A215" t="s" s="87">
        <v>32</v>
      </c>
      <c r="B215" s="69">
        <v>27.5</v>
      </c>
      <c r="C215" t="b" s="70">
        <v>0</v>
      </c>
      <c r="D215" s="71"/>
      <c r="E215" t="s" s="72">
        <v>548</v>
      </c>
      <c r="F215" t="s" s="72">
        <v>130</v>
      </c>
      <c r="G215" s="73">
        <v>9</v>
      </c>
      <c r="H215" t="s" s="72">
        <v>175</v>
      </c>
      <c r="I215" t="s" s="72">
        <v>200</v>
      </c>
      <c r="J215" s="73">
        <v>23</v>
      </c>
      <c r="K215" t="s" s="72">
        <v>128</v>
      </c>
      <c r="L215" t="s" s="72">
        <v>121</v>
      </c>
      <c r="M215" s="71"/>
      <c r="N215" s="71"/>
      <c r="O215" s="71"/>
      <c r="P215" s="73">
        <v>0</v>
      </c>
      <c r="Q215" s="74">
        <v>0</v>
      </c>
      <c r="R215" s="74">
        <v>0</v>
      </c>
      <c r="S215" s="73">
        <v>0</v>
      </c>
      <c r="T215" s="73">
        <v>0</v>
      </c>
      <c r="U215" t="s" s="72">
        <v>122</v>
      </c>
      <c r="V215" s="73">
        <v>36</v>
      </c>
      <c r="W215" s="74">
        <v>5.93</v>
      </c>
      <c r="X215" s="74">
        <v>5.9</v>
      </c>
      <c r="Y215" s="73">
        <v>2</v>
      </c>
      <c r="Z215" s="73">
        <v>0</v>
      </c>
      <c r="AA215" t="s" s="72">
        <v>123</v>
      </c>
      <c r="AB215" t="s" s="72">
        <v>124</v>
      </c>
      <c r="AC215" t="s" s="72">
        <v>124</v>
      </c>
      <c r="AD215" t="s" s="75">
        <v>125</v>
      </c>
      <c r="AE215" s="67"/>
    </row>
    <row r="216" ht="15" customHeight="1">
      <c r="A216" t="s" s="87">
        <v>32</v>
      </c>
      <c r="B216" s="76">
        <v>27.5</v>
      </c>
      <c r="C216" t="b" s="77">
        <v>0</v>
      </c>
      <c r="D216" s="78"/>
      <c r="E216" t="s" s="79">
        <v>549</v>
      </c>
      <c r="F216" t="s" s="79">
        <v>193</v>
      </c>
      <c r="G216" s="80">
        <v>9</v>
      </c>
      <c r="H216" t="s" s="79">
        <v>175</v>
      </c>
      <c r="I216" t="s" s="79">
        <v>203</v>
      </c>
      <c r="J216" s="80">
        <v>20</v>
      </c>
      <c r="K216" t="s" s="79">
        <v>550</v>
      </c>
      <c r="L216" t="s" s="79">
        <v>121</v>
      </c>
      <c r="M216" s="78"/>
      <c r="N216" s="78"/>
      <c r="O216" s="78"/>
      <c r="P216" s="80">
        <v>1</v>
      </c>
      <c r="Q216" s="81">
        <v>6</v>
      </c>
      <c r="R216" s="81">
        <v>6</v>
      </c>
      <c r="S216" s="80">
        <v>0</v>
      </c>
      <c r="T216" s="80">
        <v>0</v>
      </c>
      <c r="U216" t="s" s="79">
        <v>122</v>
      </c>
      <c r="V216" s="80">
        <v>28</v>
      </c>
      <c r="W216" s="81">
        <v>5.66</v>
      </c>
      <c r="X216" s="81">
        <v>5.61</v>
      </c>
      <c r="Y216" s="80">
        <v>0</v>
      </c>
      <c r="Z216" s="80">
        <v>2</v>
      </c>
      <c r="AA216" t="s" s="79">
        <v>123</v>
      </c>
      <c r="AB216" t="s" s="79">
        <v>124</v>
      </c>
      <c r="AC216" t="s" s="79">
        <v>124</v>
      </c>
      <c r="AD216" t="s" s="82">
        <v>125</v>
      </c>
      <c r="AE216" s="67"/>
    </row>
    <row r="217" ht="15" customHeight="1">
      <c r="A217" t="s" s="87">
        <v>32</v>
      </c>
      <c r="B217" s="69">
        <v>26.3</v>
      </c>
      <c r="C217" t="b" s="70">
        <v>0</v>
      </c>
      <c r="D217" s="71"/>
      <c r="E217" t="s" s="72">
        <v>551</v>
      </c>
      <c r="F217" t="s" s="72">
        <v>130</v>
      </c>
      <c r="G217" s="73">
        <v>9</v>
      </c>
      <c r="H217" t="s" s="72">
        <v>175</v>
      </c>
      <c r="I217" t="s" s="72">
        <v>175</v>
      </c>
      <c r="J217" s="73">
        <v>28</v>
      </c>
      <c r="K217" t="s" s="72">
        <v>552</v>
      </c>
      <c r="L217" t="s" s="72">
        <v>154</v>
      </c>
      <c r="M217" s="71"/>
      <c r="N217" s="71"/>
      <c r="O217" s="71"/>
      <c r="P217" s="73">
        <v>1</v>
      </c>
      <c r="Q217" s="74">
        <v>6</v>
      </c>
      <c r="R217" s="74">
        <v>6</v>
      </c>
      <c r="S217" s="73">
        <v>0</v>
      </c>
      <c r="T217" s="73">
        <v>0</v>
      </c>
      <c r="U217" t="s" s="72">
        <v>122</v>
      </c>
      <c r="V217" s="73">
        <v>14</v>
      </c>
      <c r="W217" s="74">
        <v>5.61</v>
      </c>
      <c r="X217" s="74">
        <v>5.68</v>
      </c>
      <c r="Y217" s="73">
        <v>1</v>
      </c>
      <c r="Z217" s="73">
        <v>1</v>
      </c>
      <c r="AA217" t="s" s="72">
        <v>123</v>
      </c>
      <c r="AB217" t="s" s="72">
        <v>124</v>
      </c>
      <c r="AC217" t="s" s="72">
        <v>124</v>
      </c>
      <c r="AD217" t="s" s="75">
        <v>125</v>
      </c>
      <c r="AE217" s="67"/>
    </row>
    <row r="218" ht="15" customHeight="1">
      <c r="A218" t="s" s="87">
        <v>32</v>
      </c>
      <c r="B218" s="76">
        <v>26</v>
      </c>
      <c r="C218" t="b" s="77">
        <v>0</v>
      </c>
      <c r="D218" t="s" s="85">
        <v>161</v>
      </c>
      <c r="E218" t="s" s="79">
        <v>553</v>
      </c>
      <c r="F218" t="s" s="79">
        <v>183</v>
      </c>
      <c r="G218" s="80">
        <v>9</v>
      </c>
      <c r="H218" t="s" s="79">
        <v>175</v>
      </c>
      <c r="I218" t="s" s="79">
        <v>408</v>
      </c>
      <c r="J218" s="80">
        <v>23</v>
      </c>
      <c r="K218" t="s" s="79">
        <v>554</v>
      </c>
      <c r="L218" t="s" s="79">
        <v>121</v>
      </c>
      <c r="M218" s="78"/>
      <c r="N218" s="78"/>
      <c r="O218" s="78"/>
      <c r="P218" s="80">
        <v>1</v>
      </c>
      <c r="Q218" s="81">
        <v>5</v>
      </c>
      <c r="R218" s="81">
        <v>3</v>
      </c>
      <c r="S218" s="80">
        <v>0</v>
      </c>
      <c r="T218" s="80">
        <v>0</v>
      </c>
      <c r="U218" t="s" s="79">
        <v>122</v>
      </c>
      <c r="V218" s="78"/>
      <c r="W218" s="78"/>
      <c r="X218" s="78"/>
      <c r="Y218" s="78"/>
      <c r="Z218" s="78"/>
      <c r="AA218" s="78"/>
      <c r="AB218" t="s" s="79">
        <v>124</v>
      </c>
      <c r="AC218" t="s" s="79">
        <v>124</v>
      </c>
      <c r="AD218" t="s" s="82">
        <v>125</v>
      </c>
      <c r="AE218" s="67"/>
    </row>
    <row r="219" ht="15" customHeight="1">
      <c r="A219" t="s" s="87">
        <v>32</v>
      </c>
      <c r="B219" s="69">
        <v>25.7</v>
      </c>
      <c r="C219" t="b" s="70">
        <v>0</v>
      </c>
      <c r="D219" s="71"/>
      <c r="E219" t="s" s="72">
        <v>555</v>
      </c>
      <c r="F219" t="s" s="72">
        <v>193</v>
      </c>
      <c r="G219" s="73">
        <v>9</v>
      </c>
      <c r="H219" t="s" s="72">
        <v>175</v>
      </c>
      <c r="I219" t="s" s="72">
        <v>175</v>
      </c>
      <c r="J219" s="73">
        <v>27</v>
      </c>
      <c r="K219" t="s" s="72">
        <v>316</v>
      </c>
      <c r="L219" t="s" s="72">
        <v>154</v>
      </c>
      <c r="M219" s="71"/>
      <c r="N219" s="71"/>
      <c r="O219" s="71"/>
      <c r="P219" s="73">
        <v>0</v>
      </c>
      <c r="Q219" s="74">
        <v>0</v>
      </c>
      <c r="R219" s="74">
        <v>0</v>
      </c>
      <c r="S219" s="73">
        <v>0</v>
      </c>
      <c r="T219" s="73">
        <v>0</v>
      </c>
      <c r="U219" t="s" s="72">
        <v>122</v>
      </c>
      <c r="V219" s="73">
        <v>27</v>
      </c>
      <c r="W219" s="74">
        <v>5.87</v>
      </c>
      <c r="X219" s="74">
        <v>5.74</v>
      </c>
      <c r="Y219" s="73">
        <v>0</v>
      </c>
      <c r="Z219" s="73">
        <v>0</v>
      </c>
      <c r="AA219" t="s" s="72">
        <v>123</v>
      </c>
      <c r="AB219" t="s" s="72">
        <v>124</v>
      </c>
      <c r="AC219" t="s" s="72">
        <v>124</v>
      </c>
      <c r="AD219" t="s" s="75">
        <v>125</v>
      </c>
      <c r="AE219" s="67"/>
    </row>
    <row r="220" ht="15" customHeight="1">
      <c r="A220" t="s" s="87">
        <v>32</v>
      </c>
      <c r="B220" s="76">
        <v>25.7</v>
      </c>
      <c r="C220" t="b" s="77">
        <v>0</v>
      </c>
      <c r="D220" s="78"/>
      <c r="E220" t="s" s="79">
        <v>556</v>
      </c>
      <c r="F220" t="s" s="79">
        <v>163</v>
      </c>
      <c r="G220" s="80">
        <v>10</v>
      </c>
      <c r="H220" t="s" s="79">
        <v>175</v>
      </c>
      <c r="I220" t="s" s="79">
        <v>445</v>
      </c>
      <c r="J220" s="80">
        <v>34</v>
      </c>
      <c r="K220" t="s" s="79">
        <v>557</v>
      </c>
      <c r="L220" t="s" s="79">
        <v>154</v>
      </c>
      <c r="M220" s="78"/>
      <c r="N220" s="78"/>
      <c r="O220" s="78"/>
      <c r="P220" s="80">
        <v>0</v>
      </c>
      <c r="Q220" s="81">
        <v>0</v>
      </c>
      <c r="R220" s="81">
        <v>0</v>
      </c>
      <c r="S220" s="80">
        <v>0</v>
      </c>
      <c r="T220" s="80">
        <v>0</v>
      </c>
      <c r="U220" t="s" s="79">
        <v>122</v>
      </c>
      <c r="V220" s="78"/>
      <c r="W220" s="78"/>
      <c r="X220" s="78"/>
      <c r="Y220" s="78"/>
      <c r="Z220" s="78"/>
      <c r="AA220" s="78"/>
      <c r="AB220" t="s" s="79">
        <v>124</v>
      </c>
      <c r="AC220" t="s" s="79">
        <v>124</v>
      </c>
      <c r="AD220" t="s" s="82">
        <v>125</v>
      </c>
      <c r="AE220" s="67"/>
    </row>
    <row r="221" ht="15" customHeight="1">
      <c r="A221" t="s" s="87">
        <v>32</v>
      </c>
      <c r="B221" s="69">
        <v>24.1</v>
      </c>
      <c r="C221" t="b" s="70">
        <v>0</v>
      </c>
      <c r="D221" s="71"/>
      <c r="E221" t="s" s="72">
        <v>558</v>
      </c>
      <c r="F221" t="s" s="72">
        <v>147</v>
      </c>
      <c r="G221" s="73">
        <v>10</v>
      </c>
      <c r="H221" t="s" s="72">
        <v>175</v>
      </c>
      <c r="I221" t="s" s="72">
        <v>559</v>
      </c>
      <c r="J221" s="73">
        <v>21</v>
      </c>
      <c r="K221" t="s" s="72">
        <v>560</v>
      </c>
      <c r="L221" t="s" s="72">
        <v>154</v>
      </c>
      <c r="M221" s="71"/>
      <c r="N221" s="71"/>
      <c r="O221" t="s" s="88">
        <v>268</v>
      </c>
      <c r="P221" s="73">
        <v>0</v>
      </c>
      <c r="Q221" s="74">
        <v>0</v>
      </c>
      <c r="R221" s="74">
        <v>0</v>
      </c>
      <c r="S221" s="73">
        <v>0</v>
      </c>
      <c r="T221" s="73">
        <v>0</v>
      </c>
      <c r="U221" t="s" s="72">
        <v>122</v>
      </c>
      <c r="V221" s="73">
        <v>19</v>
      </c>
      <c r="W221" s="74">
        <v>5.95</v>
      </c>
      <c r="X221" s="74">
        <v>6.18</v>
      </c>
      <c r="Y221" s="73">
        <v>2</v>
      </c>
      <c r="Z221" s="73">
        <v>0</v>
      </c>
      <c r="AA221" t="s" s="72">
        <v>123</v>
      </c>
      <c r="AB221" t="s" s="72">
        <v>124</v>
      </c>
      <c r="AC221" t="s" s="72">
        <v>124</v>
      </c>
      <c r="AD221" t="s" s="75">
        <v>125</v>
      </c>
      <c r="AE221" s="67"/>
    </row>
    <row r="222" ht="15" customHeight="1">
      <c r="A222" t="s" s="87">
        <v>32</v>
      </c>
      <c r="B222" s="76">
        <v>23.1</v>
      </c>
      <c r="C222" t="b" s="77">
        <v>0</v>
      </c>
      <c r="D222" t="s" s="85">
        <v>161</v>
      </c>
      <c r="E222" t="s" s="79">
        <v>561</v>
      </c>
      <c r="F222" t="s" s="79">
        <v>193</v>
      </c>
      <c r="G222" s="80">
        <v>8</v>
      </c>
      <c r="H222" t="s" s="79">
        <v>562</v>
      </c>
      <c r="I222" t="s" s="79">
        <v>563</v>
      </c>
      <c r="J222" s="80">
        <v>24</v>
      </c>
      <c r="K222" t="s" s="79">
        <v>190</v>
      </c>
      <c r="L222" t="s" s="79">
        <v>154</v>
      </c>
      <c r="M222" s="78"/>
      <c r="N222" s="78"/>
      <c r="O222" s="78"/>
      <c r="P222" s="80">
        <v>1</v>
      </c>
      <c r="Q222" s="81">
        <v>6</v>
      </c>
      <c r="R222" s="81">
        <v>6</v>
      </c>
      <c r="S222" s="80">
        <v>0</v>
      </c>
      <c r="T222" s="80">
        <v>0</v>
      </c>
      <c r="U222" t="s" s="79">
        <v>122</v>
      </c>
      <c r="V222" s="80">
        <v>11</v>
      </c>
      <c r="W222" s="81">
        <v>5.59</v>
      </c>
      <c r="X222" s="81">
        <v>5.36</v>
      </c>
      <c r="Y222" s="80">
        <v>0</v>
      </c>
      <c r="Z222" s="80">
        <v>0</v>
      </c>
      <c r="AA222" t="s" s="79">
        <v>123</v>
      </c>
      <c r="AB222" t="s" s="79">
        <v>124</v>
      </c>
      <c r="AC222" t="s" s="79">
        <v>124</v>
      </c>
      <c r="AD222" t="s" s="82">
        <v>125</v>
      </c>
      <c r="AE222" s="67"/>
    </row>
    <row r="223" ht="15" customHeight="1">
      <c r="A223" t="s" s="87">
        <v>32</v>
      </c>
      <c r="B223" s="69">
        <v>22.8</v>
      </c>
      <c r="C223" t="b" s="70">
        <v>0</v>
      </c>
      <c r="D223" s="71"/>
      <c r="E223" t="s" s="72">
        <v>564</v>
      </c>
      <c r="F223" t="s" s="72">
        <v>153</v>
      </c>
      <c r="G223" s="73">
        <v>10</v>
      </c>
      <c r="H223" t="s" s="72">
        <v>175</v>
      </c>
      <c r="I223" t="s" s="72">
        <v>559</v>
      </c>
      <c r="J223" s="73">
        <v>22</v>
      </c>
      <c r="K223" t="s" s="72">
        <v>128</v>
      </c>
      <c r="L223" t="s" s="72">
        <v>121</v>
      </c>
      <c r="M223" s="71"/>
      <c r="N223" s="71"/>
      <c r="O223" t="s" s="88">
        <v>525</v>
      </c>
      <c r="P223" s="73">
        <v>0</v>
      </c>
      <c r="Q223" s="74">
        <v>0</v>
      </c>
      <c r="R223" s="74">
        <v>0</v>
      </c>
      <c r="S223" s="73">
        <v>0</v>
      </c>
      <c r="T223" s="73">
        <v>0</v>
      </c>
      <c r="U223" t="s" s="72">
        <v>122</v>
      </c>
      <c r="V223" s="73">
        <v>11</v>
      </c>
      <c r="W223" s="74">
        <v>5.73</v>
      </c>
      <c r="X223" s="74">
        <v>5.73</v>
      </c>
      <c r="Y223" s="73">
        <v>0</v>
      </c>
      <c r="Z223" s="73">
        <v>1</v>
      </c>
      <c r="AA223" t="s" s="72">
        <v>123</v>
      </c>
      <c r="AB223" t="s" s="72">
        <v>124</v>
      </c>
      <c r="AC223" t="s" s="72">
        <v>124</v>
      </c>
      <c r="AD223" t="s" s="75">
        <v>125</v>
      </c>
      <c r="AE223" s="67"/>
    </row>
    <row r="224" ht="15" customHeight="1">
      <c r="A224" t="s" s="87">
        <v>32</v>
      </c>
      <c r="B224" s="76">
        <v>22.4</v>
      </c>
      <c r="C224" t="b" s="77">
        <v>0</v>
      </c>
      <c r="D224" s="78"/>
      <c r="E224" t="s" s="79">
        <v>565</v>
      </c>
      <c r="F224" t="s" s="79">
        <v>144</v>
      </c>
      <c r="G224" s="80">
        <v>8</v>
      </c>
      <c r="H224" t="s" s="79">
        <v>566</v>
      </c>
      <c r="I224" t="s" s="79">
        <v>567</v>
      </c>
      <c r="J224" s="80">
        <v>21</v>
      </c>
      <c r="K224" t="s" s="79">
        <v>313</v>
      </c>
      <c r="L224" t="s" s="79">
        <v>121</v>
      </c>
      <c r="M224" s="78"/>
      <c r="N224" s="78"/>
      <c r="O224" s="78"/>
      <c r="P224" s="80">
        <v>2</v>
      </c>
      <c r="Q224" s="81">
        <v>6</v>
      </c>
      <c r="R224" s="81">
        <v>6</v>
      </c>
      <c r="S224" s="80">
        <v>0</v>
      </c>
      <c r="T224" s="80">
        <v>0</v>
      </c>
      <c r="U224" t="s" s="79">
        <v>122</v>
      </c>
      <c r="V224" s="80">
        <v>6</v>
      </c>
      <c r="W224" s="81">
        <v>5.75</v>
      </c>
      <c r="X224" s="81">
        <v>5.58</v>
      </c>
      <c r="Y224" s="80">
        <v>0</v>
      </c>
      <c r="Z224" s="80">
        <v>0</v>
      </c>
      <c r="AA224" t="s" s="79">
        <v>123</v>
      </c>
      <c r="AB224" t="s" s="79">
        <v>124</v>
      </c>
      <c r="AC224" t="s" s="79">
        <v>124</v>
      </c>
      <c r="AD224" t="s" s="82">
        <v>125</v>
      </c>
      <c r="AE224" s="67"/>
    </row>
    <row r="225" ht="15" customHeight="1">
      <c r="A225" t="s" s="87">
        <v>32</v>
      </c>
      <c r="B225" s="69">
        <v>20.5</v>
      </c>
      <c r="C225" t="b" s="70">
        <v>0</v>
      </c>
      <c r="D225" s="71"/>
      <c r="E225" t="s" s="72">
        <v>568</v>
      </c>
      <c r="F225" t="s" s="72">
        <v>183</v>
      </c>
      <c r="G225" s="73">
        <v>9</v>
      </c>
      <c r="H225" t="s" s="72">
        <v>175</v>
      </c>
      <c r="I225" t="s" s="72">
        <v>569</v>
      </c>
      <c r="J225" s="73">
        <v>26</v>
      </c>
      <c r="K225" t="s" s="72">
        <v>395</v>
      </c>
      <c r="L225" t="s" s="72">
        <v>154</v>
      </c>
      <c r="M225" s="71"/>
      <c r="N225" s="71"/>
      <c r="O225" t="s" s="88">
        <v>268</v>
      </c>
      <c r="P225" s="73">
        <v>2</v>
      </c>
      <c r="Q225" s="74">
        <v>5.75</v>
      </c>
      <c r="R225" s="74">
        <v>5.75</v>
      </c>
      <c r="S225" s="73">
        <v>0</v>
      </c>
      <c r="T225" s="73">
        <v>0</v>
      </c>
      <c r="U225" t="s" s="72">
        <v>122</v>
      </c>
      <c r="V225" s="71"/>
      <c r="W225" s="71"/>
      <c r="X225" s="71"/>
      <c r="Y225" s="71"/>
      <c r="Z225" s="71"/>
      <c r="AA225" s="71"/>
      <c r="AB225" t="s" s="72">
        <v>124</v>
      </c>
      <c r="AC225" t="s" s="72">
        <v>124</v>
      </c>
      <c r="AD225" t="s" s="75">
        <v>125</v>
      </c>
      <c r="AE225" s="67"/>
    </row>
    <row r="226" ht="15" customHeight="1">
      <c r="A226" t="s" s="87">
        <v>32</v>
      </c>
      <c r="B226" s="76">
        <v>19.9</v>
      </c>
      <c r="C226" t="b" s="77">
        <v>0</v>
      </c>
      <c r="D226" s="78"/>
      <c r="E226" t="s" s="79">
        <v>570</v>
      </c>
      <c r="F226" t="s" s="79">
        <v>141</v>
      </c>
      <c r="G226" s="80">
        <v>8</v>
      </c>
      <c r="H226" t="s" s="79">
        <v>175</v>
      </c>
      <c r="I226" t="s" s="79">
        <v>175</v>
      </c>
      <c r="J226" s="80">
        <v>27</v>
      </c>
      <c r="K226" t="s" s="79">
        <v>204</v>
      </c>
      <c r="L226" s="78"/>
      <c r="M226" s="78"/>
      <c r="N226" s="78"/>
      <c r="O226" s="78"/>
      <c r="P226" s="78"/>
      <c r="Q226" s="78"/>
      <c r="R226" s="78"/>
      <c r="S226" s="78"/>
      <c r="T226" s="78"/>
      <c r="U226" s="78"/>
      <c r="V226" s="80">
        <v>11</v>
      </c>
      <c r="W226" s="81">
        <v>5.77</v>
      </c>
      <c r="X226" s="81">
        <v>5.64</v>
      </c>
      <c r="Y226" s="80">
        <v>0</v>
      </c>
      <c r="Z226" s="80">
        <v>1</v>
      </c>
      <c r="AA226" t="s" s="79">
        <v>123</v>
      </c>
      <c r="AB226" t="s" s="79">
        <v>125</v>
      </c>
      <c r="AC226" s="78"/>
      <c r="AD226" t="s" s="82">
        <v>125</v>
      </c>
      <c r="AE226" s="67"/>
    </row>
    <row r="227" ht="15" customHeight="1">
      <c r="A227" t="s" s="87">
        <v>32</v>
      </c>
      <c r="B227" s="69">
        <v>19.8</v>
      </c>
      <c r="C227" t="b" s="70">
        <v>0</v>
      </c>
      <c r="D227" s="71"/>
      <c r="E227" t="s" s="72">
        <v>571</v>
      </c>
      <c r="F227" t="s" s="72">
        <v>163</v>
      </c>
      <c r="G227" s="73">
        <v>8</v>
      </c>
      <c r="H227" t="s" s="72">
        <v>175</v>
      </c>
      <c r="I227" t="s" s="72">
        <v>175</v>
      </c>
      <c r="J227" s="73">
        <v>33</v>
      </c>
      <c r="K227" t="s" s="72">
        <v>128</v>
      </c>
      <c r="L227" t="s" s="72">
        <v>154</v>
      </c>
      <c r="M227" s="71"/>
      <c r="N227" s="71"/>
      <c r="O227" s="71"/>
      <c r="P227" s="73">
        <v>0</v>
      </c>
      <c r="Q227" s="74">
        <v>0</v>
      </c>
      <c r="R227" s="74">
        <v>0</v>
      </c>
      <c r="S227" s="73">
        <v>0</v>
      </c>
      <c r="T227" s="73">
        <v>0</v>
      </c>
      <c r="U227" t="s" s="72">
        <v>122</v>
      </c>
      <c r="V227" s="73">
        <v>11</v>
      </c>
      <c r="W227" s="74">
        <v>5.73</v>
      </c>
      <c r="X227" s="74">
        <v>5.73</v>
      </c>
      <c r="Y227" s="73">
        <v>0</v>
      </c>
      <c r="Z227" s="73">
        <v>0</v>
      </c>
      <c r="AA227" t="s" s="72">
        <v>123</v>
      </c>
      <c r="AB227" t="s" s="72">
        <v>124</v>
      </c>
      <c r="AC227" t="s" s="72">
        <v>124</v>
      </c>
      <c r="AD227" t="s" s="75">
        <v>125</v>
      </c>
      <c r="AE227" s="67"/>
    </row>
    <row r="228" ht="15" customHeight="1">
      <c r="A228" t="s" s="87">
        <v>32</v>
      </c>
      <c r="B228" s="76">
        <v>19.7</v>
      </c>
      <c r="C228" t="b" s="77">
        <v>0</v>
      </c>
      <c r="D228" s="78"/>
      <c r="E228" t="s" s="79">
        <v>572</v>
      </c>
      <c r="F228" t="s" s="79">
        <v>159</v>
      </c>
      <c r="G228" s="80">
        <v>7</v>
      </c>
      <c r="H228" t="s" s="79">
        <v>175</v>
      </c>
      <c r="I228" t="s" s="79">
        <v>175</v>
      </c>
      <c r="J228" s="80">
        <v>27</v>
      </c>
      <c r="K228" t="s" s="79">
        <v>547</v>
      </c>
      <c r="L228" t="s" s="79">
        <v>154</v>
      </c>
      <c r="M228" s="78"/>
      <c r="N228" s="78"/>
      <c r="O228" s="78"/>
      <c r="P228" s="80">
        <v>2</v>
      </c>
      <c r="Q228" s="81">
        <v>5.75</v>
      </c>
      <c r="R228" s="81">
        <v>5.75</v>
      </c>
      <c r="S228" s="80">
        <v>0</v>
      </c>
      <c r="T228" s="80">
        <v>0</v>
      </c>
      <c r="U228" t="s" s="79">
        <v>122</v>
      </c>
      <c r="V228" s="80">
        <v>16</v>
      </c>
      <c r="W228" s="81">
        <v>5.75</v>
      </c>
      <c r="X228" s="81">
        <v>5.72</v>
      </c>
      <c r="Y228" s="80">
        <v>0</v>
      </c>
      <c r="Z228" s="80">
        <v>1</v>
      </c>
      <c r="AA228" t="s" s="79">
        <v>123</v>
      </c>
      <c r="AB228" t="s" s="79">
        <v>124</v>
      </c>
      <c r="AC228" t="s" s="79">
        <v>124</v>
      </c>
      <c r="AD228" t="s" s="82">
        <v>125</v>
      </c>
      <c r="AE228" s="67"/>
    </row>
    <row r="229" ht="15" customHeight="1">
      <c r="A229" t="s" s="87">
        <v>32</v>
      </c>
      <c r="B229" s="69">
        <v>19.4</v>
      </c>
      <c r="C229" t="b" s="70">
        <v>0</v>
      </c>
      <c r="D229" s="71"/>
      <c r="E229" t="s" s="72">
        <v>573</v>
      </c>
      <c r="F229" t="s" s="72">
        <v>172</v>
      </c>
      <c r="G229" s="73">
        <v>8</v>
      </c>
      <c r="H229" t="s" s="72">
        <v>175</v>
      </c>
      <c r="I229" t="s" s="72">
        <v>445</v>
      </c>
      <c r="J229" s="73">
        <v>25</v>
      </c>
      <c r="K229" t="s" s="72">
        <v>157</v>
      </c>
      <c r="L229" t="s" s="72">
        <v>121</v>
      </c>
      <c r="M229" s="71"/>
      <c r="N229" s="71"/>
      <c r="O229" s="71"/>
      <c r="P229" s="73">
        <v>1</v>
      </c>
      <c r="Q229" s="74">
        <v>6.5</v>
      </c>
      <c r="R229" s="74">
        <v>9.5</v>
      </c>
      <c r="S229" s="73">
        <v>1</v>
      </c>
      <c r="T229" s="73">
        <v>0</v>
      </c>
      <c r="U229" t="s" s="72">
        <v>122</v>
      </c>
      <c r="V229" s="73">
        <v>0</v>
      </c>
      <c r="W229" s="74">
        <v>0</v>
      </c>
      <c r="X229" s="74">
        <v>0</v>
      </c>
      <c r="Y229" s="73">
        <v>0</v>
      </c>
      <c r="Z229" s="73">
        <v>0</v>
      </c>
      <c r="AA229" t="s" s="72">
        <v>123</v>
      </c>
      <c r="AB229" t="s" s="72">
        <v>124</v>
      </c>
      <c r="AC229" t="s" s="72">
        <v>124</v>
      </c>
      <c r="AD229" t="s" s="75">
        <v>125</v>
      </c>
      <c r="AE229" s="67"/>
    </row>
    <row r="230" ht="15" customHeight="1">
      <c r="A230" t="s" s="87">
        <v>32</v>
      </c>
      <c r="B230" s="76">
        <v>17.9</v>
      </c>
      <c r="C230" t="b" s="77">
        <v>0</v>
      </c>
      <c r="D230" s="78"/>
      <c r="E230" t="s" s="79">
        <v>574</v>
      </c>
      <c r="F230" t="s" s="79">
        <v>156</v>
      </c>
      <c r="G230" s="80">
        <v>8</v>
      </c>
      <c r="H230" t="s" s="79">
        <v>175</v>
      </c>
      <c r="I230" t="s" s="79">
        <v>493</v>
      </c>
      <c r="J230" s="80">
        <v>21</v>
      </c>
      <c r="K230" t="s" s="79">
        <v>575</v>
      </c>
      <c r="L230" t="s" s="79">
        <v>154</v>
      </c>
      <c r="M230" s="78"/>
      <c r="N230" s="78"/>
      <c r="O230" s="78"/>
      <c r="P230" s="80">
        <v>0</v>
      </c>
      <c r="Q230" s="81">
        <v>0</v>
      </c>
      <c r="R230" s="81">
        <v>0</v>
      </c>
      <c r="S230" s="80">
        <v>0</v>
      </c>
      <c r="T230" s="80">
        <v>0</v>
      </c>
      <c r="U230" t="s" s="79">
        <v>122</v>
      </c>
      <c r="V230" s="78"/>
      <c r="W230" s="78"/>
      <c r="X230" s="78"/>
      <c r="Y230" s="78"/>
      <c r="Z230" s="78"/>
      <c r="AA230" s="78"/>
      <c r="AB230" t="s" s="79">
        <v>124</v>
      </c>
      <c r="AC230" t="s" s="79">
        <v>124</v>
      </c>
      <c r="AD230" t="s" s="82">
        <v>125</v>
      </c>
      <c r="AE230" s="67"/>
    </row>
    <row r="231" ht="15" customHeight="1">
      <c r="A231" t="s" s="87">
        <v>32</v>
      </c>
      <c r="B231" s="69">
        <v>17.9</v>
      </c>
      <c r="C231" t="b" s="70">
        <v>0</v>
      </c>
      <c r="D231" s="71"/>
      <c r="E231" t="s" s="72">
        <v>576</v>
      </c>
      <c r="F231" t="s" s="72">
        <v>141</v>
      </c>
      <c r="G231" s="73">
        <v>8</v>
      </c>
      <c r="H231" t="s" s="72">
        <v>175</v>
      </c>
      <c r="I231" t="s" s="72">
        <v>445</v>
      </c>
      <c r="J231" s="73">
        <v>32</v>
      </c>
      <c r="K231" t="s" s="72">
        <v>128</v>
      </c>
      <c r="L231" t="s" s="72">
        <v>328</v>
      </c>
      <c r="M231" s="71"/>
      <c r="N231" s="71"/>
      <c r="O231" s="71"/>
      <c r="P231" s="73">
        <v>0</v>
      </c>
      <c r="Q231" s="74">
        <v>0</v>
      </c>
      <c r="R231" s="74">
        <v>0</v>
      </c>
      <c r="S231" s="73">
        <v>0</v>
      </c>
      <c r="T231" s="73">
        <v>0</v>
      </c>
      <c r="U231" t="s" s="72">
        <v>122</v>
      </c>
      <c r="V231" s="73">
        <v>0</v>
      </c>
      <c r="W231" s="74">
        <v>0</v>
      </c>
      <c r="X231" s="74">
        <v>0</v>
      </c>
      <c r="Y231" s="73">
        <v>0</v>
      </c>
      <c r="Z231" s="73">
        <v>0</v>
      </c>
      <c r="AA231" t="s" s="72">
        <v>123</v>
      </c>
      <c r="AB231" t="s" s="72">
        <v>124</v>
      </c>
      <c r="AC231" t="s" s="72">
        <v>124</v>
      </c>
      <c r="AD231" t="s" s="75">
        <v>125</v>
      </c>
      <c r="AE231" s="67"/>
    </row>
    <row r="232" ht="15" customHeight="1">
      <c r="A232" t="s" s="87">
        <v>32</v>
      </c>
      <c r="B232" s="76">
        <v>17.9</v>
      </c>
      <c r="C232" t="b" s="77">
        <v>0</v>
      </c>
      <c r="D232" s="78"/>
      <c r="E232" t="s" s="79">
        <v>577</v>
      </c>
      <c r="F232" t="s" s="79">
        <v>180</v>
      </c>
      <c r="G232" s="80">
        <v>8</v>
      </c>
      <c r="H232" t="s" s="79">
        <v>175</v>
      </c>
      <c r="I232" t="s" s="79">
        <v>445</v>
      </c>
      <c r="J232" s="80">
        <v>31</v>
      </c>
      <c r="K232" t="s" s="79">
        <v>160</v>
      </c>
      <c r="L232" t="s" s="79">
        <v>121</v>
      </c>
      <c r="M232" s="78"/>
      <c r="N232" s="78"/>
      <c r="O232" s="78"/>
      <c r="P232" s="80">
        <v>0</v>
      </c>
      <c r="Q232" s="81">
        <v>0</v>
      </c>
      <c r="R232" s="81">
        <v>0</v>
      </c>
      <c r="S232" s="80">
        <v>0</v>
      </c>
      <c r="T232" s="80">
        <v>0</v>
      </c>
      <c r="U232" t="s" s="79">
        <v>122</v>
      </c>
      <c r="V232" s="78"/>
      <c r="W232" s="78"/>
      <c r="X232" s="78"/>
      <c r="Y232" s="78"/>
      <c r="Z232" s="78"/>
      <c r="AA232" s="78"/>
      <c r="AB232" t="s" s="79">
        <v>124</v>
      </c>
      <c r="AC232" t="s" s="79">
        <v>124</v>
      </c>
      <c r="AD232" t="s" s="82">
        <v>125</v>
      </c>
      <c r="AE232" s="67"/>
    </row>
    <row r="233" ht="15" customHeight="1">
      <c r="A233" t="s" s="87">
        <v>32</v>
      </c>
      <c r="B233" s="69">
        <v>17.9</v>
      </c>
      <c r="C233" t="b" s="70">
        <v>0</v>
      </c>
      <c r="D233" s="71"/>
      <c r="E233" t="s" s="72">
        <v>578</v>
      </c>
      <c r="F233" t="s" s="72">
        <v>183</v>
      </c>
      <c r="G233" s="73">
        <v>8</v>
      </c>
      <c r="H233" t="s" s="72">
        <v>175</v>
      </c>
      <c r="I233" t="s" s="72">
        <v>493</v>
      </c>
      <c r="J233" s="73">
        <v>22</v>
      </c>
      <c r="K233" t="s" s="72">
        <v>399</v>
      </c>
      <c r="L233" t="s" s="72">
        <v>121</v>
      </c>
      <c r="M233" s="71"/>
      <c r="N233" s="71"/>
      <c r="O233" s="71"/>
      <c r="P233" s="73">
        <v>0</v>
      </c>
      <c r="Q233" s="74">
        <v>0</v>
      </c>
      <c r="R233" s="74">
        <v>0</v>
      </c>
      <c r="S233" s="73">
        <v>0</v>
      </c>
      <c r="T233" s="73">
        <v>0</v>
      </c>
      <c r="U233" t="s" s="72">
        <v>122</v>
      </c>
      <c r="V233" s="71"/>
      <c r="W233" s="71"/>
      <c r="X233" s="71"/>
      <c r="Y233" s="71"/>
      <c r="Z233" s="71"/>
      <c r="AA233" s="71"/>
      <c r="AB233" t="s" s="72">
        <v>124</v>
      </c>
      <c r="AC233" t="s" s="72">
        <v>124</v>
      </c>
      <c r="AD233" t="s" s="75">
        <v>125</v>
      </c>
      <c r="AE233" s="67"/>
    </row>
    <row r="234" ht="15" customHeight="1">
      <c r="A234" t="s" s="87">
        <v>32</v>
      </c>
      <c r="B234" s="76">
        <v>17.4</v>
      </c>
      <c r="C234" t="b" s="77">
        <v>0</v>
      </c>
      <c r="D234" s="78"/>
      <c r="E234" t="s" s="79">
        <v>579</v>
      </c>
      <c r="F234" t="s" s="79">
        <v>117</v>
      </c>
      <c r="G234" s="80">
        <v>7</v>
      </c>
      <c r="H234" t="s" s="79">
        <v>175</v>
      </c>
      <c r="I234" t="s" s="79">
        <v>493</v>
      </c>
      <c r="J234" s="80">
        <v>19</v>
      </c>
      <c r="K234" t="s" s="79">
        <v>128</v>
      </c>
      <c r="L234" t="s" s="79">
        <v>121</v>
      </c>
      <c r="M234" s="78"/>
      <c r="N234" s="78"/>
      <c r="O234" s="78"/>
      <c r="P234" s="80">
        <v>2</v>
      </c>
      <c r="Q234" s="81">
        <v>6.5</v>
      </c>
      <c r="R234" s="81">
        <v>6.5</v>
      </c>
      <c r="S234" s="80">
        <v>0</v>
      </c>
      <c r="T234" s="80">
        <v>0</v>
      </c>
      <c r="U234" t="s" s="79">
        <v>122</v>
      </c>
      <c r="V234" s="78"/>
      <c r="W234" s="78"/>
      <c r="X234" s="78"/>
      <c r="Y234" s="78"/>
      <c r="Z234" s="78"/>
      <c r="AA234" s="78"/>
      <c r="AB234" t="s" s="79">
        <v>124</v>
      </c>
      <c r="AC234" t="s" s="79">
        <v>124</v>
      </c>
      <c r="AD234" t="s" s="82">
        <v>125</v>
      </c>
      <c r="AE234" s="67"/>
    </row>
    <row r="235" ht="15" customHeight="1">
      <c r="A235" t="s" s="87">
        <v>32</v>
      </c>
      <c r="B235" s="69">
        <v>17.2</v>
      </c>
      <c r="C235" t="b" s="70">
        <v>0</v>
      </c>
      <c r="D235" t="s" s="84">
        <v>191</v>
      </c>
      <c r="E235" t="s" s="72">
        <v>580</v>
      </c>
      <c r="F235" t="s" s="72">
        <v>159</v>
      </c>
      <c r="G235" s="73">
        <v>5</v>
      </c>
      <c r="H235" t="s" s="72">
        <v>164</v>
      </c>
      <c r="I235" t="s" s="72">
        <v>581</v>
      </c>
      <c r="J235" s="73">
        <v>18</v>
      </c>
      <c r="K235" t="s" s="72">
        <v>582</v>
      </c>
      <c r="L235" t="s" s="72">
        <v>121</v>
      </c>
      <c r="M235" s="71"/>
      <c r="N235" s="71"/>
      <c r="O235" t="s" s="88">
        <v>377</v>
      </c>
      <c r="P235" s="73">
        <v>1</v>
      </c>
      <c r="Q235" s="74">
        <v>6.5</v>
      </c>
      <c r="R235" s="74">
        <v>6.5</v>
      </c>
      <c r="S235" s="73">
        <v>0</v>
      </c>
      <c r="T235" s="73">
        <v>0</v>
      </c>
      <c r="U235" t="s" s="72">
        <v>122</v>
      </c>
      <c r="V235" s="73">
        <v>4</v>
      </c>
      <c r="W235" s="74">
        <v>5.5</v>
      </c>
      <c r="X235" s="74">
        <v>5.5</v>
      </c>
      <c r="Y235" s="73">
        <v>0</v>
      </c>
      <c r="Z235" s="73">
        <v>0</v>
      </c>
      <c r="AA235" t="s" s="72">
        <v>123</v>
      </c>
      <c r="AB235" t="s" s="72">
        <v>124</v>
      </c>
      <c r="AC235" t="s" s="72">
        <v>124</v>
      </c>
      <c r="AD235" t="s" s="75">
        <v>125</v>
      </c>
      <c r="AE235" s="67"/>
    </row>
    <row r="236" ht="15" customHeight="1">
      <c r="A236" t="s" s="87">
        <v>32</v>
      </c>
      <c r="B236" s="76">
        <v>16.3</v>
      </c>
      <c r="C236" t="b" s="77">
        <v>0</v>
      </c>
      <c r="D236" s="78"/>
      <c r="E236" t="s" s="79">
        <v>583</v>
      </c>
      <c r="F236" t="s" s="79">
        <v>159</v>
      </c>
      <c r="G236" s="80">
        <v>8</v>
      </c>
      <c r="H236" t="s" s="79">
        <v>175</v>
      </c>
      <c r="I236" t="s" s="79">
        <v>266</v>
      </c>
      <c r="J236" s="80">
        <v>25</v>
      </c>
      <c r="K236" t="s" s="79">
        <v>128</v>
      </c>
      <c r="L236" t="s" s="79">
        <v>121</v>
      </c>
      <c r="M236" s="78"/>
      <c r="N236" s="78"/>
      <c r="O236" t="s" s="88">
        <v>377</v>
      </c>
      <c r="P236" s="80">
        <v>0</v>
      </c>
      <c r="Q236" s="81">
        <v>0</v>
      </c>
      <c r="R236" s="81">
        <v>0</v>
      </c>
      <c r="S236" s="80">
        <v>0</v>
      </c>
      <c r="T236" s="80">
        <v>0</v>
      </c>
      <c r="U236" t="s" s="79">
        <v>122</v>
      </c>
      <c r="V236" s="80">
        <v>19</v>
      </c>
      <c r="W236" s="81">
        <v>5.95</v>
      </c>
      <c r="X236" s="81">
        <v>6.18</v>
      </c>
      <c r="Y236" s="80">
        <v>1</v>
      </c>
      <c r="Z236" s="80">
        <v>2</v>
      </c>
      <c r="AA236" t="s" s="79">
        <v>123</v>
      </c>
      <c r="AB236" t="s" s="79">
        <v>124</v>
      </c>
      <c r="AC236" t="s" s="79">
        <v>124</v>
      </c>
      <c r="AD236" t="s" s="82">
        <v>125</v>
      </c>
      <c r="AE236" s="67"/>
    </row>
    <row r="237" ht="15" customHeight="1">
      <c r="A237" t="s" s="87">
        <v>32</v>
      </c>
      <c r="B237" s="69">
        <v>15.7</v>
      </c>
      <c r="C237" t="b" s="70">
        <v>0</v>
      </c>
      <c r="D237" s="71"/>
      <c r="E237" t="s" s="72">
        <v>584</v>
      </c>
      <c r="F237" t="s" s="72">
        <v>156</v>
      </c>
      <c r="G237" s="73">
        <v>6</v>
      </c>
      <c r="H237" t="s" s="72">
        <v>175</v>
      </c>
      <c r="I237" t="s" s="72">
        <v>203</v>
      </c>
      <c r="J237" s="73">
        <v>22</v>
      </c>
      <c r="K237" t="s" s="72">
        <v>206</v>
      </c>
      <c r="L237" t="s" s="72">
        <v>121</v>
      </c>
      <c r="M237" s="71"/>
      <c r="N237" s="71"/>
      <c r="O237" s="71"/>
      <c r="P237" s="73">
        <v>1</v>
      </c>
      <c r="Q237" s="74">
        <v>5</v>
      </c>
      <c r="R237" s="74">
        <v>5</v>
      </c>
      <c r="S237" s="73">
        <v>0</v>
      </c>
      <c r="T237" s="73">
        <v>0</v>
      </c>
      <c r="U237" t="s" s="72">
        <v>122</v>
      </c>
      <c r="V237" s="73">
        <v>10</v>
      </c>
      <c r="W237" s="74">
        <v>5.65</v>
      </c>
      <c r="X237" s="74">
        <v>5.4</v>
      </c>
      <c r="Y237" s="73">
        <v>0</v>
      </c>
      <c r="Z237" s="73">
        <v>0</v>
      </c>
      <c r="AA237" t="s" s="72">
        <v>123</v>
      </c>
      <c r="AB237" t="s" s="72">
        <v>124</v>
      </c>
      <c r="AC237" t="s" s="72">
        <v>124</v>
      </c>
      <c r="AD237" t="s" s="75">
        <v>125</v>
      </c>
      <c r="AE237" s="67"/>
    </row>
    <row r="238" ht="15" customHeight="1">
      <c r="A238" t="s" s="87">
        <v>32</v>
      </c>
      <c r="B238" s="76">
        <v>14.6</v>
      </c>
      <c r="C238" t="b" s="77">
        <v>0</v>
      </c>
      <c r="D238" s="78"/>
      <c r="E238" t="s" s="79">
        <v>585</v>
      </c>
      <c r="F238" t="s" s="79">
        <v>183</v>
      </c>
      <c r="G238" s="80">
        <v>6</v>
      </c>
      <c r="H238" t="s" s="79">
        <v>175</v>
      </c>
      <c r="I238" t="s" s="79">
        <v>175</v>
      </c>
      <c r="J238" s="80">
        <v>31</v>
      </c>
      <c r="K238" t="s" s="79">
        <v>128</v>
      </c>
      <c r="L238" t="s" s="79">
        <v>121</v>
      </c>
      <c r="M238" s="78"/>
      <c r="N238" s="78"/>
      <c r="O238" s="78"/>
      <c r="P238" s="80">
        <v>0</v>
      </c>
      <c r="Q238" s="81">
        <v>0</v>
      </c>
      <c r="R238" s="81">
        <v>0</v>
      </c>
      <c r="S238" s="80">
        <v>0</v>
      </c>
      <c r="T238" s="80">
        <v>0</v>
      </c>
      <c r="U238" t="s" s="79">
        <v>122</v>
      </c>
      <c r="V238" s="80">
        <v>9</v>
      </c>
      <c r="W238" s="81">
        <v>5.83</v>
      </c>
      <c r="X238" s="81">
        <v>5.83</v>
      </c>
      <c r="Y238" s="80">
        <v>0</v>
      </c>
      <c r="Z238" s="80">
        <v>1</v>
      </c>
      <c r="AA238" t="s" s="79">
        <v>123</v>
      </c>
      <c r="AB238" t="s" s="79">
        <v>124</v>
      </c>
      <c r="AC238" t="s" s="79">
        <v>124</v>
      </c>
      <c r="AD238" t="s" s="82">
        <v>125</v>
      </c>
      <c r="AE238" s="67"/>
    </row>
    <row r="239" ht="15" customHeight="1">
      <c r="A239" t="s" s="87">
        <v>32</v>
      </c>
      <c r="B239" s="69">
        <v>14.5</v>
      </c>
      <c r="C239" t="b" s="70">
        <v>0</v>
      </c>
      <c r="D239" s="71"/>
      <c r="E239" t="s" s="72">
        <v>586</v>
      </c>
      <c r="F239" t="s" s="72">
        <v>172</v>
      </c>
      <c r="G239" s="73">
        <v>8</v>
      </c>
      <c r="H239" t="s" s="72">
        <v>175</v>
      </c>
      <c r="I239" t="s" s="72">
        <v>266</v>
      </c>
      <c r="J239" s="73">
        <v>28</v>
      </c>
      <c r="K239" t="s" s="72">
        <v>587</v>
      </c>
      <c r="L239" t="s" s="72">
        <v>154</v>
      </c>
      <c r="M239" s="71"/>
      <c r="N239" s="71"/>
      <c r="O239" t="s" s="88">
        <v>268</v>
      </c>
      <c r="P239" s="73">
        <v>0</v>
      </c>
      <c r="Q239" s="74">
        <v>0</v>
      </c>
      <c r="R239" s="74">
        <v>0</v>
      </c>
      <c r="S239" s="73">
        <v>0</v>
      </c>
      <c r="T239" s="73">
        <v>0</v>
      </c>
      <c r="U239" t="s" s="72">
        <v>122</v>
      </c>
      <c r="V239" s="73">
        <v>8</v>
      </c>
      <c r="W239" s="74">
        <v>5.69</v>
      </c>
      <c r="X239" s="74">
        <v>5.56</v>
      </c>
      <c r="Y239" s="73">
        <v>0</v>
      </c>
      <c r="Z239" s="73">
        <v>0</v>
      </c>
      <c r="AA239" t="s" s="72">
        <v>123</v>
      </c>
      <c r="AB239" t="s" s="72">
        <v>124</v>
      </c>
      <c r="AC239" t="s" s="72">
        <v>124</v>
      </c>
      <c r="AD239" t="s" s="75">
        <v>125</v>
      </c>
      <c r="AE239" s="67"/>
    </row>
    <row r="240" ht="15" customHeight="1">
      <c r="A240" t="s" s="87">
        <v>32</v>
      </c>
      <c r="B240" s="76">
        <v>14.4</v>
      </c>
      <c r="C240" t="b" s="77">
        <v>0</v>
      </c>
      <c r="D240" s="78"/>
      <c r="E240" t="s" s="79">
        <v>588</v>
      </c>
      <c r="F240" t="s" s="79">
        <v>156</v>
      </c>
      <c r="G240" s="80">
        <v>7</v>
      </c>
      <c r="H240" t="s" s="79">
        <v>175</v>
      </c>
      <c r="I240" t="s" s="79">
        <v>445</v>
      </c>
      <c r="J240" s="80">
        <v>23</v>
      </c>
      <c r="K240" t="s" s="79">
        <v>589</v>
      </c>
      <c r="L240" t="s" s="79">
        <v>154</v>
      </c>
      <c r="M240" s="78"/>
      <c r="N240" s="78"/>
      <c r="O240" s="78"/>
      <c r="P240" s="80">
        <v>0</v>
      </c>
      <c r="Q240" s="81">
        <v>0</v>
      </c>
      <c r="R240" s="81">
        <v>0</v>
      </c>
      <c r="S240" s="80">
        <v>0</v>
      </c>
      <c r="T240" s="80">
        <v>0</v>
      </c>
      <c r="U240" t="s" s="79">
        <v>122</v>
      </c>
      <c r="V240" s="78"/>
      <c r="W240" s="78"/>
      <c r="X240" s="78"/>
      <c r="Y240" s="78"/>
      <c r="Z240" s="78"/>
      <c r="AA240" s="78"/>
      <c r="AB240" t="s" s="79">
        <v>124</v>
      </c>
      <c r="AC240" t="s" s="79">
        <v>124</v>
      </c>
      <c r="AD240" t="s" s="82">
        <v>125</v>
      </c>
      <c r="AE240" s="67"/>
    </row>
    <row r="241" ht="15" customHeight="1">
      <c r="A241" t="s" s="87">
        <v>32</v>
      </c>
      <c r="B241" s="69">
        <v>14.4</v>
      </c>
      <c r="C241" t="b" s="70">
        <v>0</v>
      </c>
      <c r="D241" s="71"/>
      <c r="E241" t="s" s="72">
        <v>590</v>
      </c>
      <c r="F241" t="s" s="72">
        <v>144</v>
      </c>
      <c r="G241" s="73">
        <v>6</v>
      </c>
      <c r="H241" t="s" s="72">
        <v>175</v>
      </c>
      <c r="I241" t="s" s="72">
        <v>175</v>
      </c>
      <c r="J241" s="73">
        <v>28</v>
      </c>
      <c r="K241" t="s" s="72">
        <v>128</v>
      </c>
      <c r="L241" t="s" s="72">
        <v>121</v>
      </c>
      <c r="M241" s="71"/>
      <c r="N241" s="71"/>
      <c r="O241" s="71"/>
      <c r="P241" s="73">
        <v>0</v>
      </c>
      <c r="Q241" s="74">
        <v>0</v>
      </c>
      <c r="R241" s="74">
        <v>0</v>
      </c>
      <c r="S241" s="73">
        <v>0</v>
      </c>
      <c r="T241" s="73">
        <v>0</v>
      </c>
      <c r="U241" t="s" s="72">
        <v>122</v>
      </c>
      <c r="V241" s="73">
        <v>10</v>
      </c>
      <c r="W241" s="74">
        <v>5.55</v>
      </c>
      <c r="X241" s="74">
        <v>5.55</v>
      </c>
      <c r="Y241" s="73">
        <v>0</v>
      </c>
      <c r="Z241" s="73">
        <v>0</v>
      </c>
      <c r="AA241" t="s" s="72">
        <v>123</v>
      </c>
      <c r="AB241" t="s" s="72">
        <v>124</v>
      </c>
      <c r="AC241" t="s" s="72">
        <v>124</v>
      </c>
      <c r="AD241" t="s" s="75">
        <v>125</v>
      </c>
      <c r="AE241" s="67"/>
    </row>
    <row r="242" ht="15" customHeight="1">
      <c r="A242" t="s" s="87">
        <v>32</v>
      </c>
      <c r="B242" s="76">
        <v>14.1</v>
      </c>
      <c r="C242" t="b" s="77">
        <v>0</v>
      </c>
      <c r="D242" s="78"/>
      <c r="E242" t="s" s="79">
        <v>591</v>
      </c>
      <c r="F242" t="s" s="79">
        <v>168</v>
      </c>
      <c r="G242" s="80">
        <v>6</v>
      </c>
      <c r="H242" t="s" s="79">
        <v>175</v>
      </c>
      <c r="I242" t="s" s="79">
        <v>175</v>
      </c>
      <c r="J242" s="80">
        <v>26</v>
      </c>
      <c r="K242" t="s" s="79">
        <v>142</v>
      </c>
      <c r="L242" t="s" s="79">
        <v>154</v>
      </c>
      <c r="M242" s="78"/>
      <c r="N242" s="78"/>
      <c r="O242" s="78"/>
      <c r="P242" s="80">
        <v>0</v>
      </c>
      <c r="Q242" s="81">
        <v>0</v>
      </c>
      <c r="R242" s="81">
        <v>0</v>
      </c>
      <c r="S242" s="80">
        <v>0</v>
      </c>
      <c r="T242" s="80">
        <v>0</v>
      </c>
      <c r="U242" t="s" s="79">
        <v>122</v>
      </c>
      <c r="V242" s="80">
        <v>5</v>
      </c>
      <c r="W242" s="81">
        <v>5.8</v>
      </c>
      <c r="X242" s="81">
        <v>5.7</v>
      </c>
      <c r="Y242" s="80">
        <v>0</v>
      </c>
      <c r="Z242" s="80">
        <v>0</v>
      </c>
      <c r="AA242" t="s" s="79">
        <v>123</v>
      </c>
      <c r="AB242" t="s" s="79">
        <v>124</v>
      </c>
      <c r="AC242" t="s" s="79">
        <v>124</v>
      </c>
      <c r="AD242" t="s" s="82">
        <v>125</v>
      </c>
      <c r="AE242" s="67"/>
    </row>
    <row r="243" ht="15" customHeight="1">
      <c r="A243" t="s" s="87">
        <v>32</v>
      </c>
      <c r="B243" s="69">
        <v>14</v>
      </c>
      <c r="C243" t="b" s="70">
        <v>0</v>
      </c>
      <c r="D243" s="71"/>
      <c r="E243" t="s" s="72">
        <v>592</v>
      </c>
      <c r="F243" t="s" s="72">
        <v>193</v>
      </c>
      <c r="G243" s="73">
        <v>6</v>
      </c>
      <c r="H243" t="s" s="72">
        <v>175</v>
      </c>
      <c r="I243" t="s" s="72">
        <v>175</v>
      </c>
      <c r="J243" s="73">
        <v>23</v>
      </c>
      <c r="K243" t="s" s="72">
        <v>593</v>
      </c>
      <c r="L243" t="s" s="72">
        <v>154</v>
      </c>
      <c r="M243" s="71"/>
      <c r="N243" s="71"/>
      <c r="O243" s="71"/>
      <c r="P243" s="73">
        <v>0</v>
      </c>
      <c r="Q243" s="74">
        <v>0</v>
      </c>
      <c r="R243" s="74">
        <v>0</v>
      </c>
      <c r="S243" s="73">
        <v>0</v>
      </c>
      <c r="T243" s="73">
        <v>0</v>
      </c>
      <c r="U243" t="s" s="72">
        <v>122</v>
      </c>
      <c r="V243" s="73">
        <v>2</v>
      </c>
      <c r="W243" s="74">
        <v>5.75</v>
      </c>
      <c r="X243" s="74">
        <v>5.75</v>
      </c>
      <c r="Y243" s="73">
        <v>0</v>
      </c>
      <c r="Z243" s="73">
        <v>0</v>
      </c>
      <c r="AA243" t="s" s="72">
        <v>123</v>
      </c>
      <c r="AB243" t="s" s="72">
        <v>124</v>
      </c>
      <c r="AC243" t="s" s="72">
        <v>124</v>
      </c>
      <c r="AD243" t="s" s="75">
        <v>125</v>
      </c>
      <c r="AE243" s="67"/>
    </row>
    <row r="244" ht="15" customHeight="1">
      <c r="A244" t="s" s="87">
        <v>32</v>
      </c>
      <c r="B244" s="76">
        <v>13.8</v>
      </c>
      <c r="C244" t="b" s="77">
        <v>0</v>
      </c>
      <c r="D244" s="78"/>
      <c r="E244" t="s" s="79">
        <v>594</v>
      </c>
      <c r="F244" t="s" s="79">
        <v>187</v>
      </c>
      <c r="G244" s="80">
        <v>5</v>
      </c>
      <c r="H244" t="s" s="79">
        <v>595</v>
      </c>
      <c r="I244" t="s" s="79">
        <v>596</v>
      </c>
      <c r="J244" s="80">
        <v>20</v>
      </c>
      <c r="K244" t="s" s="79">
        <v>597</v>
      </c>
      <c r="L244" t="s" s="79">
        <v>121</v>
      </c>
      <c r="M244" s="78"/>
      <c r="N244" s="78"/>
      <c r="O244" s="78"/>
      <c r="P244" s="80">
        <v>2</v>
      </c>
      <c r="Q244" s="81">
        <v>5.5</v>
      </c>
      <c r="R244" s="81">
        <v>5.25</v>
      </c>
      <c r="S244" s="80">
        <v>0</v>
      </c>
      <c r="T244" s="80">
        <v>0</v>
      </c>
      <c r="U244" t="s" s="79">
        <v>122</v>
      </c>
      <c r="V244" s="80">
        <v>1</v>
      </c>
      <c r="W244" s="81">
        <v>6</v>
      </c>
      <c r="X244" s="81">
        <v>6</v>
      </c>
      <c r="Y244" s="80">
        <v>0</v>
      </c>
      <c r="Z244" s="80">
        <v>0</v>
      </c>
      <c r="AA244" t="s" s="79">
        <v>123</v>
      </c>
      <c r="AB244" t="s" s="79">
        <v>124</v>
      </c>
      <c r="AC244" t="s" s="79">
        <v>124</v>
      </c>
      <c r="AD244" t="s" s="82">
        <v>125</v>
      </c>
      <c r="AE244" s="67"/>
    </row>
    <row r="245" ht="15" customHeight="1">
      <c r="A245" t="s" s="87">
        <v>32</v>
      </c>
      <c r="B245" s="69">
        <v>13.5</v>
      </c>
      <c r="C245" t="b" s="70">
        <v>0</v>
      </c>
      <c r="D245" s="71"/>
      <c r="E245" t="s" s="72">
        <v>598</v>
      </c>
      <c r="F245" t="s" s="72">
        <v>183</v>
      </c>
      <c r="G245" s="73">
        <v>9</v>
      </c>
      <c r="H245" t="s" s="72">
        <v>175</v>
      </c>
      <c r="I245" t="s" s="72">
        <v>599</v>
      </c>
      <c r="J245" s="73">
        <v>28</v>
      </c>
      <c r="K245" t="s" s="72">
        <v>464</v>
      </c>
      <c r="L245" t="s" s="72">
        <v>154</v>
      </c>
      <c r="M245" s="71"/>
      <c r="N245" s="71"/>
      <c r="O245" t="s" s="88">
        <v>600</v>
      </c>
      <c r="P245" s="73">
        <v>0</v>
      </c>
      <c r="Q245" s="74">
        <v>0</v>
      </c>
      <c r="R245" s="74">
        <v>0</v>
      </c>
      <c r="S245" s="73">
        <v>0</v>
      </c>
      <c r="T245" s="73">
        <v>0</v>
      </c>
      <c r="U245" t="s" s="72">
        <v>122</v>
      </c>
      <c r="V245" s="71"/>
      <c r="W245" s="71"/>
      <c r="X245" s="71"/>
      <c r="Y245" s="71"/>
      <c r="Z245" s="71"/>
      <c r="AA245" s="71"/>
      <c r="AB245" t="s" s="72">
        <v>124</v>
      </c>
      <c r="AC245" t="s" s="72">
        <v>124</v>
      </c>
      <c r="AD245" t="s" s="75">
        <v>125</v>
      </c>
      <c r="AE245" s="67"/>
    </row>
    <row r="246" ht="15" customHeight="1">
      <c r="A246" t="s" s="87">
        <v>32</v>
      </c>
      <c r="B246" s="76">
        <v>12.9</v>
      </c>
      <c r="C246" t="b" s="77">
        <v>0</v>
      </c>
      <c r="D246" s="78"/>
      <c r="E246" t="s" s="79">
        <v>601</v>
      </c>
      <c r="F246" t="s" s="79">
        <v>183</v>
      </c>
      <c r="G246" s="80">
        <v>8</v>
      </c>
      <c r="H246" t="s" s="79">
        <v>175</v>
      </c>
      <c r="I246" t="s" s="79">
        <v>602</v>
      </c>
      <c r="J246" s="80">
        <v>22</v>
      </c>
      <c r="K246" t="s" s="79">
        <v>316</v>
      </c>
      <c r="L246" t="s" s="79">
        <v>121</v>
      </c>
      <c r="M246" s="78"/>
      <c r="N246" s="78"/>
      <c r="O246" t="s" s="88">
        <v>268</v>
      </c>
      <c r="P246" s="80">
        <v>0</v>
      </c>
      <c r="Q246" s="81">
        <v>0</v>
      </c>
      <c r="R246" s="81">
        <v>0</v>
      </c>
      <c r="S246" s="80">
        <v>0</v>
      </c>
      <c r="T246" s="80">
        <v>0</v>
      </c>
      <c r="U246" t="s" s="79">
        <v>122</v>
      </c>
      <c r="V246" s="78"/>
      <c r="W246" s="78"/>
      <c r="X246" s="78"/>
      <c r="Y246" s="78"/>
      <c r="Z246" s="78"/>
      <c r="AA246" s="78"/>
      <c r="AB246" t="s" s="79">
        <v>124</v>
      </c>
      <c r="AC246" t="s" s="79">
        <v>124</v>
      </c>
      <c r="AD246" t="s" s="82">
        <v>125</v>
      </c>
      <c r="AE246" s="67"/>
    </row>
    <row r="247" ht="15" customHeight="1">
      <c r="A247" t="s" s="87">
        <v>32</v>
      </c>
      <c r="B247" s="69">
        <v>12.8</v>
      </c>
      <c r="C247" t="b" s="70">
        <v>0</v>
      </c>
      <c r="D247" t="s" s="84">
        <v>161</v>
      </c>
      <c r="E247" t="s" s="72">
        <v>603</v>
      </c>
      <c r="F247" t="s" s="72">
        <v>147</v>
      </c>
      <c r="G247" s="73">
        <v>5</v>
      </c>
      <c r="H247" t="s" s="72">
        <v>175</v>
      </c>
      <c r="I247" t="s" s="72">
        <v>490</v>
      </c>
      <c r="J247" s="73">
        <v>21</v>
      </c>
      <c r="K247" t="s" s="72">
        <v>128</v>
      </c>
      <c r="L247" t="s" s="72">
        <v>121</v>
      </c>
      <c r="M247" s="71"/>
      <c r="N247" s="71"/>
      <c r="O247" s="71"/>
      <c r="P247" s="73">
        <v>1</v>
      </c>
      <c r="Q247" s="74">
        <v>6</v>
      </c>
      <c r="R247" s="74">
        <v>6</v>
      </c>
      <c r="S247" s="73">
        <v>0</v>
      </c>
      <c r="T247" s="73">
        <v>0</v>
      </c>
      <c r="U247" t="s" s="72">
        <v>122</v>
      </c>
      <c r="V247" s="71"/>
      <c r="W247" s="71"/>
      <c r="X247" s="71"/>
      <c r="Y247" s="71"/>
      <c r="Z247" s="71"/>
      <c r="AA247" s="71"/>
      <c r="AB247" t="s" s="72">
        <v>124</v>
      </c>
      <c r="AC247" t="s" s="72">
        <v>124</v>
      </c>
      <c r="AD247" t="s" s="75">
        <v>125</v>
      </c>
      <c r="AE247" s="67"/>
    </row>
    <row r="248" ht="15" customHeight="1">
      <c r="A248" t="s" s="87">
        <v>32</v>
      </c>
      <c r="B248" s="76">
        <v>12.3</v>
      </c>
      <c r="C248" t="b" s="77">
        <v>0</v>
      </c>
      <c r="D248" s="78"/>
      <c r="E248" t="s" s="79">
        <v>604</v>
      </c>
      <c r="F248" t="s" s="79">
        <v>187</v>
      </c>
      <c r="G248" s="80">
        <v>5</v>
      </c>
      <c r="H248" t="s" s="79">
        <v>175</v>
      </c>
      <c r="I248" t="s" s="79">
        <v>445</v>
      </c>
      <c r="J248" s="80">
        <v>23</v>
      </c>
      <c r="K248" t="s" s="79">
        <v>128</v>
      </c>
      <c r="L248" t="s" s="79">
        <v>154</v>
      </c>
      <c r="M248" s="78"/>
      <c r="N248" s="78"/>
      <c r="O248" s="78"/>
      <c r="P248" s="80">
        <v>2</v>
      </c>
      <c r="Q248" s="81">
        <v>5.25</v>
      </c>
      <c r="R248" s="81">
        <v>4.75</v>
      </c>
      <c r="S248" s="80">
        <v>0</v>
      </c>
      <c r="T248" s="80">
        <v>0</v>
      </c>
      <c r="U248" t="s" s="79">
        <v>122</v>
      </c>
      <c r="V248" s="78"/>
      <c r="W248" s="78"/>
      <c r="X248" s="78"/>
      <c r="Y248" s="78"/>
      <c r="Z248" s="78"/>
      <c r="AA248" s="78"/>
      <c r="AB248" t="s" s="79">
        <v>124</v>
      </c>
      <c r="AC248" t="s" s="79">
        <v>124</v>
      </c>
      <c r="AD248" t="s" s="82">
        <v>125</v>
      </c>
      <c r="AE248" s="67"/>
    </row>
    <row r="249" ht="15" customHeight="1">
      <c r="A249" t="s" s="87">
        <v>32</v>
      </c>
      <c r="B249" s="69">
        <v>11.6</v>
      </c>
      <c r="C249" t="b" s="70">
        <v>0</v>
      </c>
      <c r="D249" s="71"/>
      <c r="E249" t="s" s="72">
        <v>605</v>
      </c>
      <c r="F249" t="s" s="72">
        <v>168</v>
      </c>
      <c r="G249" s="73">
        <v>4</v>
      </c>
      <c r="H249" t="s" s="72">
        <v>175</v>
      </c>
      <c r="I249" t="s" s="72">
        <v>175</v>
      </c>
      <c r="J249" s="73">
        <v>26</v>
      </c>
      <c r="K249" t="s" s="72">
        <v>606</v>
      </c>
      <c r="L249" t="s" s="72">
        <v>154</v>
      </c>
      <c r="M249" s="71"/>
      <c r="N249" s="71"/>
      <c r="O249" s="71"/>
      <c r="P249" s="73">
        <v>2</v>
      </c>
      <c r="Q249" s="74">
        <v>5.5</v>
      </c>
      <c r="R249" s="74">
        <v>5.5</v>
      </c>
      <c r="S249" s="73">
        <v>0</v>
      </c>
      <c r="T249" s="73">
        <v>0</v>
      </c>
      <c r="U249" t="s" s="72">
        <v>122</v>
      </c>
      <c r="V249" s="73">
        <v>10</v>
      </c>
      <c r="W249" s="74">
        <v>5.55</v>
      </c>
      <c r="X249" s="74">
        <v>5.55</v>
      </c>
      <c r="Y249" s="73">
        <v>0</v>
      </c>
      <c r="Z249" s="73">
        <v>0</v>
      </c>
      <c r="AA249" t="s" s="72">
        <v>123</v>
      </c>
      <c r="AB249" t="s" s="72">
        <v>124</v>
      </c>
      <c r="AC249" t="s" s="72">
        <v>124</v>
      </c>
      <c r="AD249" t="s" s="75">
        <v>125</v>
      </c>
      <c r="AE249" s="67"/>
    </row>
    <row r="250" ht="15" customHeight="1">
      <c r="A250" t="s" s="87">
        <v>32</v>
      </c>
      <c r="B250" s="76">
        <v>11.4</v>
      </c>
      <c r="C250" t="b" s="77">
        <v>0</v>
      </c>
      <c r="D250" s="78"/>
      <c r="E250" t="s" s="79">
        <v>607</v>
      </c>
      <c r="F250" t="s" s="79">
        <v>144</v>
      </c>
      <c r="G250" s="80">
        <v>5</v>
      </c>
      <c r="H250" t="s" s="79">
        <v>175</v>
      </c>
      <c r="I250" t="s" s="79">
        <v>175</v>
      </c>
      <c r="J250" s="80">
        <v>38</v>
      </c>
      <c r="K250" t="s" s="79">
        <v>128</v>
      </c>
      <c r="L250" t="s" s="79">
        <v>121</v>
      </c>
      <c r="M250" s="78"/>
      <c r="N250" s="78"/>
      <c r="O250" s="78"/>
      <c r="P250" s="80">
        <v>0</v>
      </c>
      <c r="Q250" s="81">
        <v>0</v>
      </c>
      <c r="R250" s="81">
        <v>0</v>
      </c>
      <c r="S250" s="80">
        <v>0</v>
      </c>
      <c r="T250" s="80">
        <v>0</v>
      </c>
      <c r="U250" t="s" s="79">
        <v>122</v>
      </c>
      <c r="V250" s="80">
        <v>10</v>
      </c>
      <c r="W250" s="81">
        <v>6</v>
      </c>
      <c r="X250" s="81">
        <v>5.9</v>
      </c>
      <c r="Y250" s="80">
        <v>0</v>
      </c>
      <c r="Z250" s="80">
        <v>0</v>
      </c>
      <c r="AA250" t="s" s="79">
        <v>123</v>
      </c>
      <c r="AB250" t="s" s="79">
        <v>124</v>
      </c>
      <c r="AC250" t="s" s="79">
        <v>124</v>
      </c>
      <c r="AD250" t="s" s="82">
        <v>125</v>
      </c>
      <c r="AE250" s="67"/>
    </row>
    <row r="251" ht="15" customHeight="1">
      <c r="A251" t="s" s="87">
        <v>32</v>
      </c>
      <c r="B251" s="69">
        <v>11.3</v>
      </c>
      <c r="C251" t="b" s="70">
        <v>0</v>
      </c>
      <c r="D251" t="s" s="84">
        <v>191</v>
      </c>
      <c r="E251" t="s" s="72">
        <v>608</v>
      </c>
      <c r="F251" t="s" s="72">
        <v>130</v>
      </c>
      <c r="G251" s="73">
        <v>5</v>
      </c>
      <c r="H251" t="s" s="72">
        <v>175</v>
      </c>
      <c r="I251" t="s" s="72">
        <v>490</v>
      </c>
      <c r="J251" s="73">
        <v>20</v>
      </c>
      <c r="K251" t="s" s="72">
        <v>609</v>
      </c>
      <c r="L251" t="s" s="72">
        <v>154</v>
      </c>
      <c r="M251" s="71"/>
      <c r="N251" s="71"/>
      <c r="O251" s="71"/>
      <c r="P251" s="73">
        <v>0</v>
      </c>
      <c r="Q251" s="74">
        <v>0</v>
      </c>
      <c r="R251" s="74">
        <v>0</v>
      </c>
      <c r="S251" s="73">
        <v>0</v>
      </c>
      <c r="T251" s="73">
        <v>0</v>
      </c>
      <c r="U251" t="s" s="72">
        <v>122</v>
      </c>
      <c r="V251" s="71"/>
      <c r="W251" s="71"/>
      <c r="X251" s="71"/>
      <c r="Y251" s="71"/>
      <c r="Z251" s="71"/>
      <c r="AA251" s="71"/>
      <c r="AB251" t="s" s="72">
        <v>124</v>
      </c>
      <c r="AC251" t="s" s="72">
        <v>124</v>
      </c>
      <c r="AD251" t="s" s="75">
        <v>125</v>
      </c>
      <c r="AE251" s="67"/>
    </row>
    <row r="252" ht="15" customHeight="1">
      <c r="A252" t="s" s="87">
        <v>32</v>
      </c>
      <c r="B252" s="76">
        <v>11.1</v>
      </c>
      <c r="C252" t="b" s="77">
        <v>0</v>
      </c>
      <c r="D252" s="78"/>
      <c r="E252" t="s" s="79">
        <v>610</v>
      </c>
      <c r="F252" t="s" s="79">
        <v>180</v>
      </c>
      <c r="G252" s="80">
        <v>5</v>
      </c>
      <c r="H252" t="s" s="79">
        <v>175</v>
      </c>
      <c r="I252" t="s" s="79">
        <v>175</v>
      </c>
      <c r="J252" s="80">
        <v>23</v>
      </c>
      <c r="K252" t="s" s="79">
        <v>611</v>
      </c>
      <c r="L252" t="s" s="79">
        <v>121</v>
      </c>
      <c r="M252" s="78"/>
      <c r="N252" s="78"/>
      <c r="O252" s="78"/>
      <c r="P252" s="80">
        <v>0</v>
      </c>
      <c r="Q252" s="81">
        <v>0</v>
      </c>
      <c r="R252" s="81">
        <v>0</v>
      </c>
      <c r="S252" s="80">
        <v>0</v>
      </c>
      <c r="T252" s="80">
        <v>0</v>
      </c>
      <c r="U252" t="s" s="79">
        <v>122</v>
      </c>
      <c r="V252" s="80">
        <v>7</v>
      </c>
      <c r="W252" s="81">
        <v>5.86</v>
      </c>
      <c r="X252" s="81">
        <v>5.79</v>
      </c>
      <c r="Y252" s="80">
        <v>0</v>
      </c>
      <c r="Z252" s="80">
        <v>0</v>
      </c>
      <c r="AA252" t="s" s="79">
        <v>123</v>
      </c>
      <c r="AB252" t="s" s="79">
        <v>124</v>
      </c>
      <c r="AC252" t="s" s="79">
        <v>124</v>
      </c>
      <c r="AD252" t="s" s="82">
        <v>125</v>
      </c>
      <c r="AE252" s="67"/>
    </row>
    <row r="253" ht="15" customHeight="1">
      <c r="A253" t="s" s="87">
        <v>32</v>
      </c>
      <c r="B253" s="69">
        <v>10.9</v>
      </c>
      <c r="C253" t="b" s="70">
        <v>0</v>
      </c>
      <c r="D253" s="71"/>
      <c r="E253" t="s" s="72">
        <v>612</v>
      </c>
      <c r="F253" t="s" s="72">
        <v>159</v>
      </c>
      <c r="G253" s="73">
        <v>5</v>
      </c>
      <c r="H253" t="s" s="72">
        <v>175</v>
      </c>
      <c r="I253" t="s" s="72">
        <v>203</v>
      </c>
      <c r="J253" s="73">
        <v>20</v>
      </c>
      <c r="K253" t="s" s="72">
        <v>230</v>
      </c>
      <c r="L253" t="s" s="72">
        <v>154</v>
      </c>
      <c r="M253" s="71"/>
      <c r="N253" s="71"/>
      <c r="O253" s="71"/>
      <c r="P253" s="73">
        <v>0</v>
      </c>
      <c r="Q253" s="74">
        <v>0</v>
      </c>
      <c r="R253" s="74">
        <v>0</v>
      </c>
      <c r="S253" s="73">
        <v>0</v>
      </c>
      <c r="T253" s="73">
        <v>0</v>
      </c>
      <c r="U253" t="s" s="72">
        <v>122</v>
      </c>
      <c r="V253" s="73">
        <v>5</v>
      </c>
      <c r="W253" s="74">
        <v>5.8</v>
      </c>
      <c r="X253" s="74">
        <v>5.8</v>
      </c>
      <c r="Y253" s="73">
        <v>0</v>
      </c>
      <c r="Z253" s="73">
        <v>0</v>
      </c>
      <c r="AA253" t="s" s="72">
        <v>123</v>
      </c>
      <c r="AB253" t="s" s="72">
        <v>124</v>
      </c>
      <c r="AC253" t="s" s="72">
        <v>124</v>
      </c>
      <c r="AD253" t="s" s="75">
        <v>125</v>
      </c>
      <c r="AE253" s="67"/>
    </row>
    <row r="254" ht="15" customHeight="1">
      <c r="A254" t="s" s="87">
        <v>32</v>
      </c>
      <c r="B254" s="76">
        <v>10.8</v>
      </c>
      <c r="C254" t="b" s="77">
        <v>0</v>
      </c>
      <c r="D254" s="78"/>
      <c r="E254" t="s" s="79">
        <v>613</v>
      </c>
      <c r="F254" t="s" s="79">
        <v>193</v>
      </c>
      <c r="G254" s="80">
        <v>5</v>
      </c>
      <c r="H254" t="s" s="79">
        <v>614</v>
      </c>
      <c r="I254" t="s" s="79">
        <v>615</v>
      </c>
      <c r="J254" s="80">
        <v>19</v>
      </c>
      <c r="K254" t="s" s="79">
        <v>224</v>
      </c>
      <c r="L254" t="s" s="79">
        <v>154</v>
      </c>
      <c r="M254" s="78"/>
      <c r="N254" s="78"/>
      <c r="O254" s="78"/>
      <c r="P254" s="80">
        <v>1</v>
      </c>
      <c r="Q254" s="81">
        <v>5.5</v>
      </c>
      <c r="R254" s="81">
        <v>5.5</v>
      </c>
      <c r="S254" s="80">
        <v>0</v>
      </c>
      <c r="T254" s="80">
        <v>0</v>
      </c>
      <c r="U254" t="s" s="79">
        <v>122</v>
      </c>
      <c r="V254" s="78"/>
      <c r="W254" s="78"/>
      <c r="X254" s="78"/>
      <c r="Y254" s="78"/>
      <c r="Z254" s="78"/>
      <c r="AA254" s="78"/>
      <c r="AB254" t="s" s="79">
        <v>124</v>
      </c>
      <c r="AC254" t="s" s="79">
        <v>124</v>
      </c>
      <c r="AD254" t="s" s="82">
        <v>125</v>
      </c>
      <c r="AE254" s="67"/>
    </row>
    <row r="255" ht="15" customHeight="1">
      <c r="A255" t="s" s="87">
        <v>32</v>
      </c>
      <c r="B255" s="69">
        <v>9.300000000000001</v>
      </c>
      <c r="C255" t="b" s="70">
        <v>0</v>
      </c>
      <c r="D255" s="71"/>
      <c r="E255" t="s" s="72">
        <v>616</v>
      </c>
      <c r="F255" t="s" s="72">
        <v>183</v>
      </c>
      <c r="G255" s="73">
        <v>5</v>
      </c>
      <c r="H255" t="s" s="72">
        <v>175</v>
      </c>
      <c r="I255" t="s" s="72">
        <v>493</v>
      </c>
      <c r="J255" s="73">
        <v>18</v>
      </c>
      <c r="K255" t="s" s="72">
        <v>617</v>
      </c>
      <c r="L255" t="s" s="72">
        <v>154</v>
      </c>
      <c r="M255" s="71"/>
      <c r="N255" s="71"/>
      <c r="O255" s="71"/>
      <c r="P255" s="73">
        <v>0</v>
      </c>
      <c r="Q255" s="74">
        <v>0</v>
      </c>
      <c r="R255" s="74">
        <v>0</v>
      </c>
      <c r="S255" s="73">
        <v>0</v>
      </c>
      <c r="T255" s="73">
        <v>0</v>
      </c>
      <c r="U255" t="s" s="72">
        <v>122</v>
      </c>
      <c r="V255" s="73">
        <v>0</v>
      </c>
      <c r="W255" s="74">
        <v>0</v>
      </c>
      <c r="X255" s="74">
        <v>0</v>
      </c>
      <c r="Y255" s="73">
        <v>0</v>
      </c>
      <c r="Z255" s="73">
        <v>0</v>
      </c>
      <c r="AA255" t="s" s="72">
        <v>123</v>
      </c>
      <c r="AB255" t="s" s="72">
        <v>124</v>
      </c>
      <c r="AC255" t="s" s="72">
        <v>124</v>
      </c>
      <c r="AD255" t="s" s="75">
        <v>125</v>
      </c>
      <c r="AE255" s="67"/>
    </row>
    <row r="256" ht="15" customHeight="1">
      <c r="A256" t="s" s="87">
        <v>32</v>
      </c>
      <c r="B256" s="76">
        <v>9.300000000000001</v>
      </c>
      <c r="C256" t="b" s="77">
        <v>0</v>
      </c>
      <c r="D256" s="78"/>
      <c r="E256" t="s" s="79">
        <v>618</v>
      </c>
      <c r="F256" t="s" s="79">
        <v>180</v>
      </c>
      <c r="G256" s="80">
        <v>5</v>
      </c>
      <c r="H256" t="s" s="79">
        <v>175</v>
      </c>
      <c r="I256" t="s" s="79">
        <v>445</v>
      </c>
      <c r="J256" s="80">
        <v>25</v>
      </c>
      <c r="K256" t="s" s="79">
        <v>619</v>
      </c>
      <c r="L256" t="s" s="79">
        <v>121</v>
      </c>
      <c r="M256" s="78"/>
      <c r="N256" s="78"/>
      <c r="O256" s="78"/>
      <c r="P256" s="80">
        <v>0</v>
      </c>
      <c r="Q256" s="81">
        <v>0</v>
      </c>
      <c r="R256" s="81">
        <v>0</v>
      </c>
      <c r="S256" s="80">
        <v>0</v>
      </c>
      <c r="T256" s="80">
        <v>0</v>
      </c>
      <c r="U256" t="s" s="79">
        <v>122</v>
      </c>
      <c r="V256" s="80">
        <v>0</v>
      </c>
      <c r="W256" s="81">
        <v>0</v>
      </c>
      <c r="X256" s="81">
        <v>0</v>
      </c>
      <c r="Y256" s="80">
        <v>0</v>
      </c>
      <c r="Z256" s="80">
        <v>0</v>
      </c>
      <c r="AA256" t="s" s="79">
        <v>123</v>
      </c>
      <c r="AB256" t="s" s="79">
        <v>124</v>
      </c>
      <c r="AC256" t="s" s="79">
        <v>124</v>
      </c>
      <c r="AD256" t="s" s="82">
        <v>125</v>
      </c>
      <c r="AE256" s="67"/>
    </row>
    <row r="257" ht="15" customHeight="1">
      <c r="A257" t="s" s="87">
        <v>32</v>
      </c>
      <c r="B257" s="69">
        <v>9.300000000000001</v>
      </c>
      <c r="C257" t="b" s="70">
        <v>0</v>
      </c>
      <c r="D257" s="71"/>
      <c r="E257" t="s" s="72">
        <v>620</v>
      </c>
      <c r="F257" t="s" s="72">
        <v>183</v>
      </c>
      <c r="G257" s="73">
        <v>5</v>
      </c>
      <c r="H257" t="s" s="72">
        <v>175</v>
      </c>
      <c r="I257" t="s" s="72">
        <v>493</v>
      </c>
      <c r="J257" s="73">
        <v>20</v>
      </c>
      <c r="K257" t="s" s="72">
        <v>621</v>
      </c>
      <c r="L257" s="71"/>
      <c r="M257" s="71"/>
      <c r="N257" s="71"/>
      <c r="O257" s="71"/>
      <c r="P257" s="71"/>
      <c r="Q257" s="71"/>
      <c r="R257" s="71"/>
      <c r="S257" s="71"/>
      <c r="T257" s="71"/>
      <c r="U257" s="71"/>
      <c r="V257" s="71"/>
      <c r="W257" s="71"/>
      <c r="X257" s="71"/>
      <c r="Y257" s="71"/>
      <c r="Z257" s="71"/>
      <c r="AA257" s="71"/>
      <c r="AB257" t="s" s="72">
        <v>125</v>
      </c>
      <c r="AC257" s="71"/>
      <c r="AD257" t="s" s="75">
        <v>125</v>
      </c>
      <c r="AE257" s="67"/>
    </row>
    <row r="258" ht="15" customHeight="1">
      <c r="A258" t="s" s="87">
        <v>32</v>
      </c>
      <c r="B258" s="76">
        <v>9.300000000000001</v>
      </c>
      <c r="C258" t="b" s="77">
        <v>0</v>
      </c>
      <c r="D258" s="78"/>
      <c r="E258" t="s" s="79">
        <v>622</v>
      </c>
      <c r="F258" t="s" s="79">
        <v>180</v>
      </c>
      <c r="G258" s="80">
        <v>5</v>
      </c>
      <c r="H258" t="s" s="79">
        <v>175</v>
      </c>
      <c r="I258" t="s" s="79">
        <v>493</v>
      </c>
      <c r="J258" s="80">
        <v>21</v>
      </c>
      <c r="K258" t="s" s="79">
        <v>623</v>
      </c>
      <c r="L258" t="s" s="79">
        <v>121</v>
      </c>
      <c r="M258" s="78"/>
      <c r="N258" s="78"/>
      <c r="O258" s="78"/>
      <c r="P258" s="80">
        <v>0</v>
      </c>
      <c r="Q258" s="81">
        <v>0</v>
      </c>
      <c r="R258" s="81">
        <v>0</v>
      </c>
      <c r="S258" s="80">
        <v>0</v>
      </c>
      <c r="T258" s="80">
        <v>0</v>
      </c>
      <c r="U258" t="s" s="79">
        <v>122</v>
      </c>
      <c r="V258" s="78"/>
      <c r="W258" s="78"/>
      <c r="X258" s="78"/>
      <c r="Y258" s="78"/>
      <c r="Z258" s="78"/>
      <c r="AA258" s="78"/>
      <c r="AB258" t="s" s="79">
        <v>124</v>
      </c>
      <c r="AC258" t="s" s="79">
        <v>124</v>
      </c>
      <c r="AD258" t="s" s="82">
        <v>125</v>
      </c>
      <c r="AE258" s="67"/>
    </row>
    <row r="259" ht="15" customHeight="1">
      <c r="A259" t="s" s="87">
        <v>32</v>
      </c>
      <c r="B259" s="69">
        <v>8.9</v>
      </c>
      <c r="C259" t="b" s="70">
        <v>0</v>
      </c>
      <c r="D259" s="71"/>
      <c r="E259" t="s" s="72">
        <v>624</v>
      </c>
      <c r="F259" t="s" s="72">
        <v>187</v>
      </c>
      <c r="G259" s="73">
        <v>3</v>
      </c>
      <c r="H259" t="s" s="72">
        <v>175</v>
      </c>
      <c r="I259" t="s" s="72">
        <v>175</v>
      </c>
      <c r="J259" s="73">
        <v>25</v>
      </c>
      <c r="K259" t="s" s="72">
        <v>255</v>
      </c>
      <c r="L259" t="s" s="72">
        <v>121</v>
      </c>
      <c r="M259" s="71"/>
      <c r="N259" s="71"/>
      <c r="O259" s="71"/>
      <c r="P259" s="73">
        <v>0</v>
      </c>
      <c r="Q259" s="74">
        <v>0</v>
      </c>
      <c r="R259" s="74">
        <v>0</v>
      </c>
      <c r="S259" s="73">
        <v>0</v>
      </c>
      <c r="T259" s="73">
        <v>0</v>
      </c>
      <c r="U259" t="s" s="72">
        <v>122</v>
      </c>
      <c r="V259" s="73">
        <v>27</v>
      </c>
      <c r="W259" s="74">
        <v>5.87</v>
      </c>
      <c r="X259" s="74">
        <v>5.74</v>
      </c>
      <c r="Y259" s="73">
        <v>0</v>
      </c>
      <c r="Z259" s="73">
        <v>0</v>
      </c>
      <c r="AA259" t="s" s="72">
        <v>123</v>
      </c>
      <c r="AB259" t="s" s="72">
        <v>124</v>
      </c>
      <c r="AC259" t="s" s="72">
        <v>124</v>
      </c>
      <c r="AD259" t="s" s="75">
        <v>125</v>
      </c>
      <c r="AE259" s="67"/>
    </row>
    <row r="260" ht="15" customHeight="1">
      <c r="A260" t="s" s="87">
        <v>32</v>
      </c>
      <c r="B260" s="76">
        <v>8.699999999999999</v>
      </c>
      <c r="C260" t="b" s="77">
        <v>0</v>
      </c>
      <c r="D260" s="78"/>
      <c r="E260" t="s" s="79">
        <v>625</v>
      </c>
      <c r="F260" t="s" s="79">
        <v>159</v>
      </c>
      <c r="G260" s="80">
        <v>3</v>
      </c>
      <c r="H260" t="s" s="79">
        <v>175</v>
      </c>
      <c r="I260" t="s" s="79">
        <v>203</v>
      </c>
      <c r="J260" s="80">
        <v>22</v>
      </c>
      <c r="K260" t="s" s="79">
        <v>606</v>
      </c>
      <c r="L260" t="s" s="79">
        <v>121</v>
      </c>
      <c r="M260" s="78"/>
      <c r="N260" s="78"/>
      <c r="O260" s="78"/>
      <c r="P260" s="80">
        <v>2</v>
      </c>
      <c r="Q260" s="81">
        <v>6.25</v>
      </c>
      <c r="R260" s="81">
        <v>6</v>
      </c>
      <c r="S260" s="80">
        <v>0</v>
      </c>
      <c r="T260" s="80">
        <v>0</v>
      </c>
      <c r="U260" t="s" s="79">
        <v>122</v>
      </c>
      <c r="V260" s="78"/>
      <c r="W260" s="78"/>
      <c r="X260" s="78"/>
      <c r="Y260" s="78"/>
      <c r="Z260" s="78"/>
      <c r="AA260" s="78"/>
      <c r="AB260" t="s" s="79">
        <v>124</v>
      </c>
      <c r="AC260" t="s" s="79">
        <v>124</v>
      </c>
      <c r="AD260" t="s" s="82">
        <v>125</v>
      </c>
      <c r="AE260" s="67"/>
    </row>
    <row r="261" ht="15" customHeight="1">
      <c r="A261" t="s" s="87">
        <v>32</v>
      </c>
      <c r="B261" s="69">
        <v>8.4</v>
      </c>
      <c r="C261" t="b" s="70">
        <v>0</v>
      </c>
      <c r="D261" s="71"/>
      <c r="E261" t="s" s="72">
        <v>626</v>
      </c>
      <c r="F261" t="s" s="72">
        <v>138</v>
      </c>
      <c r="G261" s="73">
        <v>4</v>
      </c>
      <c r="H261" t="s" s="72">
        <v>175</v>
      </c>
      <c r="I261" t="s" s="72">
        <v>175</v>
      </c>
      <c r="J261" s="73">
        <v>32</v>
      </c>
      <c r="K261" t="s" s="72">
        <v>128</v>
      </c>
      <c r="L261" t="s" s="72">
        <v>121</v>
      </c>
      <c r="M261" s="71"/>
      <c r="N261" s="71"/>
      <c r="O261" s="71"/>
      <c r="P261" s="73">
        <v>0</v>
      </c>
      <c r="Q261" s="74">
        <v>0</v>
      </c>
      <c r="R261" s="74">
        <v>0</v>
      </c>
      <c r="S261" s="73">
        <v>0</v>
      </c>
      <c r="T261" s="73">
        <v>0</v>
      </c>
      <c r="U261" t="s" s="72">
        <v>122</v>
      </c>
      <c r="V261" s="73">
        <v>8</v>
      </c>
      <c r="W261" s="74">
        <v>5.62</v>
      </c>
      <c r="X261" s="74">
        <v>5.5</v>
      </c>
      <c r="Y261" s="73">
        <v>0</v>
      </c>
      <c r="Z261" s="73">
        <v>0</v>
      </c>
      <c r="AA261" t="s" s="72">
        <v>123</v>
      </c>
      <c r="AB261" t="s" s="72">
        <v>124</v>
      </c>
      <c r="AC261" t="s" s="72">
        <v>124</v>
      </c>
      <c r="AD261" t="s" s="75">
        <v>125</v>
      </c>
      <c r="AE261" s="67"/>
    </row>
    <row r="262" ht="15" customHeight="1">
      <c r="A262" t="s" s="87">
        <v>32</v>
      </c>
      <c r="B262" s="76">
        <v>7.6</v>
      </c>
      <c r="C262" t="b" s="77">
        <v>0</v>
      </c>
      <c r="D262" s="78"/>
      <c r="E262" t="s" s="79">
        <v>627</v>
      </c>
      <c r="F262" t="s" s="79">
        <v>172</v>
      </c>
      <c r="G262" s="80">
        <v>6</v>
      </c>
      <c r="H262" t="s" s="79">
        <v>175</v>
      </c>
      <c r="I262" t="s" s="79">
        <v>569</v>
      </c>
      <c r="J262" s="80">
        <v>23</v>
      </c>
      <c r="K262" t="s" s="79">
        <v>128</v>
      </c>
      <c r="L262" t="s" s="79">
        <v>154</v>
      </c>
      <c r="M262" s="78"/>
      <c r="N262" s="78"/>
      <c r="O262" t="s" s="88">
        <v>268</v>
      </c>
      <c r="P262" s="80">
        <v>0</v>
      </c>
      <c r="Q262" s="81">
        <v>0</v>
      </c>
      <c r="R262" s="81">
        <v>0</v>
      </c>
      <c r="S262" s="80">
        <v>0</v>
      </c>
      <c r="T262" s="80">
        <v>0</v>
      </c>
      <c r="U262" t="s" s="79">
        <v>122</v>
      </c>
      <c r="V262" s="80">
        <v>0</v>
      </c>
      <c r="W262" s="81">
        <v>0</v>
      </c>
      <c r="X262" s="81">
        <v>0</v>
      </c>
      <c r="Y262" s="80">
        <v>0</v>
      </c>
      <c r="Z262" s="80">
        <v>0</v>
      </c>
      <c r="AA262" t="s" s="79">
        <v>123</v>
      </c>
      <c r="AB262" t="s" s="79">
        <v>124</v>
      </c>
      <c r="AC262" t="s" s="79">
        <v>124</v>
      </c>
      <c r="AD262" t="s" s="82">
        <v>125</v>
      </c>
      <c r="AE262" s="67"/>
    </row>
    <row r="263" ht="15" customHeight="1">
      <c r="A263" t="s" s="87">
        <v>32</v>
      </c>
      <c r="B263" s="69">
        <v>7</v>
      </c>
      <c r="C263" t="b" s="70">
        <v>0</v>
      </c>
      <c r="D263" s="71"/>
      <c r="E263" t="s" s="72">
        <v>628</v>
      </c>
      <c r="F263" t="s" s="72">
        <v>168</v>
      </c>
      <c r="G263" s="73">
        <v>3</v>
      </c>
      <c r="H263" t="s" s="72">
        <v>175</v>
      </c>
      <c r="I263" t="s" s="72">
        <v>203</v>
      </c>
      <c r="J263" s="73">
        <v>22</v>
      </c>
      <c r="K263" t="s" s="72">
        <v>629</v>
      </c>
      <c r="L263" t="s" s="72">
        <v>121</v>
      </c>
      <c r="M263" s="71"/>
      <c r="N263" s="71"/>
      <c r="O263" s="71"/>
      <c r="P263" s="73">
        <v>0</v>
      </c>
      <c r="Q263" s="74">
        <v>0</v>
      </c>
      <c r="R263" s="74">
        <v>0</v>
      </c>
      <c r="S263" s="73">
        <v>0</v>
      </c>
      <c r="T263" s="73">
        <v>0</v>
      </c>
      <c r="U263" t="s" s="72">
        <v>122</v>
      </c>
      <c r="V263" s="73">
        <v>1</v>
      </c>
      <c r="W263" s="74">
        <v>5</v>
      </c>
      <c r="X263" s="74">
        <v>5</v>
      </c>
      <c r="Y263" s="73">
        <v>0</v>
      </c>
      <c r="Z263" s="73">
        <v>0</v>
      </c>
      <c r="AA263" t="s" s="72">
        <v>123</v>
      </c>
      <c r="AB263" t="s" s="72">
        <v>124</v>
      </c>
      <c r="AC263" t="s" s="72">
        <v>124</v>
      </c>
      <c r="AD263" t="s" s="75">
        <v>125</v>
      </c>
      <c r="AE263" s="67"/>
    </row>
    <row r="264" ht="15" customHeight="1">
      <c r="A264" t="s" s="87">
        <v>32</v>
      </c>
      <c r="B264" s="76">
        <v>6.2</v>
      </c>
      <c r="C264" t="b" s="77">
        <v>0</v>
      </c>
      <c r="D264" s="78"/>
      <c r="E264" t="s" s="79">
        <v>630</v>
      </c>
      <c r="F264" t="s" s="79">
        <v>187</v>
      </c>
      <c r="G264" s="80">
        <v>2</v>
      </c>
      <c r="H264" t="s" s="79">
        <v>175</v>
      </c>
      <c r="I264" t="s" s="79">
        <v>203</v>
      </c>
      <c r="J264" s="80">
        <v>20</v>
      </c>
      <c r="K264" t="s" s="79">
        <v>560</v>
      </c>
      <c r="L264" t="s" s="79">
        <v>121</v>
      </c>
      <c r="M264" s="78"/>
      <c r="N264" s="78"/>
      <c r="O264" s="78"/>
      <c r="P264" s="80">
        <v>1</v>
      </c>
      <c r="Q264" s="81">
        <v>5.5</v>
      </c>
      <c r="R264" s="81">
        <v>5.5</v>
      </c>
      <c r="S264" s="80">
        <v>0</v>
      </c>
      <c r="T264" s="80">
        <v>0</v>
      </c>
      <c r="U264" t="s" s="79">
        <v>122</v>
      </c>
      <c r="V264" s="78"/>
      <c r="W264" s="78"/>
      <c r="X264" s="78"/>
      <c r="Y264" s="78"/>
      <c r="Z264" s="78"/>
      <c r="AA264" s="78"/>
      <c r="AB264" t="s" s="79">
        <v>124</v>
      </c>
      <c r="AC264" t="s" s="79">
        <v>124</v>
      </c>
      <c r="AD264" t="s" s="82">
        <v>125</v>
      </c>
      <c r="AE264" s="67"/>
    </row>
    <row r="265" ht="15" customHeight="1">
      <c r="A265" t="s" s="87">
        <v>32</v>
      </c>
      <c r="B265" s="69">
        <v>5.7</v>
      </c>
      <c r="C265" t="b" s="70">
        <v>0</v>
      </c>
      <c r="D265" s="71"/>
      <c r="E265" t="s" s="72">
        <v>631</v>
      </c>
      <c r="F265" t="s" s="72">
        <v>117</v>
      </c>
      <c r="G265" s="73">
        <v>3</v>
      </c>
      <c r="H265" t="s" s="72">
        <v>175</v>
      </c>
      <c r="I265" t="s" s="72">
        <v>175</v>
      </c>
      <c r="J265" s="73">
        <v>24</v>
      </c>
      <c r="K265" t="s" s="72">
        <v>632</v>
      </c>
      <c r="L265" s="71"/>
      <c r="M265" s="71"/>
      <c r="N265" s="71"/>
      <c r="O265" s="71"/>
      <c r="P265" s="71"/>
      <c r="Q265" s="71"/>
      <c r="R265" s="71"/>
      <c r="S265" s="71"/>
      <c r="T265" s="71"/>
      <c r="U265" s="71"/>
      <c r="V265" s="73">
        <v>0</v>
      </c>
      <c r="W265" s="74">
        <v>0</v>
      </c>
      <c r="X265" s="74">
        <v>0</v>
      </c>
      <c r="Y265" s="73">
        <v>0</v>
      </c>
      <c r="Z265" s="73">
        <v>0</v>
      </c>
      <c r="AA265" t="s" s="72">
        <v>123</v>
      </c>
      <c r="AB265" t="s" s="72">
        <v>125</v>
      </c>
      <c r="AC265" s="71"/>
      <c r="AD265" t="s" s="75">
        <v>125</v>
      </c>
      <c r="AE265" s="67"/>
    </row>
    <row r="266" ht="15" customHeight="1">
      <c r="A266" t="s" s="87">
        <v>32</v>
      </c>
      <c r="B266" s="76">
        <v>5.1</v>
      </c>
      <c r="C266" t="b" s="77">
        <v>0</v>
      </c>
      <c r="D266" s="78"/>
      <c r="E266" t="s" s="79">
        <v>633</v>
      </c>
      <c r="F266" t="s" s="79">
        <v>156</v>
      </c>
      <c r="G266" s="80">
        <v>1</v>
      </c>
      <c r="H266" t="s" s="79">
        <v>175</v>
      </c>
      <c r="I266" t="s" s="79">
        <v>203</v>
      </c>
      <c r="J266" s="80">
        <v>19</v>
      </c>
      <c r="K266" t="s" s="79">
        <v>634</v>
      </c>
      <c r="L266" t="s" s="79">
        <v>121</v>
      </c>
      <c r="M266" s="78"/>
      <c r="N266" s="78"/>
      <c r="O266" s="78"/>
      <c r="P266" s="80">
        <v>0</v>
      </c>
      <c r="Q266" s="81">
        <v>0</v>
      </c>
      <c r="R266" s="81">
        <v>0</v>
      </c>
      <c r="S266" s="80">
        <v>0</v>
      </c>
      <c r="T266" s="80">
        <v>0</v>
      </c>
      <c r="U266" t="s" s="79">
        <v>122</v>
      </c>
      <c r="V266" s="80">
        <v>9</v>
      </c>
      <c r="W266" s="81">
        <v>6</v>
      </c>
      <c r="X266" s="81">
        <v>6.33</v>
      </c>
      <c r="Y266" s="80">
        <v>1</v>
      </c>
      <c r="Z266" s="80">
        <v>0</v>
      </c>
      <c r="AA266" t="s" s="79">
        <v>123</v>
      </c>
      <c r="AB266" t="s" s="79">
        <v>124</v>
      </c>
      <c r="AC266" t="s" s="79">
        <v>124</v>
      </c>
      <c r="AD266" t="s" s="82">
        <v>125</v>
      </c>
      <c r="AE266" s="67"/>
    </row>
    <row r="267" ht="15" customHeight="1">
      <c r="A267" t="s" s="87">
        <v>32</v>
      </c>
      <c r="B267" s="69">
        <v>4.7</v>
      </c>
      <c r="C267" t="b" s="70">
        <v>0</v>
      </c>
      <c r="D267" s="71"/>
      <c r="E267" t="s" s="72">
        <v>635</v>
      </c>
      <c r="F267" t="s" s="72">
        <v>187</v>
      </c>
      <c r="G267" s="73">
        <v>2</v>
      </c>
      <c r="H267" t="s" s="72">
        <v>175</v>
      </c>
      <c r="I267" t="s" s="72">
        <v>203</v>
      </c>
      <c r="J267" s="73">
        <v>20</v>
      </c>
      <c r="K267" t="s" s="72">
        <v>636</v>
      </c>
      <c r="L267" t="s" s="72">
        <v>154</v>
      </c>
      <c r="M267" s="71"/>
      <c r="N267" s="71"/>
      <c r="O267" s="71"/>
      <c r="P267" s="73">
        <v>0</v>
      </c>
      <c r="Q267" s="74">
        <v>0</v>
      </c>
      <c r="R267" s="74">
        <v>0</v>
      </c>
      <c r="S267" s="73">
        <v>0</v>
      </c>
      <c r="T267" s="73">
        <v>0</v>
      </c>
      <c r="U267" t="s" s="72">
        <v>122</v>
      </c>
      <c r="V267" s="71"/>
      <c r="W267" s="71"/>
      <c r="X267" s="71"/>
      <c r="Y267" s="71"/>
      <c r="Z267" s="71"/>
      <c r="AA267" s="71"/>
      <c r="AB267" t="s" s="72">
        <v>124</v>
      </c>
      <c r="AC267" t="s" s="72">
        <v>124</v>
      </c>
      <c r="AD267" t="s" s="75">
        <v>125</v>
      </c>
      <c r="AE267" s="67"/>
    </row>
    <row r="268" ht="15" customHeight="1">
      <c r="A268" t="s" s="87">
        <v>32</v>
      </c>
      <c r="B268" s="76">
        <v>2.8</v>
      </c>
      <c r="C268" t="b" s="77">
        <v>0</v>
      </c>
      <c r="D268" s="78"/>
      <c r="E268" t="s" s="79">
        <v>637</v>
      </c>
      <c r="F268" t="s" s="79">
        <v>149</v>
      </c>
      <c r="G268" s="80">
        <v>1</v>
      </c>
      <c r="H268" t="s" s="79">
        <v>175</v>
      </c>
      <c r="I268" t="s" s="79">
        <v>203</v>
      </c>
      <c r="J268" s="80">
        <v>19</v>
      </c>
      <c r="K268" t="s" s="79">
        <v>204</v>
      </c>
      <c r="L268" s="78"/>
      <c r="M268" s="78"/>
      <c r="N268" s="78"/>
      <c r="O268" s="78"/>
      <c r="P268" s="78"/>
      <c r="Q268" s="78"/>
      <c r="R268" s="78"/>
      <c r="S268" s="78"/>
      <c r="T268" s="78"/>
      <c r="U268" s="78"/>
      <c r="V268" s="78"/>
      <c r="W268" s="78"/>
      <c r="X268" s="78"/>
      <c r="Y268" s="78"/>
      <c r="Z268" s="78"/>
      <c r="AA268" s="78"/>
      <c r="AB268" t="s" s="79">
        <v>125</v>
      </c>
      <c r="AC268" s="78"/>
      <c r="AD268" t="s" s="82">
        <v>125</v>
      </c>
      <c r="AE268" s="67"/>
    </row>
    <row r="269" ht="15" customHeight="1">
      <c r="A269" t="s" s="87">
        <v>32</v>
      </c>
      <c r="B269" s="69">
        <v>2.8</v>
      </c>
      <c r="C269" t="b" s="70">
        <v>0</v>
      </c>
      <c r="D269" s="71"/>
      <c r="E269" t="s" s="72">
        <v>638</v>
      </c>
      <c r="F269" t="s" s="72">
        <v>141</v>
      </c>
      <c r="G269" s="73">
        <v>1</v>
      </c>
      <c r="H269" t="s" s="72">
        <v>175</v>
      </c>
      <c r="I269" t="s" s="72">
        <v>203</v>
      </c>
      <c r="J269" s="73">
        <v>18</v>
      </c>
      <c r="K269" t="s" s="72">
        <v>639</v>
      </c>
      <c r="L269" s="71"/>
      <c r="M269" s="71"/>
      <c r="N269" s="71"/>
      <c r="O269" s="71"/>
      <c r="P269" s="71"/>
      <c r="Q269" s="71"/>
      <c r="R269" s="71"/>
      <c r="S269" s="71"/>
      <c r="T269" s="71"/>
      <c r="U269" s="71"/>
      <c r="V269" s="71"/>
      <c r="W269" s="71"/>
      <c r="X269" s="71"/>
      <c r="Y269" s="71"/>
      <c r="Z269" s="71"/>
      <c r="AA269" s="71"/>
      <c r="AB269" t="s" s="72">
        <v>125</v>
      </c>
      <c r="AC269" s="71"/>
      <c r="AD269" t="s" s="75">
        <v>125</v>
      </c>
      <c r="AE269" s="67"/>
    </row>
    <row r="270" ht="15" customHeight="1">
      <c r="A270" t="s" s="87">
        <v>32</v>
      </c>
      <c r="B270" s="76">
        <v>2.8</v>
      </c>
      <c r="C270" t="b" s="77">
        <v>0</v>
      </c>
      <c r="D270" s="78"/>
      <c r="E270" t="s" s="79">
        <v>640</v>
      </c>
      <c r="F270" t="s" s="79">
        <v>183</v>
      </c>
      <c r="G270" s="80">
        <v>1</v>
      </c>
      <c r="H270" t="s" s="79">
        <v>175</v>
      </c>
      <c r="I270" t="s" s="79">
        <v>203</v>
      </c>
      <c r="J270" s="80">
        <v>21</v>
      </c>
      <c r="K270" t="s" s="79">
        <v>641</v>
      </c>
      <c r="L270" t="s" s="79">
        <v>642</v>
      </c>
      <c r="M270" s="78"/>
      <c r="N270" s="78"/>
      <c r="O270" s="78"/>
      <c r="P270" s="78"/>
      <c r="Q270" s="78"/>
      <c r="R270" s="78"/>
      <c r="S270" s="78"/>
      <c r="T270" s="78"/>
      <c r="U270" s="78"/>
      <c r="V270" s="78"/>
      <c r="W270" s="78"/>
      <c r="X270" s="78"/>
      <c r="Y270" s="78"/>
      <c r="Z270" s="78"/>
      <c r="AA270" s="78"/>
      <c r="AB270" t="s" s="79">
        <v>125</v>
      </c>
      <c r="AC270" s="78"/>
      <c r="AD270" t="s" s="82">
        <v>125</v>
      </c>
      <c r="AE270" s="67"/>
    </row>
    <row r="271" ht="15" customHeight="1">
      <c r="A271" t="s" s="87">
        <v>32</v>
      </c>
      <c r="B271" s="69">
        <v>2.8</v>
      </c>
      <c r="C271" t="b" s="70">
        <v>0</v>
      </c>
      <c r="D271" s="71"/>
      <c r="E271" t="s" s="72">
        <v>643</v>
      </c>
      <c r="F271" t="s" s="72">
        <v>134</v>
      </c>
      <c r="G271" s="73">
        <v>1</v>
      </c>
      <c r="H271" t="s" s="72">
        <v>175</v>
      </c>
      <c r="I271" t="s" s="72">
        <v>203</v>
      </c>
      <c r="J271" s="73">
        <v>18</v>
      </c>
      <c r="K271" t="s" s="72">
        <v>204</v>
      </c>
      <c r="L271" s="71"/>
      <c r="M271" s="71"/>
      <c r="N271" s="71"/>
      <c r="O271" s="71"/>
      <c r="P271" s="71"/>
      <c r="Q271" s="71"/>
      <c r="R271" s="71"/>
      <c r="S271" s="71"/>
      <c r="T271" s="71"/>
      <c r="U271" s="71"/>
      <c r="V271" s="71"/>
      <c r="W271" s="71"/>
      <c r="X271" s="71"/>
      <c r="Y271" s="71"/>
      <c r="Z271" s="71"/>
      <c r="AA271" s="71"/>
      <c r="AB271" t="s" s="72">
        <v>125</v>
      </c>
      <c r="AC271" s="71"/>
      <c r="AD271" t="s" s="75">
        <v>125</v>
      </c>
      <c r="AE271" s="67"/>
    </row>
    <row r="272" ht="15" customHeight="1">
      <c r="A272" t="s" s="87">
        <v>32</v>
      </c>
      <c r="B272" s="76">
        <v>2.8</v>
      </c>
      <c r="C272" t="b" s="77">
        <v>0</v>
      </c>
      <c r="D272" s="78"/>
      <c r="E272" t="s" s="79">
        <v>644</v>
      </c>
      <c r="F272" t="s" s="79">
        <v>168</v>
      </c>
      <c r="G272" s="80">
        <v>1</v>
      </c>
      <c r="H272" t="s" s="79">
        <v>175</v>
      </c>
      <c r="I272" t="s" s="79">
        <v>203</v>
      </c>
      <c r="J272" s="80">
        <v>21</v>
      </c>
      <c r="K272" t="s" s="79">
        <v>645</v>
      </c>
      <c r="L272" s="78"/>
      <c r="M272" s="78"/>
      <c r="N272" s="78"/>
      <c r="O272" s="78"/>
      <c r="P272" s="78"/>
      <c r="Q272" s="78"/>
      <c r="R272" s="78"/>
      <c r="S272" s="78"/>
      <c r="T272" s="78"/>
      <c r="U272" s="78"/>
      <c r="V272" s="78"/>
      <c r="W272" s="78"/>
      <c r="X272" s="78"/>
      <c r="Y272" s="78"/>
      <c r="Z272" s="78"/>
      <c r="AA272" s="78"/>
      <c r="AB272" t="s" s="79">
        <v>125</v>
      </c>
      <c r="AC272" s="78"/>
      <c r="AD272" t="s" s="82">
        <v>125</v>
      </c>
      <c r="AE272" s="67"/>
    </row>
    <row r="273" ht="15" customHeight="1">
      <c r="A273" t="s" s="87">
        <v>32</v>
      </c>
      <c r="B273" s="69">
        <v>2.8</v>
      </c>
      <c r="C273" t="b" s="70">
        <v>0</v>
      </c>
      <c r="D273" s="71"/>
      <c r="E273" t="s" s="72">
        <v>646</v>
      </c>
      <c r="F273" t="s" s="72">
        <v>127</v>
      </c>
      <c r="G273" s="73">
        <v>1</v>
      </c>
      <c r="H273" t="s" s="72">
        <v>175</v>
      </c>
      <c r="I273" t="s" s="72">
        <v>203</v>
      </c>
      <c r="J273" s="73">
        <v>20</v>
      </c>
      <c r="K273" t="s" s="72">
        <v>647</v>
      </c>
      <c r="L273" s="71"/>
      <c r="M273" s="71"/>
      <c r="N273" s="71"/>
      <c r="O273" s="71"/>
      <c r="P273" s="71"/>
      <c r="Q273" s="71"/>
      <c r="R273" s="71"/>
      <c r="S273" s="71"/>
      <c r="T273" s="71"/>
      <c r="U273" s="71"/>
      <c r="V273" s="71"/>
      <c r="W273" s="71"/>
      <c r="X273" s="71"/>
      <c r="Y273" s="71"/>
      <c r="Z273" s="71"/>
      <c r="AA273" s="71"/>
      <c r="AB273" t="s" s="72">
        <v>125</v>
      </c>
      <c r="AC273" s="71"/>
      <c r="AD273" t="s" s="75">
        <v>125</v>
      </c>
      <c r="AE273" s="67"/>
    </row>
    <row r="274" ht="15" customHeight="1">
      <c r="A274" t="s" s="87">
        <v>32</v>
      </c>
      <c r="B274" s="76">
        <v>2.8</v>
      </c>
      <c r="C274" t="b" s="77">
        <v>0</v>
      </c>
      <c r="D274" s="78"/>
      <c r="E274" t="s" s="79">
        <v>648</v>
      </c>
      <c r="F274" t="s" s="79">
        <v>130</v>
      </c>
      <c r="G274" s="80">
        <v>1</v>
      </c>
      <c r="H274" t="s" s="79">
        <v>175</v>
      </c>
      <c r="I274" t="s" s="79">
        <v>203</v>
      </c>
      <c r="J274" s="80">
        <v>18</v>
      </c>
      <c r="K274" t="s" s="79">
        <v>649</v>
      </c>
      <c r="L274" s="78"/>
      <c r="M274" s="78"/>
      <c r="N274" s="78"/>
      <c r="O274" s="78"/>
      <c r="P274" s="78"/>
      <c r="Q274" s="78"/>
      <c r="R274" s="78"/>
      <c r="S274" s="78"/>
      <c r="T274" s="78"/>
      <c r="U274" s="78"/>
      <c r="V274" s="78"/>
      <c r="W274" s="78"/>
      <c r="X274" s="78"/>
      <c r="Y274" s="78"/>
      <c r="Z274" s="78"/>
      <c r="AA274" s="78"/>
      <c r="AB274" t="s" s="79">
        <v>125</v>
      </c>
      <c r="AC274" s="78"/>
      <c r="AD274" t="s" s="82">
        <v>125</v>
      </c>
      <c r="AE274" s="67"/>
    </row>
    <row r="275" ht="15" customHeight="1">
      <c r="A275" t="s" s="87">
        <v>32</v>
      </c>
      <c r="B275" s="69">
        <v>2.8</v>
      </c>
      <c r="C275" t="b" s="70">
        <v>0</v>
      </c>
      <c r="D275" s="71"/>
      <c r="E275" t="s" s="72">
        <v>650</v>
      </c>
      <c r="F275" t="s" s="72">
        <v>172</v>
      </c>
      <c r="G275" s="73">
        <v>1</v>
      </c>
      <c r="H275" t="s" s="72">
        <v>175</v>
      </c>
      <c r="I275" t="s" s="72">
        <v>175</v>
      </c>
      <c r="J275" s="73">
        <v>24</v>
      </c>
      <c r="K275" t="s" s="72">
        <v>230</v>
      </c>
      <c r="L275" s="71"/>
      <c r="M275" s="71"/>
      <c r="N275" s="71"/>
      <c r="O275" s="71"/>
      <c r="P275" s="71"/>
      <c r="Q275" s="71"/>
      <c r="R275" s="71"/>
      <c r="S275" s="71"/>
      <c r="T275" s="71"/>
      <c r="U275" s="71"/>
      <c r="V275" s="73">
        <v>0</v>
      </c>
      <c r="W275" s="74">
        <v>0</v>
      </c>
      <c r="X275" s="74">
        <v>0</v>
      </c>
      <c r="Y275" s="73">
        <v>0</v>
      </c>
      <c r="Z275" s="73">
        <v>0</v>
      </c>
      <c r="AA275" t="s" s="72">
        <v>123</v>
      </c>
      <c r="AB275" t="s" s="72">
        <v>125</v>
      </c>
      <c r="AC275" s="71"/>
      <c r="AD275" t="s" s="75">
        <v>125</v>
      </c>
      <c r="AE275" s="67"/>
    </row>
    <row r="276" ht="15" customHeight="1">
      <c r="A276" t="s" s="68">
        <v>26</v>
      </c>
      <c r="B276" s="76">
        <v>95.59999999999999</v>
      </c>
      <c r="C276" t="b" s="77">
        <v>0</v>
      </c>
      <c r="D276" t="s" s="85">
        <v>161</v>
      </c>
      <c r="E276" t="s" s="79">
        <v>651</v>
      </c>
      <c r="F276" t="s" s="79">
        <v>134</v>
      </c>
      <c r="G276" s="80">
        <v>65</v>
      </c>
      <c r="H276" t="s" s="79">
        <v>652</v>
      </c>
      <c r="I276" t="s" s="79">
        <v>653</v>
      </c>
      <c r="J276" s="80">
        <v>32</v>
      </c>
      <c r="K276" t="s" s="79">
        <v>654</v>
      </c>
      <c r="L276" t="s" s="79">
        <v>121</v>
      </c>
      <c r="M276" s="78"/>
      <c r="N276" t="s" s="79">
        <v>655</v>
      </c>
      <c r="O276" s="78"/>
      <c r="P276" s="80">
        <v>2</v>
      </c>
      <c r="Q276" s="81">
        <v>7</v>
      </c>
      <c r="R276" s="81">
        <v>9.75</v>
      </c>
      <c r="S276" s="80">
        <v>2</v>
      </c>
      <c r="T276" s="80">
        <v>0</v>
      </c>
      <c r="U276" t="s" s="79">
        <v>122</v>
      </c>
      <c r="V276" s="80">
        <v>22</v>
      </c>
      <c r="W276" s="81">
        <v>6.43</v>
      </c>
      <c r="X276" s="81">
        <v>7.55</v>
      </c>
      <c r="Y276" s="80">
        <v>9</v>
      </c>
      <c r="Z276" s="80">
        <v>4</v>
      </c>
      <c r="AA276" t="s" s="79">
        <v>656</v>
      </c>
      <c r="AB276" t="s" s="79">
        <v>124</v>
      </c>
      <c r="AC276" t="s" s="79">
        <v>124</v>
      </c>
      <c r="AD276" t="s" s="82">
        <v>125</v>
      </c>
      <c r="AE276" s="67"/>
    </row>
    <row r="277" ht="15" customHeight="1">
      <c r="A277" t="s" s="68">
        <v>26</v>
      </c>
      <c r="B277" s="69">
        <v>93.3</v>
      </c>
      <c r="C277" t="b" s="70">
        <v>0</v>
      </c>
      <c r="D277" s="71"/>
      <c r="E277" t="s" s="72">
        <v>657</v>
      </c>
      <c r="F277" t="s" s="72">
        <v>141</v>
      </c>
      <c r="G277" s="73">
        <v>57</v>
      </c>
      <c r="H277" t="s" s="72">
        <v>118</v>
      </c>
      <c r="I277" t="s" s="72">
        <v>658</v>
      </c>
      <c r="J277" s="73">
        <v>21</v>
      </c>
      <c r="K277" t="s" s="72">
        <v>659</v>
      </c>
      <c r="L277" t="s" s="72">
        <v>154</v>
      </c>
      <c r="M277" s="71"/>
      <c r="N277" t="s" s="72">
        <v>655</v>
      </c>
      <c r="O277" s="71"/>
      <c r="P277" s="73">
        <v>3</v>
      </c>
      <c r="Q277" s="74">
        <v>6.33</v>
      </c>
      <c r="R277" s="74">
        <v>7.33</v>
      </c>
      <c r="S277" s="73">
        <v>1</v>
      </c>
      <c r="T277" s="73">
        <v>0</v>
      </c>
      <c r="U277" t="s" s="72">
        <v>122</v>
      </c>
      <c r="V277" s="73">
        <v>35</v>
      </c>
      <c r="W277" s="74">
        <v>6.41</v>
      </c>
      <c r="X277" s="74">
        <v>7.34</v>
      </c>
      <c r="Y277" s="73">
        <v>12</v>
      </c>
      <c r="Z277" s="73">
        <v>5</v>
      </c>
      <c r="AA277" t="s" s="72">
        <v>660</v>
      </c>
      <c r="AB277" t="s" s="72">
        <v>124</v>
      </c>
      <c r="AC277" t="s" s="72">
        <v>124</v>
      </c>
      <c r="AD277" t="s" s="75">
        <v>125</v>
      </c>
      <c r="AE277" s="67"/>
    </row>
    <row r="278" ht="15" customHeight="1">
      <c r="A278" t="s" s="68">
        <v>26</v>
      </c>
      <c r="B278" s="76">
        <v>91.90000000000001</v>
      </c>
      <c r="C278" t="b" s="77">
        <v>0</v>
      </c>
      <c r="D278" s="78"/>
      <c r="E278" t="s" s="79">
        <v>661</v>
      </c>
      <c r="F278" t="s" s="79">
        <v>163</v>
      </c>
      <c r="G278" s="80">
        <v>50</v>
      </c>
      <c r="H278" t="s" s="79">
        <v>118</v>
      </c>
      <c r="I278" t="s" s="79">
        <v>662</v>
      </c>
      <c r="J278" s="80">
        <v>28</v>
      </c>
      <c r="K278" t="s" s="79">
        <v>395</v>
      </c>
      <c r="L278" t="s" s="79">
        <v>121</v>
      </c>
      <c r="M278" s="78"/>
      <c r="N278" t="s" s="79">
        <v>655</v>
      </c>
      <c r="O278" s="78"/>
      <c r="P278" s="80">
        <v>2</v>
      </c>
      <c r="Q278" s="81">
        <v>5.5</v>
      </c>
      <c r="R278" s="81">
        <v>5.5</v>
      </c>
      <c r="S278" s="80">
        <v>0</v>
      </c>
      <c r="T278" s="80">
        <v>0</v>
      </c>
      <c r="U278" t="s" s="79">
        <v>122</v>
      </c>
      <c r="V278" s="80">
        <v>37</v>
      </c>
      <c r="W278" s="81">
        <v>6.07</v>
      </c>
      <c r="X278" s="81">
        <v>6.7</v>
      </c>
      <c r="Y278" s="80">
        <v>8</v>
      </c>
      <c r="Z278" s="80">
        <v>3</v>
      </c>
      <c r="AA278" t="s" s="79">
        <v>663</v>
      </c>
      <c r="AB278" t="s" s="79">
        <v>124</v>
      </c>
      <c r="AC278" t="s" s="79">
        <v>124</v>
      </c>
      <c r="AD278" t="s" s="82">
        <v>125</v>
      </c>
      <c r="AE278" s="67"/>
    </row>
    <row r="279" ht="15" customHeight="1">
      <c r="A279" t="s" s="68">
        <v>26</v>
      </c>
      <c r="B279" s="69">
        <v>89.5</v>
      </c>
      <c r="C279" t="b" s="70">
        <v>0</v>
      </c>
      <c r="D279" s="71"/>
      <c r="E279" t="s" s="72">
        <v>664</v>
      </c>
      <c r="F279" t="s" s="72">
        <v>130</v>
      </c>
      <c r="G279" s="73">
        <v>50</v>
      </c>
      <c r="H279" t="s" s="72">
        <v>118</v>
      </c>
      <c r="I279" t="s" s="72">
        <v>276</v>
      </c>
      <c r="J279" s="73">
        <v>31</v>
      </c>
      <c r="K279" t="s" s="72">
        <v>142</v>
      </c>
      <c r="L279" t="s" s="72">
        <v>154</v>
      </c>
      <c r="M279" s="71"/>
      <c r="N279" s="71"/>
      <c r="O279" s="71"/>
      <c r="P279" s="73">
        <v>2</v>
      </c>
      <c r="Q279" s="74">
        <v>6.75</v>
      </c>
      <c r="R279" s="74">
        <v>8.75</v>
      </c>
      <c r="S279" s="73">
        <v>1</v>
      </c>
      <c r="T279" s="73">
        <v>1</v>
      </c>
      <c r="U279" t="s" s="72">
        <v>122</v>
      </c>
      <c r="V279" s="73">
        <v>29</v>
      </c>
      <c r="W279" s="74">
        <v>6.33</v>
      </c>
      <c r="X279" s="74">
        <v>6.98</v>
      </c>
      <c r="Y279" s="73">
        <v>6</v>
      </c>
      <c r="Z279" s="73">
        <v>4</v>
      </c>
      <c r="AA279" t="s" s="72">
        <v>123</v>
      </c>
      <c r="AB279" t="s" s="72">
        <v>124</v>
      </c>
      <c r="AC279" t="s" s="72">
        <v>124</v>
      </c>
      <c r="AD279" t="s" s="75">
        <v>125</v>
      </c>
      <c r="AE279" s="67"/>
    </row>
    <row r="280" ht="15" customHeight="1">
      <c r="A280" t="s" s="68">
        <v>26</v>
      </c>
      <c r="B280" s="76">
        <v>89.2</v>
      </c>
      <c r="C280" t="b" s="77">
        <v>0</v>
      </c>
      <c r="D280" s="78"/>
      <c r="E280" t="s" s="79">
        <v>665</v>
      </c>
      <c r="F280" t="s" s="79">
        <v>141</v>
      </c>
      <c r="G280" s="80">
        <v>47</v>
      </c>
      <c r="H280" t="s" s="79">
        <v>118</v>
      </c>
      <c r="I280" t="s" s="79">
        <v>666</v>
      </c>
      <c r="J280" s="80">
        <v>23</v>
      </c>
      <c r="K280" t="s" s="79">
        <v>395</v>
      </c>
      <c r="L280" t="s" s="79">
        <v>121</v>
      </c>
      <c r="M280" s="78"/>
      <c r="N280" t="s" s="79">
        <v>311</v>
      </c>
      <c r="O280" s="78"/>
      <c r="P280" s="80">
        <v>3</v>
      </c>
      <c r="Q280" s="81">
        <v>6.67</v>
      </c>
      <c r="R280" s="81">
        <v>8.5</v>
      </c>
      <c r="S280" s="80">
        <v>2</v>
      </c>
      <c r="T280" s="80">
        <v>0</v>
      </c>
      <c r="U280" t="s" s="79">
        <v>122</v>
      </c>
      <c r="V280" s="80">
        <v>25</v>
      </c>
      <c r="W280" s="81">
        <v>6.34</v>
      </c>
      <c r="X280" s="81">
        <v>7.18</v>
      </c>
      <c r="Y280" s="80">
        <v>6</v>
      </c>
      <c r="Z280" s="80">
        <v>3</v>
      </c>
      <c r="AA280" t="s" s="79">
        <v>123</v>
      </c>
      <c r="AB280" t="s" s="79">
        <v>124</v>
      </c>
      <c r="AC280" t="s" s="79">
        <v>124</v>
      </c>
      <c r="AD280" t="s" s="82">
        <v>125</v>
      </c>
      <c r="AE280" s="67"/>
    </row>
    <row r="281" ht="15" customHeight="1">
      <c r="A281" t="s" s="68">
        <v>26</v>
      </c>
      <c r="B281" s="69">
        <v>88.59999999999999</v>
      </c>
      <c r="C281" t="b" s="70">
        <v>0</v>
      </c>
      <c r="D281" s="71"/>
      <c r="E281" t="s" s="72">
        <v>667</v>
      </c>
      <c r="F281" t="s" s="72">
        <v>130</v>
      </c>
      <c r="G281" s="73">
        <v>55</v>
      </c>
      <c r="H281" t="s" s="72">
        <v>164</v>
      </c>
      <c r="I281" t="s" s="72">
        <v>668</v>
      </c>
      <c r="J281" s="73">
        <v>27</v>
      </c>
      <c r="K281" t="s" s="72">
        <v>669</v>
      </c>
      <c r="L281" t="s" s="72">
        <v>121</v>
      </c>
      <c r="M281" s="71"/>
      <c r="N281" t="s" s="72">
        <v>272</v>
      </c>
      <c r="O281" s="71"/>
      <c r="P281" s="73">
        <v>0</v>
      </c>
      <c r="Q281" s="74">
        <v>0</v>
      </c>
      <c r="R281" s="74">
        <v>0</v>
      </c>
      <c r="S281" s="73">
        <v>0</v>
      </c>
      <c r="T281" s="73">
        <v>0</v>
      </c>
      <c r="U281" t="s" s="72">
        <v>122</v>
      </c>
      <c r="V281" s="73">
        <v>29</v>
      </c>
      <c r="W281" s="74">
        <v>6.07</v>
      </c>
      <c r="X281" s="74">
        <v>6.93</v>
      </c>
      <c r="Y281" s="73">
        <v>8</v>
      </c>
      <c r="Z281" s="73">
        <v>4</v>
      </c>
      <c r="AA281" t="s" s="72">
        <v>670</v>
      </c>
      <c r="AB281" t="s" s="72">
        <v>124</v>
      </c>
      <c r="AC281" t="s" s="72">
        <v>124</v>
      </c>
      <c r="AD281" t="s" s="75">
        <v>125</v>
      </c>
      <c r="AE281" s="67"/>
    </row>
    <row r="282" ht="15" customHeight="1">
      <c r="A282" t="s" s="68">
        <v>26</v>
      </c>
      <c r="B282" s="76">
        <v>87.3</v>
      </c>
      <c r="C282" t="b" s="77">
        <v>0</v>
      </c>
      <c r="D282" s="78"/>
      <c r="E282" t="s" s="79">
        <v>671</v>
      </c>
      <c r="F282" t="s" s="79">
        <v>144</v>
      </c>
      <c r="G282" s="80">
        <v>51</v>
      </c>
      <c r="H282" t="s" s="79">
        <v>164</v>
      </c>
      <c r="I282" t="s" s="79">
        <v>672</v>
      </c>
      <c r="J282" s="80">
        <v>29</v>
      </c>
      <c r="K282" t="s" s="79">
        <v>128</v>
      </c>
      <c r="L282" t="s" s="79">
        <v>154</v>
      </c>
      <c r="M282" s="78"/>
      <c r="N282" t="s" s="79">
        <v>655</v>
      </c>
      <c r="O282" t="s" s="88">
        <v>380</v>
      </c>
      <c r="P282" s="80">
        <v>2</v>
      </c>
      <c r="Q282" s="81">
        <v>5.75</v>
      </c>
      <c r="R282" s="81">
        <v>5.75</v>
      </c>
      <c r="S282" s="80">
        <v>0</v>
      </c>
      <c r="T282" s="80">
        <v>0</v>
      </c>
      <c r="U282" t="s" s="79">
        <v>122</v>
      </c>
      <c r="V282" s="80">
        <v>34</v>
      </c>
      <c r="W282" s="81">
        <v>6.1</v>
      </c>
      <c r="X282" s="81">
        <v>6.81</v>
      </c>
      <c r="Y282" s="80">
        <v>10</v>
      </c>
      <c r="Z282" s="80">
        <v>1</v>
      </c>
      <c r="AA282" t="s" s="79">
        <v>673</v>
      </c>
      <c r="AB282" t="s" s="79">
        <v>124</v>
      </c>
      <c r="AC282" t="s" s="79">
        <v>124</v>
      </c>
      <c r="AD282" t="s" s="82">
        <v>125</v>
      </c>
      <c r="AE282" s="67"/>
    </row>
    <row r="283" ht="15" customHeight="1">
      <c r="A283" t="s" s="68">
        <v>26</v>
      </c>
      <c r="B283" s="69">
        <v>86.7</v>
      </c>
      <c r="C283" t="b" s="70">
        <v>0</v>
      </c>
      <c r="D283" s="71"/>
      <c r="E283" t="s" s="72">
        <v>674</v>
      </c>
      <c r="F283" t="s" s="72">
        <v>134</v>
      </c>
      <c r="G283" s="73">
        <v>42</v>
      </c>
      <c r="H283" t="s" s="72">
        <v>118</v>
      </c>
      <c r="I283" t="s" s="72">
        <v>287</v>
      </c>
      <c r="J283" s="73">
        <v>29</v>
      </c>
      <c r="K283" t="s" s="72">
        <v>128</v>
      </c>
      <c r="L283" t="s" s="72">
        <v>121</v>
      </c>
      <c r="M283" s="71"/>
      <c r="N283" s="71"/>
      <c r="O283" s="71"/>
      <c r="P283" s="73">
        <v>2</v>
      </c>
      <c r="Q283" s="74">
        <v>6.5</v>
      </c>
      <c r="R283" s="74">
        <v>7</v>
      </c>
      <c r="S283" s="73">
        <v>0</v>
      </c>
      <c r="T283" s="73">
        <v>1</v>
      </c>
      <c r="U283" t="s" s="72">
        <v>122</v>
      </c>
      <c r="V283" s="73">
        <v>34</v>
      </c>
      <c r="W283" s="74">
        <v>6.29</v>
      </c>
      <c r="X283" s="74">
        <v>6.72</v>
      </c>
      <c r="Y283" s="73">
        <v>3</v>
      </c>
      <c r="Z283" s="73">
        <v>9</v>
      </c>
      <c r="AA283" t="s" s="72">
        <v>123</v>
      </c>
      <c r="AB283" t="s" s="72">
        <v>124</v>
      </c>
      <c r="AC283" t="s" s="72">
        <v>124</v>
      </c>
      <c r="AD283" t="s" s="75">
        <v>125</v>
      </c>
      <c r="AE283" s="67"/>
    </row>
    <row r="284" ht="15" customHeight="1">
      <c r="A284" t="s" s="68">
        <v>26</v>
      </c>
      <c r="B284" s="76">
        <v>86.3</v>
      </c>
      <c r="C284" t="b" s="77">
        <v>0</v>
      </c>
      <c r="D284" s="78"/>
      <c r="E284" t="s" s="79">
        <v>675</v>
      </c>
      <c r="F284" t="s" s="79">
        <v>153</v>
      </c>
      <c r="G284" s="80">
        <v>57</v>
      </c>
      <c r="H284" t="s" s="79">
        <v>164</v>
      </c>
      <c r="I284" t="s" s="79">
        <v>676</v>
      </c>
      <c r="J284" s="80">
        <v>29</v>
      </c>
      <c r="K284" t="s" s="79">
        <v>677</v>
      </c>
      <c r="L284" t="s" s="79">
        <v>121</v>
      </c>
      <c r="M284" s="78"/>
      <c r="N284" s="78"/>
      <c r="O284" t="s" s="88">
        <v>380</v>
      </c>
      <c r="P284" s="80">
        <v>2</v>
      </c>
      <c r="Q284" s="81">
        <v>5.5</v>
      </c>
      <c r="R284" s="81">
        <v>5.5</v>
      </c>
      <c r="S284" s="80">
        <v>0</v>
      </c>
      <c r="T284" s="80">
        <v>0</v>
      </c>
      <c r="U284" t="s" s="79">
        <v>122</v>
      </c>
      <c r="V284" s="80">
        <v>33</v>
      </c>
      <c r="W284" s="81">
        <v>6.35</v>
      </c>
      <c r="X284" s="81">
        <v>7.21</v>
      </c>
      <c r="Y284" s="80">
        <v>10</v>
      </c>
      <c r="Z284" s="80">
        <v>2</v>
      </c>
      <c r="AA284" t="s" s="79">
        <v>670</v>
      </c>
      <c r="AB284" t="s" s="79">
        <v>124</v>
      </c>
      <c r="AC284" t="s" s="79">
        <v>124</v>
      </c>
      <c r="AD284" t="s" s="82">
        <v>125</v>
      </c>
      <c r="AE284" s="67"/>
    </row>
    <row r="285" ht="15" customHeight="1">
      <c r="A285" t="s" s="68">
        <v>26</v>
      </c>
      <c r="B285" s="69">
        <v>86.2</v>
      </c>
      <c r="C285" t="b" s="70">
        <v>0</v>
      </c>
      <c r="D285" s="71"/>
      <c r="E285" t="s" s="72">
        <v>678</v>
      </c>
      <c r="F285" t="s" s="72">
        <v>153</v>
      </c>
      <c r="G285" s="73">
        <v>48</v>
      </c>
      <c r="H285" t="s" s="72">
        <v>679</v>
      </c>
      <c r="I285" t="s" s="72">
        <v>680</v>
      </c>
      <c r="J285" s="73">
        <v>35</v>
      </c>
      <c r="K285" t="s" s="72">
        <v>399</v>
      </c>
      <c r="L285" t="s" s="72">
        <v>121</v>
      </c>
      <c r="M285" s="71"/>
      <c r="N285" t="s" s="72">
        <v>655</v>
      </c>
      <c r="O285" s="71"/>
      <c r="P285" s="73">
        <v>2</v>
      </c>
      <c r="Q285" s="74">
        <v>6.75</v>
      </c>
      <c r="R285" s="74">
        <v>8.75</v>
      </c>
      <c r="S285" s="73">
        <v>1</v>
      </c>
      <c r="T285" s="73">
        <v>1</v>
      </c>
      <c r="U285" t="s" s="72">
        <v>122</v>
      </c>
      <c r="V285" s="73">
        <v>18</v>
      </c>
      <c r="W285" s="74">
        <v>6.33</v>
      </c>
      <c r="X285" s="74">
        <v>7.25</v>
      </c>
      <c r="Y285" s="73">
        <v>5</v>
      </c>
      <c r="Z285" s="73">
        <v>2</v>
      </c>
      <c r="AA285" t="s" s="72">
        <v>681</v>
      </c>
      <c r="AB285" t="s" s="72">
        <v>124</v>
      </c>
      <c r="AC285" t="s" s="72">
        <v>124</v>
      </c>
      <c r="AD285" t="s" s="75">
        <v>125</v>
      </c>
      <c r="AE285" s="67"/>
    </row>
    <row r="286" ht="15" customHeight="1">
      <c r="A286" t="s" s="68">
        <v>26</v>
      </c>
      <c r="B286" s="76">
        <v>85.5</v>
      </c>
      <c r="C286" t="b" s="77">
        <v>0</v>
      </c>
      <c r="D286" s="78"/>
      <c r="E286" t="s" s="79">
        <v>682</v>
      </c>
      <c r="F286" t="s" s="79">
        <v>144</v>
      </c>
      <c r="G286" s="80">
        <v>41</v>
      </c>
      <c r="H286" t="s" s="79">
        <v>118</v>
      </c>
      <c r="I286" t="s" s="79">
        <v>683</v>
      </c>
      <c r="J286" s="80">
        <v>32</v>
      </c>
      <c r="K286" t="s" s="79">
        <v>128</v>
      </c>
      <c r="L286" t="s" s="79">
        <v>154</v>
      </c>
      <c r="M286" s="78"/>
      <c r="N286" t="s" s="79">
        <v>272</v>
      </c>
      <c r="O286" s="78"/>
      <c r="P286" s="80">
        <v>2</v>
      </c>
      <c r="Q286" s="81">
        <v>6.5</v>
      </c>
      <c r="R286" s="81">
        <v>6.5</v>
      </c>
      <c r="S286" s="80">
        <v>0</v>
      </c>
      <c r="T286" s="80">
        <v>0</v>
      </c>
      <c r="U286" t="s" s="79">
        <v>122</v>
      </c>
      <c r="V286" s="80">
        <v>25</v>
      </c>
      <c r="W286" s="81">
        <v>6.08</v>
      </c>
      <c r="X286" s="81">
        <v>6.58</v>
      </c>
      <c r="Y286" s="80">
        <v>4</v>
      </c>
      <c r="Z286" s="80">
        <v>2</v>
      </c>
      <c r="AA286" t="s" s="79">
        <v>291</v>
      </c>
      <c r="AB286" t="s" s="79">
        <v>124</v>
      </c>
      <c r="AC286" t="s" s="79">
        <v>124</v>
      </c>
      <c r="AD286" t="s" s="82">
        <v>125</v>
      </c>
      <c r="AE286" s="67"/>
    </row>
    <row r="287" ht="15" customHeight="1">
      <c r="A287" t="s" s="68">
        <v>26</v>
      </c>
      <c r="B287" s="69">
        <v>85.09999999999999</v>
      </c>
      <c r="C287" t="b" s="70">
        <v>0</v>
      </c>
      <c r="D287" s="71"/>
      <c r="E287" t="s" s="72">
        <v>684</v>
      </c>
      <c r="F287" t="s" s="72">
        <v>141</v>
      </c>
      <c r="G287" s="73">
        <v>45</v>
      </c>
      <c r="H287" t="s" s="72">
        <v>118</v>
      </c>
      <c r="I287" t="s" s="72">
        <v>685</v>
      </c>
      <c r="J287" s="73">
        <v>25</v>
      </c>
      <c r="K287" t="s" s="72">
        <v>686</v>
      </c>
      <c r="L287" t="s" s="72">
        <v>154</v>
      </c>
      <c r="M287" s="71"/>
      <c r="N287" t="s" s="72">
        <v>272</v>
      </c>
      <c r="O287" s="71"/>
      <c r="P287" s="73">
        <v>3</v>
      </c>
      <c r="Q287" s="74">
        <v>6.5</v>
      </c>
      <c r="R287" s="74">
        <v>6.5</v>
      </c>
      <c r="S287" s="73">
        <v>0</v>
      </c>
      <c r="T287" s="73">
        <v>0</v>
      </c>
      <c r="U287" t="s" s="72">
        <v>122</v>
      </c>
      <c r="V287" s="73">
        <v>35</v>
      </c>
      <c r="W287" s="74">
        <v>6.39</v>
      </c>
      <c r="X287" s="74">
        <v>6.96</v>
      </c>
      <c r="Y287" s="73">
        <v>6</v>
      </c>
      <c r="Z287" s="73">
        <v>4</v>
      </c>
      <c r="AA287" t="s" s="72">
        <v>687</v>
      </c>
      <c r="AB287" t="s" s="72">
        <v>124</v>
      </c>
      <c r="AC287" t="s" s="72">
        <v>124</v>
      </c>
      <c r="AD287" t="s" s="75">
        <v>125</v>
      </c>
      <c r="AE287" s="67"/>
    </row>
    <row r="288" ht="15" customHeight="1">
      <c r="A288" t="s" s="68">
        <v>26</v>
      </c>
      <c r="B288" s="76">
        <v>84.59999999999999</v>
      </c>
      <c r="C288" t="b" s="77">
        <v>0</v>
      </c>
      <c r="D288" t="s" s="85">
        <v>161</v>
      </c>
      <c r="E288" t="s" s="79">
        <v>688</v>
      </c>
      <c r="F288" t="s" s="79">
        <v>170</v>
      </c>
      <c r="G288" s="80">
        <v>36</v>
      </c>
      <c r="H288" t="s" s="79">
        <v>689</v>
      </c>
      <c r="I288" t="s" s="79">
        <v>690</v>
      </c>
      <c r="J288" s="80">
        <v>23</v>
      </c>
      <c r="K288" t="s" s="79">
        <v>691</v>
      </c>
      <c r="L288" t="s" s="79">
        <v>121</v>
      </c>
      <c r="M288" s="78"/>
      <c r="N288" s="78"/>
      <c r="O288" s="78"/>
      <c r="P288" s="80">
        <v>2</v>
      </c>
      <c r="Q288" s="81">
        <v>4.75</v>
      </c>
      <c r="R288" s="81">
        <v>4.75</v>
      </c>
      <c r="S288" s="80">
        <v>0</v>
      </c>
      <c r="T288" s="80">
        <v>0</v>
      </c>
      <c r="U288" t="s" s="79">
        <v>122</v>
      </c>
      <c r="V288" s="80">
        <v>32</v>
      </c>
      <c r="W288" s="81">
        <v>6.34</v>
      </c>
      <c r="X288" s="81">
        <v>6.86</v>
      </c>
      <c r="Y288" s="80">
        <v>5</v>
      </c>
      <c r="Z288" s="80">
        <v>3</v>
      </c>
      <c r="AA288" t="s" s="79">
        <v>123</v>
      </c>
      <c r="AB288" t="s" s="79">
        <v>124</v>
      </c>
      <c r="AC288" t="s" s="79">
        <v>124</v>
      </c>
      <c r="AD288" t="s" s="82">
        <v>125</v>
      </c>
      <c r="AE288" s="67"/>
    </row>
    <row r="289" ht="15" customHeight="1">
      <c r="A289" t="s" s="68">
        <v>26</v>
      </c>
      <c r="B289" s="69">
        <v>84.40000000000001</v>
      </c>
      <c r="C289" t="b" s="70">
        <v>0</v>
      </c>
      <c r="D289" s="71"/>
      <c r="E289" t="s" s="72">
        <v>692</v>
      </c>
      <c r="F289" t="s" s="72">
        <v>117</v>
      </c>
      <c r="G289" s="73">
        <v>41</v>
      </c>
      <c r="H289" t="s" s="72">
        <v>118</v>
      </c>
      <c r="I289" t="s" s="72">
        <v>135</v>
      </c>
      <c r="J289" s="73">
        <v>25</v>
      </c>
      <c r="K289" t="s" s="72">
        <v>636</v>
      </c>
      <c r="L289" t="s" s="72">
        <v>121</v>
      </c>
      <c r="M289" s="71"/>
      <c r="N289" s="71"/>
      <c r="O289" s="71"/>
      <c r="P289" s="73">
        <v>2</v>
      </c>
      <c r="Q289" s="74">
        <v>6.5</v>
      </c>
      <c r="R289" s="74">
        <v>6.25</v>
      </c>
      <c r="S289" s="73">
        <v>0</v>
      </c>
      <c r="T289" s="73">
        <v>0</v>
      </c>
      <c r="U289" t="s" s="72">
        <v>122</v>
      </c>
      <c r="V289" s="73">
        <v>29</v>
      </c>
      <c r="W289" s="74">
        <v>6.19</v>
      </c>
      <c r="X289" s="74">
        <v>6.47</v>
      </c>
      <c r="Y289" s="73">
        <v>2</v>
      </c>
      <c r="Z289" s="73">
        <v>3</v>
      </c>
      <c r="AA289" t="s" s="72">
        <v>123</v>
      </c>
      <c r="AB289" t="s" s="72">
        <v>124</v>
      </c>
      <c r="AC289" t="s" s="72">
        <v>124</v>
      </c>
      <c r="AD289" t="s" s="75">
        <v>125</v>
      </c>
      <c r="AE289" s="67"/>
    </row>
    <row r="290" ht="15" customHeight="1">
      <c r="A290" t="s" s="68">
        <v>26</v>
      </c>
      <c r="B290" s="76">
        <v>84.3</v>
      </c>
      <c r="C290" t="b" s="77">
        <v>0</v>
      </c>
      <c r="D290" s="78"/>
      <c r="E290" t="s" s="79">
        <v>693</v>
      </c>
      <c r="F290" t="s" s="79">
        <v>159</v>
      </c>
      <c r="G290" s="80">
        <v>48</v>
      </c>
      <c r="H290" t="s" s="79">
        <v>164</v>
      </c>
      <c r="I290" t="s" s="79">
        <v>672</v>
      </c>
      <c r="J290" s="80">
        <v>27</v>
      </c>
      <c r="K290" t="s" s="79">
        <v>128</v>
      </c>
      <c r="L290" t="s" s="79">
        <v>154</v>
      </c>
      <c r="M290" s="78"/>
      <c r="N290" t="s" s="79">
        <v>655</v>
      </c>
      <c r="O290" t="s" s="88">
        <v>377</v>
      </c>
      <c r="P290" s="80">
        <v>1</v>
      </c>
      <c r="Q290" s="81">
        <v>6.5</v>
      </c>
      <c r="R290" s="81">
        <v>6.5</v>
      </c>
      <c r="S290" s="80">
        <v>0</v>
      </c>
      <c r="T290" s="80">
        <v>0</v>
      </c>
      <c r="U290" t="s" s="79">
        <v>122</v>
      </c>
      <c r="V290" s="80">
        <v>31</v>
      </c>
      <c r="W290" s="81">
        <v>6.24</v>
      </c>
      <c r="X290" s="81">
        <v>6.76</v>
      </c>
      <c r="Y290" s="80">
        <v>5</v>
      </c>
      <c r="Z290" s="80">
        <v>5</v>
      </c>
      <c r="AA290" t="s" s="79">
        <v>123</v>
      </c>
      <c r="AB290" t="s" s="79">
        <v>124</v>
      </c>
      <c r="AC290" t="s" s="79">
        <v>124</v>
      </c>
      <c r="AD290" t="s" s="82">
        <v>125</v>
      </c>
      <c r="AE290" s="67"/>
    </row>
    <row r="291" ht="15" customHeight="1">
      <c r="A291" t="s" s="68">
        <v>26</v>
      </c>
      <c r="B291" s="69">
        <v>84.09999999999999</v>
      </c>
      <c r="C291" t="b" s="70">
        <v>0</v>
      </c>
      <c r="D291" s="71"/>
      <c r="E291" t="s" s="72">
        <v>694</v>
      </c>
      <c r="F291" t="s" s="72">
        <v>130</v>
      </c>
      <c r="G291" s="73">
        <v>42</v>
      </c>
      <c r="H291" t="s" s="72">
        <v>118</v>
      </c>
      <c r="I291" t="s" s="72">
        <v>695</v>
      </c>
      <c r="J291" s="73">
        <v>40</v>
      </c>
      <c r="K291" t="s" s="72">
        <v>395</v>
      </c>
      <c r="L291" t="s" s="72">
        <v>328</v>
      </c>
      <c r="M291" s="71"/>
      <c r="N291" t="s" s="72">
        <v>655</v>
      </c>
      <c r="O291" s="71"/>
      <c r="P291" s="73">
        <v>2</v>
      </c>
      <c r="Q291" s="74">
        <v>6.25</v>
      </c>
      <c r="R291" s="74">
        <v>6.25</v>
      </c>
      <c r="S291" s="73">
        <v>0</v>
      </c>
      <c r="T291" s="73">
        <v>0</v>
      </c>
      <c r="U291" t="s" s="72">
        <v>122</v>
      </c>
      <c r="V291" s="73">
        <v>33</v>
      </c>
      <c r="W291" s="74">
        <v>6.5</v>
      </c>
      <c r="X291" s="74">
        <v>6.71</v>
      </c>
      <c r="Y291" s="73">
        <v>2</v>
      </c>
      <c r="Z291" s="73">
        <v>3</v>
      </c>
      <c r="AA291" t="s" s="72">
        <v>123</v>
      </c>
      <c r="AB291" t="s" s="72">
        <v>124</v>
      </c>
      <c r="AC291" t="s" s="72">
        <v>124</v>
      </c>
      <c r="AD291" t="s" s="75">
        <v>125</v>
      </c>
      <c r="AE291" s="67"/>
    </row>
    <row r="292" ht="15" customHeight="1">
      <c r="A292" t="s" s="68">
        <v>26</v>
      </c>
      <c r="B292" s="76">
        <v>84</v>
      </c>
      <c r="C292" t="b" s="77">
        <v>0</v>
      </c>
      <c r="D292" t="s" s="85">
        <v>161</v>
      </c>
      <c r="E292" t="s" s="79">
        <v>696</v>
      </c>
      <c r="F292" t="s" s="79">
        <v>153</v>
      </c>
      <c r="G292" s="80">
        <v>45</v>
      </c>
      <c r="H292" t="s" s="79">
        <v>118</v>
      </c>
      <c r="I292" t="s" s="79">
        <v>432</v>
      </c>
      <c r="J292" s="80">
        <v>23</v>
      </c>
      <c r="K292" t="s" s="79">
        <v>277</v>
      </c>
      <c r="L292" t="s" s="79">
        <v>121</v>
      </c>
      <c r="M292" s="78"/>
      <c r="N292" s="78"/>
      <c r="O292" s="78"/>
      <c r="P292" s="80">
        <v>2</v>
      </c>
      <c r="Q292" s="81">
        <v>6</v>
      </c>
      <c r="R292" s="81">
        <v>6</v>
      </c>
      <c r="S292" s="80">
        <v>0</v>
      </c>
      <c r="T292" s="80">
        <v>0</v>
      </c>
      <c r="U292" t="s" s="79">
        <v>122</v>
      </c>
      <c r="V292" s="80">
        <v>13</v>
      </c>
      <c r="W292" s="81">
        <v>6.38</v>
      </c>
      <c r="X292" s="81">
        <v>7.27</v>
      </c>
      <c r="Y292" s="80">
        <v>4</v>
      </c>
      <c r="Z292" s="80">
        <v>0</v>
      </c>
      <c r="AA292" t="s" s="79">
        <v>123</v>
      </c>
      <c r="AB292" t="s" s="79">
        <v>124</v>
      </c>
      <c r="AC292" t="s" s="79">
        <v>124</v>
      </c>
      <c r="AD292" t="s" s="82">
        <v>125</v>
      </c>
      <c r="AE292" s="67"/>
    </row>
    <row r="293" ht="15" customHeight="1">
      <c r="A293" t="s" s="68">
        <v>26</v>
      </c>
      <c r="B293" s="69">
        <v>83.59999999999999</v>
      </c>
      <c r="C293" t="b" s="70">
        <v>0</v>
      </c>
      <c r="D293" s="71"/>
      <c r="E293" t="s" s="72">
        <v>697</v>
      </c>
      <c r="F293" t="s" s="72">
        <v>149</v>
      </c>
      <c r="G293" s="73">
        <v>40</v>
      </c>
      <c r="H293" t="s" s="72">
        <v>118</v>
      </c>
      <c r="I293" t="s" s="72">
        <v>683</v>
      </c>
      <c r="J293" s="73">
        <v>31</v>
      </c>
      <c r="K293" t="s" s="72">
        <v>128</v>
      </c>
      <c r="L293" t="s" s="72">
        <v>121</v>
      </c>
      <c r="M293" s="71"/>
      <c r="N293" t="s" s="72">
        <v>272</v>
      </c>
      <c r="O293" s="71"/>
      <c r="P293" s="73">
        <v>2</v>
      </c>
      <c r="Q293" s="74">
        <v>6</v>
      </c>
      <c r="R293" s="74">
        <v>5.75</v>
      </c>
      <c r="S293" s="73">
        <v>0</v>
      </c>
      <c r="T293" s="73">
        <v>0</v>
      </c>
      <c r="U293" t="s" s="72">
        <v>122</v>
      </c>
      <c r="V293" s="73">
        <v>26</v>
      </c>
      <c r="W293" s="74">
        <v>5.92</v>
      </c>
      <c r="X293" s="74">
        <v>6</v>
      </c>
      <c r="Y293" s="73">
        <v>3</v>
      </c>
      <c r="Z293" s="73">
        <v>0</v>
      </c>
      <c r="AA293" t="s" s="72">
        <v>670</v>
      </c>
      <c r="AB293" t="s" s="72">
        <v>124</v>
      </c>
      <c r="AC293" t="s" s="72">
        <v>124</v>
      </c>
      <c r="AD293" t="s" s="75">
        <v>125</v>
      </c>
      <c r="AE293" s="67"/>
    </row>
    <row r="294" ht="15" customHeight="1">
      <c r="A294" t="s" s="68">
        <v>26</v>
      </c>
      <c r="B294" s="76">
        <v>82.3</v>
      </c>
      <c r="C294" t="b" s="77">
        <v>0</v>
      </c>
      <c r="D294" s="78"/>
      <c r="E294" t="s" s="79">
        <v>698</v>
      </c>
      <c r="F294" t="s" s="79">
        <v>138</v>
      </c>
      <c r="G294" s="80">
        <v>42</v>
      </c>
      <c r="H294" t="s" s="79">
        <v>118</v>
      </c>
      <c r="I294" t="s" s="79">
        <v>306</v>
      </c>
      <c r="J294" s="80">
        <v>23</v>
      </c>
      <c r="K294" t="s" s="79">
        <v>325</v>
      </c>
      <c r="L294" t="s" s="79">
        <v>154</v>
      </c>
      <c r="M294" s="78"/>
      <c r="N294" s="78"/>
      <c r="O294" s="78"/>
      <c r="P294" s="80">
        <v>2</v>
      </c>
      <c r="Q294" s="81">
        <v>6.5</v>
      </c>
      <c r="R294" s="81">
        <v>7</v>
      </c>
      <c r="S294" s="80">
        <v>0</v>
      </c>
      <c r="T294" s="80">
        <v>1</v>
      </c>
      <c r="U294" t="s" s="79">
        <v>122</v>
      </c>
      <c r="V294" s="80">
        <v>31</v>
      </c>
      <c r="W294" s="81">
        <v>6.24</v>
      </c>
      <c r="X294" s="81">
        <v>6.65</v>
      </c>
      <c r="Y294" s="80">
        <v>3</v>
      </c>
      <c r="Z294" s="80">
        <v>5</v>
      </c>
      <c r="AA294" t="s" s="79">
        <v>123</v>
      </c>
      <c r="AB294" t="s" s="79">
        <v>124</v>
      </c>
      <c r="AC294" t="s" s="79">
        <v>124</v>
      </c>
      <c r="AD294" t="s" s="82">
        <v>125</v>
      </c>
      <c r="AE294" s="67"/>
    </row>
    <row r="295" ht="15" customHeight="1">
      <c r="A295" t="s" s="68">
        <v>26</v>
      </c>
      <c r="B295" s="69">
        <v>81.5</v>
      </c>
      <c r="C295" t="b" s="70">
        <v>0</v>
      </c>
      <c r="D295" s="71"/>
      <c r="E295" t="s" s="72">
        <v>699</v>
      </c>
      <c r="F295" t="s" s="72">
        <v>127</v>
      </c>
      <c r="G295" s="73">
        <v>36</v>
      </c>
      <c r="H295" t="s" s="72">
        <v>118</v>
      </c>
      <c r="I295" t="s" s="72">
        <v>119</v>
      </c>
      <c r="J295" s="73">
        <v>27</v>
      </c>
      <c r="K295" t="s" s="72">
        <v>277</v>
      </c>
      <c r="L295" t="s" s="72">
        <v>121</v>
      </c>
      <c r="M295" s="71"/>
      <c r="N295" s="71"/>
      <c r="O295" s="71"/>
      <c r="P295" s="73">
        <v>2</v>
      </c>
      <c r="Q295" s="74">
        <v>6</v>
      </c>
      <c r="R295" s="74">
        <v>6</v>
      </c>
      <c r="S295" s="73">
        <v>0</v>
      </c>
      <c r="T295" s="73">
        <v>0</v>
      </c>
      <c r="U295" t="s" s="72">
        <v>122</v>
      </c>
      <c r="V295" s="73">
        <v>30</v>
      </c>
      <c r="W295" s="74">
        <v>6.25</v>
      </c>
      <c r="X295" s="74">
        <v>6.43</v>
      </c>
      <c r="Y295" s="73">
        <v>2</v>
      </c>
      <c r="Z295" s="73">
        <v>1</v>
      </c>
      <c r="AA295" t="s" s="72">
        <v>291</v>
      </c>
      <c r="AB295" t="s" s="72">
        <v>124</v>
      </c>
      <c r="AC295" t="s" s="72">
        <v>124</v>
      </c>
      <c r="AD295" t="s" s="75">
        <v>125</v>
      </c>
      <c r="AE295" s="67"/>
    </row>
    <row r="296" ht="15" customHeight="1">
      <c r="A296" t="s" s="83">
        <v>28</v>
      </c>
      <c r="B296" s="76">
        <v>80.5</v>
      </c>
      <c r="C296" t="b" s="77">
        <v>0</v>
      </c>
      <c r="D296" s="78"/>
      <c r="E296" t="s" s="79">
        <v>700</v>
      </c>
      <c r="F296" t="s" s="79">
        <v>138</v>
      </c>
      <c r="G296" s="80">
        <v>34</v>
      </c>
      <c r="H296" t="s" s="79">
        <v>118</v>
      </c>
      <c r="I296" t="s" s="79">
        <v>332</v>
      </c>
      <c r="J296" s="80">
        <v>28</v>
      </c>
      <c r="K296" t="s" s="79">
        <v>128</v>
      </c>
      <c r="L296" t="s" s="79">
        <v>121</v>
      </c>
      <c r="M296" s="78"/>
      <c r="N296" t="s" s="79">
        <v>272</v>
      </c>
      <c r="O296" s="78"/>
      <c r="P296" s="80">
        <v>2</v>
      </c>
      <c r="Q296" s="81">
        <v>6.5</v>
      </c>
      <c r="R296" s="81">
        <v>6.75</v>
      </c>
      <c r="S296" s="80">
        <v>0</v>
      </c>
      <c r="T296" s="80">
        <v>1</v>
      </c>
      <c r="U296" t="s" s="79">
        <v>122</v>
      </c>
      <c r="V296" s="80">
        <v>36</v>
      </c>
      <c r="W296" s="81">
        <v>6.28</v>
      </c>
      <c r="X296" s="81">
        <v>6.21</v>
      </c>
      <c r="Y296" s="80">
        <v>1</v>
      </c>
      <c r="Z296" s="80">
        <v>2</v>
      </c>
      <c r="AA296" t="s" s="79">
        <v>670</v>
      </c>
      <c r="AB296" t="s" s="79">
        <v>124</v>
      </c>
      <c r="AC296" t="s" s="79">
        <v>124</v>
      </c>
      <c r="AD296" t="s" s="82">
        <v>125</v>
      </c>
      <c r="AE296" s="67"/>
    </row>
    <row r="297" ht="15" customHeight="1">
      <c r="A297" t="s" s="83">
        <v>28</v>
      </c>
      <c r="B297" s="69">
        <v>79.8</v>
      </c>
      <c r="C297" t="b" s="70">
        <v>0</v>
      </c>
      <c r="D297" s="71"/>
      <c r="E297" t="s" s="72">
        <v>701</v>
      </c>
      <c r="F297" t="s" s="72">
        <v>149</v>
      </c>
      <c r="G297" s="73">
        <v>35</v>
      </c>
      <c r="H297" t="s" s="72">
        <v>118</v>
      </c>
      <c r="I297" t="s" s="72">
        <v>135</v>
      </c>
      <c r="J297" s="73">
        <v>24</v>
      </c>
      <c r="K297" t="s" s="72">
        <v>157</v>
      </c>
      <c r="L297" t="s" s="72">
        <v>154</v>
      </c>
      <c r="M297" s="71"/>
      <c r="N297" s="71"/>
      <c r="O297" s="71"/>
      <c r="P297" s="73">
        <v>2</v>
      </c>
      <c r="Q297" s="74">
        <v>6.25</v>
      </c>
      <c r="R297" s="74">
        <v>6.25</v>
      </c>
      <c r="S297" s="73">
        <v>0</v>
      </c>
      <c r="T297" s="73">
        <v>0</v>
      </c>
      <c r="U297" t="s" s="72">
        <v>122</v>
      </c>
      <c r="V297" s="73">
        <v>17</v>
      </c>
      <c r="W297" s="74">
        <v>6.03</v>
      </c>
      <c r="X297" s="74">
        <v>6.53</v>
      </c>
      <c r="Y297" s="73">
        <v>3</v>
      </c>
      <c r="Z297" s="73">
        <v>2</v>
      </c>
      <c r="AA297" t="s" s="72">
        <v>123</v>
      </c>
      <c r="AB297" t="s" s="72">
        <v>124</v>
      </c>
      <c r="AC297" t="s" s="72">
        <v>124</v>
      </c>
      <c r="AD297" t="s" s="75">
        <v>125</v>
      </c>
      <c r="AE297" s="67"/>
    </row>
    <row r="298" ht="15" customHeight="1">
      <c r="A298" t="s" s="83">
        <v>28</v>
      </c>
      <c r="B298" s="76">
        <v>77.90000000000001</v>
      </c>
      <c r="C298" t="b" s="77">
        <v>0</v>
      </c>
      <c r="D298" t="s" s="85">
        <v>161</v>
      </c>
      <c r="E298" t="s" s="79">
        <v>702</v>
      </c>
      <c r="F298" t="s" s="79">
        <v>159</v>
      </c>
      <c r="G298" s="80">
        <v>33</v>
      </c>
      <c r="H298" t="s" s="79">
        <v>118</v>
      </c>
      <c r="I298" t="s" s="79">
        <v>703</v>
      </c>
      <c r="J298" s="80">
        <v>26</v>
      </c>
      <c r="K298" t="s" s="79">
        <v>157</v>
      </c>
      <c r="L298" t="s" s="79">
        <v>121</v>
      </c>
      <c r="M298" s="78"/>
      <c r="N298" t="s" s="79">
        <v>272</v>
      </c>
      <c r="O298" s="78"/>
      <c r="P298" s="80">
        <v>2</v>
      </c>
      <c r="Q298" s="81">
        <v>6.75</v>
      </c>
      <c r="R298" s="81">
        <v>8.75</v>
      </c>
      <c r="S298" s="80">
        <v>1</v>
      </c>
      <c r="T298" s="80">
        <v>1</v>
      </c>
      <c r="U298" t="s" s="79">
        <v>122</v>
      </c>
      <c r="V298" s="80">
        <v>31</v>
      </c>
      <c r="W298" s="81">
        <v>6</v>
      </c>
      <c r="X298" s="81">
        <v>6.56</v>
      </c>
      <c r="Y298" s="80">
        <v>5</v>
      </c>
      <c r="Z298" s="80">
        <v>3</v>
      </c>
      <c r="AA298" t="s" s="79">
        <v>123</v>
      </c>
      <c r="AB298" t="s" s="79">
        <v>124</v>
      </c>
      <c r="AC298" t="s" s="79">
        <v>124</v>
      </c>
      <c r="AD298" t="s" s="82">
        <v>125</v>
      </c>
      <c r="AE298" s="67"/>
    </row>
    <row r="299" ht="15" customHeight="1">
      <c r="A299" t="s" s="83">
        <v>28</v>
      </c>
      <c r="B299" s="69">
        <v>76.40000000000001</v>
      </c>
      <c r="C299" t="b" s="70">
        <v>0</v>
      </c>
      <c r="D299" s="71"/>
      <c r="E299" t="s" s="72">
        <v>704</v>
      </c>
      <c r="F299" t="s" s="72">
        <v>134</v>
      </c>
      <c r="G299" s="73">
        <v>41</v>
      </c>
      <c r="H299" t="s" s="72">
        <v>175</v>
      </c>
      <c r="I299" t="s" s="72">
        <v>705</v>
      </c>
      <c r="J299" s="73">
        <v>32</v>
      </c>
      <c r="K299" t="s" s="72">
        <v>145</v>
      </c>
      <c r="L299" t="s" s="72">
        <v>121</v>
      </c>
      <c r="M299" s="71"/>
      <c r="N299" t="s" s="72">
        <v>311</v>
      </c>
      <c r="O299" s="71"/>
      <c r="P299" s="73">
        <v>2</v>
      </c>
      <c r="Q299" s="74">
        <v>6.5</v>
      </c>
      <c r="R299" s="74">
        <v>8</v>
      </c>
      <c r="S299" s="73">
        <v>1</v>
      </c>
      <c r="T299" s="73">
        <v>0</v>
      </c>
      <c r="U299" t="s" s="72">
        <v>122</v>
      </c>
      <c r="V299" s="73">
        <v>31</v>
      </c>
      <c r="W299" s="74">
        <v>6.35</v>
      </c>
      <c r="X299" s="74">
        <v>6.89</v>
      </c>
      <c r="Y299" s="73">
        <v>6</v>
      </c>
      <c r="Z299" s="73">
        <v>2</v>
      </c>
      <c r="AA299" t="s" s="72">
        <v>291</v>
      </c>
      <c r="AB299" t="s" s="72">
        <v>124</v>
      </c>
      <c r="AC299" t="s" s="72">
        <v>124</v>
      </c>
      <c r="AD299" t="s" s="75">
        <v>125</v>
      </c>
      <c r="AE299" s="67"/>
    </row>
    <row r="300" ht="15" customHeight="1">
      <c r="A300" t="s" s="83">
        <v>28</v>
      </c>
      <c r="B300" s="76">
        <v>76.3</v>
      </c>
      <c r="C300" t="b" s="77">
        <v>0</v>
      </c>
      <c r="D300" s="78"/>
      <c r="E300" t="s" s="79">
        <v>706</v>
      </c>
      <c r="F300" t="s" s="79">
        <v>141</v>
      </c>
      <c r="G300" s="80">
        <v>34</v>
      </c>
      <c r="H300" t="s" s="79">
        <v>707</v>
      </c>
      <c r="I300" t="s" s="79">
        <v>708</v>
      </c>
      <c r="J300" s="80">
        <v>23</v>
      </c>
      <c r="K300" t="s" s="79">
        <v>316</v>
      </c>
      <c r="L300" t="s" s="79">
        <v>154</v>
      </c>
      <c r="M300" s="78"/>
      <c r="N300" s="78"/>
      <c r="O300" s="78"/>
      <c r="P300" s="80">
        <v>3</v>
      </c>
      <c r="Q300" s="81">
        <v>6</v>
      </c>
      <c r="R300" s="81">
        <v>6</v>
      </c>
      <c r="S300" s="80">
        <v>0</v>
      </c>
      <c r="T300" s="80">
        <v>0</v>
      </c>
      <c r="U300" t="s" s="79">
        <v>122</v>
      </c>
      <c r="V300" s="80">
        <v>36</v>
      </c>
      <c r="W300" s="81">
        <v>6.31</v>
      </c>
      <c r="X300" s="81">
        <v>6.56</v>
      </c>
      <c r="Y300" s="80">
        <v>3</v>
      </c>
      <c r="Z300" s="80">
        <v>4</v>
      </c>
      <c r="AA300" t="s" s="79">
        <v>123</v>
      </c>
      <c r="AB300" t="s" s="79">
        <v>124</v>
      </c>
      <c r="AC300" t="s" s="79">
        <v>124</v>
      </c>
      <c r="AD300" t="s" s="82">
        <v>125</v>
      </c>
      <c r="AE300" s="67"/>
    </row>
    <row r="301" ht="15" customHeight="1">
      <c r="A301" t="s" s="83">
        <v>28</v>
      </c>
      <c r="B301" s="69">
        <v>75.7</v>
      </c>
      <c r="C301" t="b" s="70">
        <v>0</v>
      </c>
      <c r="D301" t="s" s="84">
        <v>161</v>
      </c>
      <c r="E301" t="s" s="72">
        <v>709</v>
      </c>
      <c r="F301" t="s" s="72">
        <v>170</v>
      </c>
      <c r="G301" s="73">
        <v>33</v>
      </c>
      <c r="H301" t="s" s="72">
        <v>118</v>
      </c>
      <c r="I301" t="s" s="72">
        <v>710</v>
      </c>
      <c r="J301" s="73">
        <v>19</v>
      </c>
      <c r="K301" t="s" s="72">
        <v>316</v>
      </c>
      <c r="L301" t="s" s="72">
        <v>154</v>
      </c>
      <c r="M301" s="71"/>
      <c r="N301" t="s" s="72">
        <v>655</v>
      </c>
      <c r="O301" s="71"/>
      <c r="P301" s="73">
        <v>2</v>
      </c>
      <c r="Q301" s="74">
        <v>5.5</v>
      </c>
      <c r="R301" s="74">
        <v>5.5</v>
      </c>
      <c r="S301" s="73">
        <v>0</v>
      </c>
      <c r="T301" s="73">
        <v>0</v>
      </c>
      <c r="U301" t="s" s="72">
        <v>122</v>
      </c>
      <c r="V301" s="71"/>
      <c r="W301" s="71"/>
      <c r="X301" s="71"/>
      <c r="Y301" s="71"/>
      <c r="Z301" s="71"/>
      <c r="AA301" s="71"/>
      <c r="AB301" t="s" s="72">
        <v>124</v>
      </c>
      <c r="AC301" t="s" s="72">
        <v>124</v>
      </c>
      <c r="AD301" t="s" s="75">
        <v>125</v>
      </c>
      <c r="AE301" s="67"/>
    </row>
    <row r="302" ht="15" customHeight="1">
      <c r="A302" t="s" s="83">
        <v>28</v>
      </c>
      <c r="B302" s="76">
        <v>75.09999999999999</v>
      </c>
      <c r="C302" t="b" s="77">
        <v>0</v>
      </c>
      <c r="D302" s="78"/>
      <c r="E302" t="s" s="79">
        <v>711</v>
      </c>
      <c r="F302" t="s" s="79">
        <v>138</v>
      </c>
      <c r="G302" s="80">
        <v>41</v>
      </c>
      <c r="H302" t="s" s="79">
        <v>164</v>
      </c>
      <c r="I302" t="s" s="79">
        <v>712</v>
      </c>
      <c r="J302" s="80">
        <v>28</v>
      </c>
      <c r="K302" t="s" s="79">
        <v>713</v>
      </c>
      <c r="L302" t="s" s="79">
        <v>121</v>
      </c>
      <c r="M302" s="78"/>
      <c r="N302" s="78"/>
      <c r="O302" t="s" s="88">
        <v>268</v>
      </c>
      <c r="P302" s="80">
        <v>1</v>
      </c>
      <c r="Q302" s="81">
        <v>6</v>
      </c>
      <c r="R302" s="81">
        <v>6</v>
      </c>
      <c r="S302" s="80">
        <v>0</v>
      </c>
      <c r="T302" s="80">
        <v>0</v>
      </c>
      <c r="U302" t="s" s="79">
        <v>122</v>
      </c>
      <c r="V302" s="80">
        <v>34</v>
      </c>
      <c r="W302" s="81">
        <v>6.18</v>
      </c>
      <c r="X302" s="81">
        <v>6.72</v>
      </c>
      <c r="Y302" s="80">
        <v>5</v>
      </c>
      <c r="Z302" s="80">
        <v>6</v>
      </c>
      <c r="AA302" t="s" s="79">
        <v>123</v>
      </c>
      <c r="AB302" t="s" s="79">
        <v>124</v>
      </c>
      <c r="AC302" t="s" s="79">
        <v>124</v>
      </c>
      <c r="AD302" t="s" s="82">
        <v>125</v>
      </c>
      <c r="AE302" s="67"/>
    </row>
    <row r="303" ht="15" customHeight="1">
      <c r="A303" t="s" s="83">
        <v>28</v>
      </c>
      <c r="B303" s="69">
        <v>74.3</v>
      </c>
      <c r="C303" t="b" s="70">
        <v>0</v>
      </c>
      <c r="D303" s="71"/>
      <c r="E303" t="s" s="72">
        <v>714</v>
      </c>
      <c r="F303" t="s" s="72">
        <v>117</v>
      </c>
      <c r="G303" s="73">
        <v>33</v>
      </c>
      <c r="H303" t="s" s="72">
        <v>118</v>
      </c>
      <c r="I303" t="s" s="72">
        <v>131</v>
      </c>
      <c r="J303" s="73">
        <v>31</v>
      </c>
      <c r="K303" t="s" s="72">
        <v>715</v>
      </c>
      <c r="L303" t="s" s="72">
        <v>121</v>
      </c>
      <c r="M303" s="71"/>
      <c r="N303" s="71"/>
      <c r="O303" s="71"/>
      <c r="P303" s="73">
        <v>2</v>
      </c>
      <c r="Q303" s="74">
        <v>6.5</v>
      </c>
      <c r="R303" s="74">
        <v>6.5</v>
      </c>
      <c r="S303" s="73">
        <v>0</v>
      </c>
      <c r="T303" s="73">
        <v>0</v>
      </c>
      <c r="U303" t="s" s="72">
        <v>122</v>
      </c>
      <c r="V303" s="73">
        <v>37</v>
      </c>
      <c r="W303" s="74">
        <v>6.09</v>
      </c>
      <c r="X303" s="74">
        <v>6.2</v>
      </c>
      <c r="Y303" s="73">
        <v>2</v>
      </c>
      <c r="Z303" s="73">
        <v>1</v>
      </c>
      <c r="AA303" t="s" s="72">
        <v>123</v>
      </c>
      <c r="AB303" t="s" s="72">
        <v>124</v>
      </c>
      <c r="AC303" t="s" s="72">
        <v>124</v>
      </c>
      <c r="AD303" t="s" s="75">
        <v>125</v>
      </c>
      <c r="AE303" s="67"/>
    </row>
    <row r="304" ht="15" customHeight="1">
      <c r="A304" t="s" s="83">
        <v>28</v>
      </c>
      <c r="B304" s="76">
        <v>73.09999999999999</v>
      </c>
      <c r="C304" t="b" s="77">
        <v>0</v>
      </c>
      <c r="D304" s="78"/>
      <c r="E304" t="s" s="79">
        <v>716</v>
      </c>
      <c r="F304" t="s" s="79">
        <v>172</v>
      </c>
      <c r="G304" s="80">
        <v>38</v>
      </c>
      <c r="H304" t="s" s="79">
        <v>717</v>
      </c>
      <c r="I304" t="s" s="79">
        <v>718</v>
      </c>
      <c r="J304" s="80">
        <v>27</v>
      </c>
      <c r="K304" t="s" s="79">
        <v>313</v>
      </c>
      <c r="L304" t="s" s="79">
        <v>154</v>
      </c>
      <c r="M304" s="78"/>
      <c r="N304" s="78"/>
      <c r="O304" s="78"/>
      <c r="P304" s="80">
        <v>2</v>
      </c>
      <c r="Q304" s="81">
        <v>6.25</v>
      </c>
      <c r="R304" s="81">
        <v>6.25</v>
      </c>
      <c r="S304" s="80">
        <v>0</v>
      </c>
      <c r="T304" s="80">
        <v>0</v>
      </c>
      <c r="U304" t="s" s="79">
        <v>122</v>
      </c>
      <c r="V304" s="80">
        <v>31</v>
      </c>
      <c r="W304" s="81">
        <v>6.27</v>
      </c>
      <c r="X304" s="81">
        <v>6.61</v>
      </c>
      <c r="Y304" s="80">
        <v>4</v>
      </c>
      <c r="Z304" s="80">
        <v>3</v>
      </c>
      <c r="AA304" t="s" s="79">
        <v>123</v>
      </c>
      <c r="AB304" t="s" s="79">
        <v>124</v>
      </c>
      <c r="AC304" t="s" s="79">
        <v>124</v>
      </c>
      <c r="AD304" t="s" s="82">
        <v>125</v>
      </c>
      <c r="AE304" s="67"/>
    </row>
    <row r="305" ht="15" customHeight="1">
      <c r="A305" t="s" s="83">
        <v>28</v>
      </c>
      <c r="B305" s="69">
        <v>72.90000000000001</v>
      </c>
      <c r="C305" t="b" s="70">
        <v>0</v>
      </c>
      <c r="D305" t="s" s="84">
        <v>161</v>
      </c>
      <c r="E305" t="s" s="72">
        <v>719</v>
      </c>
      <c r="F305" t="s" s="72">
        <v>130</v>
      </c>
      <c r="G305" s="73">
        <v>39</v>
      </c>
      <c r="H305" t="s" s="72">
        <v>175</v>
      </c>
      <c r="I305" t="s" s="72">
        <v>720</v>
      </c>
      <c r="J305" s="73">
        <v>27</v>
      </c>
      <c r="K305" t="s" s="72">
        <v>399</v>
      </c>
      <c r="L305" t="s" s="72">
        <v>121</v>
      </c>
      <c r="M305" s="71"/>
      <c r="N305" t="s" s="72">
        <v>311</v>
      </c>
      <c r="O305" s="71"/>
      <c r="P305" s="73">
        <v>2</v>
      </c>
      <c r="Q305" s="74">
        <v>6.5</v>
      </c>
      <c r="R305" s="74">
        <v>7</v>
      </c>
      <c r="S305" s="73">
        <v>0</v>
      </c>
      <c r="T305" s="73">
        <v>1</v>
      </c>
      <c r="U305" t="s" s="72">
        <v>122</v>
      </c>
      <c r="V305" s="73">
        <v>35</v>
      </c>
      <c r="W305" s="74">
        <v>6.23</v>
      </c>
      <c r="X305" s="74">
        <v>6.5</v>
      </c>
      <c r="Y305" s="73">
        <v>3</v>
      </c>
      <c r="Z305" s="73">
        <v>3</v>
      </c>
      <c r="AA305" t="s" s="72">
        <v>123</v>
      </c>
      <c r="AB305" t="s" s="72">
        <v>124</v>
      </c>
      <c r="AC305" t="s" s="72">
        <v>124</v>
      </c>
      <c r="AD305" t="s" s="75">
        <v>125</v>
      </c>
      <c r="AE305" s="67"/>
    </row>
    <row r="306" ht="15" customHeight="1">
      <c r="A306" t="s" s="83">
        <v>28</v>
      </c>
      <c r="B306" s="76">
        <v>72.7</v>
      </c>
      <c r="C306" t="b" s="77">
        <v>0</v>
      </c>
      <c r="D306" s="78"/>
      <c r="E306" t="s" s="79">
        <v>721</v>
      </c>
      <c r="F306" t="s" s="79">
        <v>134</v>
      </c>
      <c r="G306" s="80">
        <v>38</v>
      </c>
      <c r="H306" t="s" s="79">
        <v>164</v>
      </c>
      <c r="I306" t="s" s="79">
        <v>401</v>
      </c>
      <c r="J306" s="80">
        <v>25</v>
      </c>
      <c r="K306" t="s" s="79">
        <v>304</v>
      </c>
      <c r="L306" t="s" s="79">
        <v>121</v>
      </c>
      <c r="M306" s="78"/>
      <c r="N306" s="78"/>
      <c r="O306" s="78"/>
      <c r="P306" s="80">
        <v>1</v>
      </c>
      <c r="Q306" s="81">
        <v>6</v>
      </c>
      <c r="R306" s="81">
        <v>6</v>
      </c>
      <c r="S306" s="80">
        <v>0</v>
      </c>
      <c r="T306" s="80">
        <v>0</v>
      </c>
      <c r="U306" t="s" s="79">
        <v>122</v>
      </c>
      <c r="V306" s="78"/>
      <c r="W306" s="78"/>
      <c r="X306" s="78"/>
      <c r="Y306" s="78"/>
      <c r="Z306" s="78"/>
      <c r="AA306" s="78"/>
      <c r="AB306" t="s" s="79">
        <v>124</v>
      </c>
      <c r="AC306" t="s" s="79">
        <v>124</v>
      </c>
      <c r="AD306" t="s" s="82">
        <v>125</v>
      </c>
      <c r="AE306" s="67"/>
    </row>
    <row r="307" ht="15" customHeight="1">
      <c r="A307" t="s" s="83">
        <v>28</v>
      </c>
      <c r="B307" s="69">
        <v>71.90000000000001</v>
      </c>
      <c r="C307" t="b" s="70">
        <v>0</v>
      </c>
      <c r="D307" s="71"/>
      <c r="E307" t="s" s="72">
        <v>722</v>
      </c>
      <c r="F307" t="s" s="72">
        <v>149</v>
      </c>
      <c r="G307" s="73">
        <v>30</v>
      </c>
      <c r="H307" t="s" s="72">
        <v>118</v>
      </c>
      <c r="I307" t="s" s="72">
        <v>135</v>
      </c>
      <c r="J307" s="73">
        <v>26</v>
      </c>
      <c r="K307" t="s" s="72">
        <v>128</v>
      </c>
      <c r="L307" t="s" s="72">
        <v>121</v>
      </c>
      <c r="M307" s="71"/>
      <c r="N307" s="71"/>
      <c r="O307" s="71"/>
      <c r="P307" s="73">
        <v>2</v>
      </c>
      <c r="Q307" s="74">
        <v>7.25</v>
      </c>
      <c r="R307" s="74">
        <v>10.25</v>
      </c>
      <c r="S307" s="73">
        <v>2</v>
      </c>
      <c r="T307" s="73">
        <v>0</v>
      </c>
      <c r="U307" t="s" s="72">
        <v>122</v>
      </c>
      <c r="V307" s="73">
        <v>15</v>
      </c>
      <c r="W307" s="74">
        <v>5.9</v>
      </c>
      <c r="X307" s="74">
        <v>5.9</v>
      </c>
      <c r="Y307" s="73">
        <v>0</v>
      </c>
      <c r="Z307" s="73">
        <v>0</v>
      </c>
      <c r="AA307" t="s" s="72">
        <v>123</v>
      </c>
      <c r="AB307" t="s" s="72">
        <v>124</v>
      </c>
      <c r="AC307" t="s" s="72">
        <v>124</v>
      </c>
      <c r="AD307" t="s" s="75">
        <v>125</v>
      </c>
      <c r="AE307" s="67"/>
    </row>
    <row r="308" ht="15" customHeight="1">
      <c r="A308" t="s" s="83">
        <v>28</v>
      </c>
      <c r="B308" s="76">
        <v>71.8</v>
      </c>
      <c r="C308" t="b" s="77">
        <v>0</v>
      </c>
      <c r="D308" s="78"/>
      <c r="E308" t="s" s="79">
        <v>723</v>
      </c>
      <c r="F308" t="s" s="79">
        <v>153</v>
      </c>
      <c r="G308" s="80">
        <v>31</v>
      </c>
      <c r="H308" t="s" s="79">
        <v>118</v>
      </c>
      <c r="I308" t="s" s="79">
        <v>118</v>
      </c>
      <c r="J308" s="80">
        <v>30</v>
      </c>
      <c r="K308" t="s" s="79">
        <v>724</v>
      </c>
      <c r="L308" t="s" s="79">
        <v>121</v>
      </c>
      <c r="M308" s="78"/>
      <c r="N308" s="78"/>
      <c r="O308" s="78"/>
      <c r="P308" s="80">
        <v>2</v>
      </c>
      <c r="Q308" s="81">
        <v>5.25</v>
      </c>
      <c r="R308" s="81">
        <v>5.25</v>
      </c>
      <c r="S308" s="80">
        <v>0</v>
      </c>
      <c r="T308" s="80">
        <v>0</v>
      </c>
      <c r="U308" t="s" s="79">
        <v>122</v>
      </c>
      <c r="V308" s="80">
        <v>18</v>
      </c>
      <c r="W308" s="81">
        <v>6.14</v>
      </c>
      <c r="X308" s="81">
        <v>6.83</v>
      </c>
      <c r="Y308" s="80">
        <v>4</v>
      </c>
      <c r="Z308" s="80">
        <v>1</v>
      </c>
      <c r="AA308" t="s" s="79">
        <v>123</v>
      </c>
      <c r="AB308" t="s" s="79">
        <v>124</v>
      </c>
      <c r="AC308" t="s" s="79">
        <v>124</v>
      </c>
      <c r="AD308" t="s" s="82">
        <v>125</v>
      </c>
      <c r="AE308" s="67"/>
    </row>
    <row r="309" ht="15" customHeight="1">
      <c r="A309" t="s" s="83">
        <v>28</v>
      </c>
      <c r="B309" s="69">
        <v>71.7</v>
      </c>
      <c r="C309" t="b" s="70">
        <v>0</v>
      </c>
      <c r="D309" s="71"/>
      <c r="E309" t="s" s="72">
        <v>725</v>
      </c>
      <c r="F309" t="s" s="72">
        <v>149</v>
      </c>
      <c r="G309" s="73">
        <v>38</v>
      </c>
      <c r="H309" t="s" s="72">
        <v>175</v>
      </c>
      <c r="I309" t="s" s="72">
        <v>726</v>
      </c>
      <c r="J309" s="73">
        <v>29</v>
      </c>
      <c r="K309" t="s" s="72">
        <v>727</v>
      </c>
      <c r="L309" t="s" s="72">
        <v>121</v>
      </c>
      <c r="M309" s="71"/>
      <c r="N309" s="71"/>
      <c r="O309" s="71"/>
      <c r="P309" s="73">
        <v>1</v>
      </c>
      <c r="Q309" s="74">
        <v>4.5</v>
      </c>
      <c r="R309" s="74">
        <v>4</v>
      </c>
      <c r="S309" s="73">
        <v>0</v>
      </c>
      <c r="T309" s="73">
        <v>0</v>
      </c>
      <c r="U309" t="s" s="72">
        <v>122</v>
      </c>
      <c r="V309" s="73">
        <v>32</v>
      </c>
      <c r="W309" s="74">
        <v>5.77</v>
      </c>
      <c r="X309" s="74">
        <v>6.23</v>
      </c>
      <c r="Y309" s="73">
        <v>5</v>
      </c>
      <c r="Z309" s="73">
        <v>3</v>
      </c>
      <c r="AA309" t="s" s="72">
        <v>681</v>
      </c>
      <c r="AB309" t="s" s="72">
        <v>124</v>
      </c>
      <c r="AC309" t="s" s="72">
        <v>124</v>
      </c>
      <c r="AD309" t="s" s="75">
        <v>125</v>
      </c>
      <c r="AE309" s="67"/>
    </row>
    <row r="310" ht="15" customHeight="1">
      <c r="A310" t="s" s="83">
        <v>28</v>
      </c>
      <c r="B310" s="76">
        <v>71.40000000000001</v>
      </c>
      <c r="C310" t="b" s="77">
        <v>0</v>
      </c>
      <c r="D310" s="78"/>
      <c r="E310" t="s" s="79">
        <v>728</v>
      </c>
      <c r="F310" t="s" s="79">
        <v>163</v>
      </c>
      <c r="G310" s="80">
        <v>30</v>
      </c>
      <c r="H310" t="s" s="79">
        <v>118</v>
      </c>
      <c r="I310" t="s" s="79">
        <v>306</v>
      </c>
      <c r="J310" s="80">
        <v>29</v>
      </c>
      <c r="K310" t="s" s="79">
        <v>128</v>
      </c>
      <c r="L310" t="s" s="79">
        <v>154</v>
      </c>
      <c r="M310" s="78"/>
      <c r="N310" s="78"/>
      <c r="O310" s="78"/>
      <c r="P310" s="80">
        <v>2</v>
      </c>
      <c r="Q310" s="81">
        <v>5.25</v>
      </c>
      <c r="R310" s="81">
        <v>5.25</v>
      </c>
      <c r="S310" s="80">
        <v>0</v>
      </c>
      <c r="T310" s="80">
        <v>0</v>
      </c>
      <c r="U310" t="s" s="79">
        <v>122</v>
      </c>
      <c r="V310" s="80">
        <v>34</v>
      </c>
      <c r="W310" s="81">
        <v>5.99</v>
      </c>
      <c r="X310" s="81">
        <v>6.56</v>
      </c>
      <c r="Y310" s="80">
        <v>7</v>
      </c>
      <c r="Z310" s="80">
        <v>2</v>
      </c>
      <c r="AA310" t="s" s="79">
        <v>291</v>
      </c>
      <c r="AB310" t="s" s="79">
        <v>124</v>
      </c>
      <c r="AC310" t="s" s="79">
        <v>124</v>
      </c>
      <c r="AD310" t="s" s="82">
        <v>125</v>
      </c>
      <c r="AE310" s="67"/>
    </row>
    <row r="311" ht="15" customHeight="1">
      <c r="A311" t="s" s="83">
        <v>28</v>
      </c>
      <c r="B311" s="69">
        <v>70.09999999999999</v>
      </c>
      <c r="C311" t="b" s="70">
        <v>0</v>
      </c>
      <c r="D311" t="s" s="84">
        <v>178</v>
      </c>
      <c r="E311" t="s" s="72">
        <v>729</v>
      </c>
      <c r="F311" t="s" s="72">
        <v>130</v>
      </c>
      <c r="G311" s="73">
        <v>34</v>
      </c>
      <c r="H311" t="s" s="72">
        <v>730</v>
      </c>
      <c r="I311" t="s" s="72">
        <v>731</v>
      </c>
      <c r="J311" s="73">
        <v>22</v>
      </c>
      <c r="K311" t="s" s="72">
        <v>732</v>
      </c>
      <c r="L311" t="s" s="72">
        <v>154</v>
      </c>
      <c r="M311" s="71"/>
      <c r="N311" s="71"/>
      <c r="O311" s="71"/>
      <c r="P311" s="73">
        <v>0</v>
      </c>
      <c r="Q311" s="74">
        <v>0</v>
      </c>
      <c r="R311" s="74">
        <v>0</v>
      </c>
      <c r="S311" s="73">
        <v>0</v>
      </c>
      <c r="T311" s="73">
        <v>0</v>
      </c>
      <c r="U311" t="s" s="72">
        <v>122</v>
      </c>
      <c r="V311" s="71"/>
      <c r="W311" s="71"/>
      <c r="X311" s="71"/>
      <c r="Y311" s="71"/>
      <c r="Z311" s="71"/>
      <c r="AA311" s="71"/>
      <c r="AB311" t="s" s="72">
        <v>124</v>
      </c>
      <c r="AC311" t="s" s="72">
        <v>124</v>
      </c>
      <c r="AD311" t="s" s="75">
        <v>125</v>
      </c>
      <c r="AE311" s="67"/>
    </row>
    <row r="312" ht="15" customHeight="1">
      <c r="A312" t="s" s="83">
        <v>28</v>
      </c>
      <c r="B312" s="76">
        <v>69.3</v>
      </c>
      <c r="C312" t="b" s="77">
        <v>0</v>
      </c>
      <c r="D312" s="78"/>
      <c r="E312" t="s" s="79">
        <v>733</v>
      </c>
      <c r="F312" t="s" s="79">
        <v>193</v>
      </c>
      <c r="G312" s="80">
        <v>28</v>
      </c>
      <c r="H312" t="s" s="79">
        <v>164</v>
      </c>
      <c r="I312" t="s" s="79">
        <v>734</v>
      </c>
      <c r="J312" s="80">
        <v>25</v>
      </c>
      <c r="K312" t="s" s="79">
        <v>136</v>
      </c>
      <c r="L312" t="s" s="79">
        <v>154</v>
      </c>
      <c r="M312" s="78"/>
      <c r="N312" t="s" s="79">
        <v>655</v>
      </c>
      <c r="O312" t="s" s="88">
        <v>268</v>
      </c>
      <c r="P312" s="80">
        <v>2</v>
      </c>
      <c r="Q312" s="81">
        <v>5.75</v>
      </c>
      <c r="R312" s="81">
        <v>5.75</v>
      </c>
      <c r="S312" s="80">
        <v>0</v>
      </c>
      <c r="T312" s="80">
        <v>0</v>
      </c>
      <c r="U312" t="s" s="79">
        <v>122</v>
      </c>
      <c r="V312" s="80">
        <v>32</v>
      </c>
      <c r="W312" s="81">
        <v>6.08</v>
      </c>
      <c r="X312" s="81">
        <v>6.39</v>
      </c>
      <c r="Y312" s="80">
        <v>3</v>
      </c>
      <c r="Z312" s="80">
        <v>1</v>
      </c>
      <c r="AA312" t="s" s="79">
        <v>123</v>
      </c>
      <c r="AB312" t="s" s="79">
        <v>124</v>
      </c>
      <c r="AC312" t="s" s="79">
        <v>124</v>
      </c>
      <c r="AD312" t="s" s="82">
        <v>125</v>
      </c>
      <c r="AE312" s="67"/>
    </row>
    <row r="313" ht="15" customHeight="1">
      <c r="A313" t="s" s="83">
        <v>28</v>
      </c>
      <c r="B313" s="69">
        <v>69.2</v>
      </c>
      <c r="C313" t="b" s="70">
        <v>0</v>
      </c>
      <c r="D313" t="s" s="84">
        <v>161</v>
      </c>
      <c r="E313" t="s" s="72">
        <v>735</v>
      </c>
      <c r="F313" t="s" s="72">
        <v>130</v>
      </c>
      <c r="G313" s="73">
        <v>30</v>
      </c>
      <c r="H313" t="s" s="72">
        <v>736</v>
      </c>
      <c r="I313" t="s" s="72">
        <v>737</v>
      </c>
      <c r="J313" s="73">
        <v>27</v>
      </c>
      <c r="K313" t="s" s="72">
        <v>738</v>
      </c>
      <c r="L313" t="s" s="72">
        <v>154</v>
      </c>
      <c r="M313" s="71"/>
      <c r="N313" s="71"/>
      <c r="O313" s="71"/>
      <c r="P313" s="73">
        <v>2</v>
      </c>
      <c r="Q313" s="74">
        <v>6.75</v>
      </c>
      <c r="R313" s="74">
        <v>7.25</v>
      </c>
      <c r="S313" s="73">
        <v>0</v>
      </c>
      <c r="T313" s="73">
        <v>1</v>
      </c>
      <c r="U313" t="s" s="72">
        <v>122</v>
      </c>
      <c r="V313" s="73">
        <v>1</v>
      </c>
      <c r="W313" s="74">
        <v>5.5</v>
      </c>
      <c r="X313" s="74">
        <v>5.5</v>
      </c>
      <c r="Y313" s="73">
        <v>0</v>
      </c>
      <c r="Z313" s="73">
        <v>0</v>
      </c>
      <c r="AA313" t="s" s="72">
        <v>123</v>
      </c>
      <c r="AB313" t="s" s="72">
        <v>124</v>
      </c>
      <c r="AC313" t="s" s="72">
        <v>124</v>
      </c>
      <c r="AD313" t="s" s="75">
        <v>125</v>
      </c>
      <c r="AE313" s="67"/>
    </row>
    <row r="314" ht="15" customHeight="1">
      <c r="A314" t="s" s="83">
        <v>28</v>
      </c>
      <c r="B314" s="76">
        <v>68.3</v>
      </c>
      <c r="C314" t="b" s="77">
        <v>0</v>
      </c>
      <c r="D314" s="78"/>
      <c r="E314" t="s" s="79">
        <v>739</v>
      </c>
      <c r="F314" t="s" s="79">
        <v>153</v>
      </c>
      <c r="G314" s="80">
        <v>35</v>
      </c>
      <c r="H314" t="s" s="79">
        <v>175</v>
      </c>
      <c r="I314" t="s" s="79">
        <v>740</v>
      </c>
      <c r="J314" s="80">
        <v>33</v>
      </c>
      <c r="K314" t="s" s="79">
        <v>128</v>
      </c>
      <c r="L314" t="s" s="79">
        <v>154</v>
      </c>
      <c r="M314" s="78"/>
      <c r="N314" t="s" s="79">
        <v>272</v>
      </c>
      <c r="O314" s="78"/>
      <c r="P314" s="80">
        <v>2</v>
      </c>
      <c r="Q314" s="81">
        <v>5.5</v>
      </c>
      <c r="R314" s="81">
        <v>5.25</v>
      </c>
      <c r="S314" s="80">
        <v>0</v>
      </c>
      <c r="T314" s="80">
        <v>0</v>
      </c>
      <c r="U314" t="s" s="79">
        <v>122</v>
      </c>
      <c r="V314" s="80">
        <v>33</v>
      </c>
      <c r="W314" s="81">
        <v>6.06</v>
      </c>
      <c r="X314" s="81">
        <v>6.33</v>
      </c>
      <c r="Y314" s="80">
        <v>2</v>
      </c>
      <c r="Z314" s="80">
        <v>5</v>
      </c>
      <c r="AA314" t="s" s="79">
        <v>123</v>
      </c>
      <c r="AB314" t="s" s="79">
        <v>124</v>
      </c>
      <c r="AC314" t="s" s="79">
        <v>124</v>
      </c>
      <c r="AD314" t="s" s="82">
        <v>125</v>
      </c>
      <c r="AE314" s="67"/>
    </row>
    <row r="315" ht="15" customHeight="1">
      <c r="A315" t="s" s="83">
        <v>28</v>
      </c>
      <c r="B315" s="69">
        <v>68</v>
      </c>
      <c r="C315" t="b" s="70">
        <v>0</v>
      </c>
      <c r="D315" t="s" s="84">
        <v>178</v>
      </c>
      <c r="E315" t="s" s="72">
        <v>741</v>
      </c>
      <c r="F315" t="s" s="72">
        <v>117</v>
      </c>
      <c r="G315" s="73">
        <v>30</v>
      </c>
      <c r="H315" t="s" s="72">
        <v>118</v>
      </c>
      <c r="I315" t="s" s="72">
        <v>181</v>
      </c>
      <c r="J315" s="73">
        <v>19</v>
      </c>
      <c r="K315" t="s" s="72">
        <v>325</v>
      </c>
      <c r="L315" t="s" s="72">
        <v>121</v>
      </c>
      <c r="M315" s="71"/>
      <c r="N315" s="71"/>
      <c r="O315" s="71"/>
      <c r="P315" s="73">
        <v>2</v>
      </c>
      <c r="Q315" s="74">
        <v>6.5</v>
      </c>
      <c r="R315" s="74">
        <v>8</v>
      </c>
      <c r="S315" s="73">
        <v>1</v>
      </c>
      <c r="T315" s="73">
        <v>0</v>
      </c>
      <c r="U315" t="s" s="72">
        <v>122</v>
      </c>
      <c r="V315" s="71"/>
      <c r="W315" s="71"/>
      <c r="X315" s="71"/>
      <c r="Y315" s="71"/>
      <c r="Z315" s="71"/>
      <c r="AA315" s="71"/>
      <c r="AB315" t="s" s="72">
        <v>124</v>
      </c>
      <c r="AC315" t="s" s="72">
        <v>124</v>
      </c>
      <c r="AD315" t="s" s="75">
        <v>125</v>
      </c>
      <c r="AE315" s="67"/>
    </row>
    <row r="316" ht="15" customHeight="1">
      <c r="A316" t="s" s="83">
        <v>28</v>
      </c>
      <c r="B316" s="76">
        <v>66.09999999999999</v>
      </c>
      <c r="C316" t="b" s="77">
        <v>0</v>
      </c>
      <c r="D316" s="78"/>
      <c r="E316" t="s" s="79">
        <v>742</v>
      </c>
      <c r="F316" t="s" s="79">
        <v>153</v>
      </c>
      <c r="G316" s="80">
        <v>27</v>
      </c>
      <c r="H316" t="s" s="79">
        <v>118</v>
      </c>
      <c r="I316" t="s" s="79">
        <v>131</v>
      </c>
      <c r="J316" s="80">
        <v>31</v>
      </c>
      <c r="K316" t="s" s="79">
        <v>406</v>
      </c>
      <c r="L316" t="s" s="79">
        <v>328</v>
      </c>
      <c r="M316" s="78"/>
      <c r="N316" s="78"/>
      <c r="O316" s="78"/>
      <c r="P316" s="80">
        <v>2</v>
      </c>
      <c r="Q316" s="81">
        <v>6.25</v>
      </c>
      <c r="R316" s="81">
        <v>6.25</v>
      </c>
      <c r="S316" s="80">
        <v>0</v>
      </c>
      <c r="T316" s="80">
        <v>0</v>
      </c>
      <c r="U316" t="s" s="79">
        <v>122</v>
      </c>
      <c r="V316" s="80">
        <v>31</v>
      </c>
      <c r="W316" s="81">
        <v>6.08</v>
      </c>
      <c r="X316" s="81">
        <v>6.13</v>
      </c>
      <c r="Y316" s="80">
        <v>1</v>
      </c>
      <c r="Z316" s="80">
        <v>0</v>
      </c>
      <c r="AA316" t="s" s="79">
        <v>123</v>
      </c>
      <c r="AB316" t="s" s="79">
        <v>124</v>
      </c>
      <c r="AC316" t="s" s="79">
        <v>124</v>
      </c>
      <c r="AD316" t="s" s="82">
        <v>125</v>
      </c>
      <c r="AE316" s="67"/>
    </row>
    <row r="317" ht="15" customHeight="1">
      <c r="A317" t="s" s="83">
        <v>28</v>
      </c>
      <c r="B317" s="69">
        <v>65.59999999999999</v>
      </c>
      <c r="C317" t="b" s="70">
        <v>0</v>
      </c>
      <c r="D317" s="71"/>
      <c r="E317" t="s" s="72">
        <v>743</v>
      </c>
      <c r="F317" t="s" s="72">
        <v>159</v>
      </c>
      <c r="G317" s="73">
        <v>23</v>
      </c>
      <c r="H317" t="s" s="72">
        <v>118</v>
      </c>
      <c r="I317" t="s" s="72">
        <v>119</v>
      </c>
      <c r="J317" s="73">
        <v>31</v>
      </c>
      <c r="K317" t="s" s="72">
        <v>197</v>
      </c>
      <c r="L317" t="s" s="72">
        <v>121</v>
      </c>
      <c r="M317" s="71"/>
      <c r="N317" s="71"/>
      <c r="O317" s="71"/>
      <c r="P317" s="73">
        <v>2</v>
      </c>
      <c r="Q317" s="74">
        <v>6</v>
      </c>
      <c r="R317" s="74">
        <v>6</v>
      </c>
      <c r="S317" s="73">
        <v>0</v>
      </c>
      <c r="T317" s="73">
        <v>0</v>
      </c>
      <c r="U317" t="s" s="72">
        <v>122</v>
      </c>
      <c r="V317" s="73">
        <v>36</v>
      </c>
      <c r="W317" s="74">
        <v>5.9</v>
      </c>
      <c r="X317" s="74">
        <v>5.9</v>
      </c>
      <c r="Y317" s="73">
        <v>1</v>
      </c>
      <c r="Z317" s="73">
        <v>0</v>
      </c>
      <c r="AA317" t="s" s="72">
        <v>123</v>
      </c>
      <c r="AB317" t="s" s="72">
        <v>124</v>
      </c>
      <c r="AC317" t="s" s="72">
        <v>124</v>
      </c>
      <c r="AD317" t="s" s="75">
        <v>125</v>
      </c>
      <c r="AE317" s="67"/>
    </row>
    <row r="318" ht="15" customHeight="1">
      <c r="A318" t="s" s="83">
        <v>28</v>
      </c>
      <c r="B318" s="76">
        <v>65.5</v>
      </c>
      <c r="C318" t="b" s="77">
        <v>0</v>
      </c>
      <c r="D318" t="s" s="85">
        <v>191</v>
      </c>
      <c r="E318" t="s" s="79">
        <v>744</v>
      </c>
      <c r="F318" t="s" s="79">
        <v>180</v>
      </c>
      <c r="G318" s="80">
        <v>24</v>
      </c>
      <c r="H318" t="s" s="79">
        <v>118</v>
      </c>
      <c r="I318" t="s" s="79">
        <v>745</v>
      </c>
      <c r="J318" s="80">
        <v>29</v>
      </c>
      <c r="K318" t="s" s="79">
        <v>128</v>
      </c>
      <c r="L318" t="s" s="79">
        <v>121</v>
      </c>
      <c r="M318" s="78"/>
      <c r="N318" t="s" s="79">
        <v>655</v>
      </c>
      <c r="O318" s="78"/>
      <c r="P318" s="80">
        <v>2</v>
      </c>
      <c r="Q318" s="81">
        <v>6.5</v>
      </c>
      <c r="R318" s="81">
        <v>7</v>
      </c>
      <c r="S318" s="80">
        <v>0</v>
      </c>
      <c r="T318" s="80">
        <v>1</v>
      </c>
      <c r="U318" t="s" s="79">
        <v>122</v>
      </c>
      <c r="V318" s="78"/>
      <c r="W318" s="78"/>
      <c r="X318" s="78"/>
      <c r="Y318" s="78"/>
      <c r="Z318" s="78"/>
      <c r="AA318" s="78"/>
      <c r="AB318" t="s" s="79">
        <v>124</v>
      </c>
      <c r="AC318" t="s" s="79">
        <v>124</v>
      </c>
      <c r="AD318" t="s" s="82">
        <v>125</v>
      </c>
      <c r="AE318" s="67"/>
    </row>
    <row r="319" ht="15" customHeight="1">
      <c r="A319" t="s" s="83">
        <v>28</v>
      </c>
      <c r="B319" s="69">
        <v>65.5</v>
      </c>
      <c r="C319" t="b" s="70">
        <v>0</v>
      </c>
      <c r="D319" s="71"/>
      <c r="E319" t="s" s="72">
        <v>746</v>
      </c>
      <c r="F319" t="s" s="72">
        <v>141</v>
      </c>
      <c r="G319" s="73">
        <v>34</v>
      </c>
      <c r="H319" t="s" s="72">
        <v>175</v>
      </c>
      <c r="I319" t="s" s="72">
        <v>175</v>
      </c>
      <c r="J319" s="73">
        <v>26</v>
      </c>
      <c r="K319" t="s" s="72">
        <v>142</v>
      </c>
      <c r="L319" t="s" s="72">
        <v>121</v>
      </c>
      <c r="M319" s="71"/>
      <c r="N319" s="71"/>
      <c r="O319" s="71"/>
      <c r="P319" s="73">
        <v>2</v>
      </c>
      <c r="Q319" s="74">
        <v>6</v>
      </c>
      <c r="R319" s="74">
        <v>6</v>
      </c>
      <c r="S319" s="73">
        <v>0</v>
      </c>
      <c r="T319" s="73">
        <v>0</v>
      </c>
      <c r="U319" t="s" s="72">
        <v>122</v>
      </c>
      <c r="V319" s="73">
        <v>29</v>
      </c>
      <c r="W319" s="74">
        <v>6.12</v>
      </c>
      <c r="X319" s="74">
        <v>6.41</v>
      </c>
      <c r="Y319" s="73">
        <v>2</v>
      </c>
      <c r="Z319" s="73">
        <v>4</v>
      </c>
      <c r="AA319" t="s" s="72">
        <v>123</v>
      </c>
      <c r="AB319" t="s" s="72">
        <v>124</v>
      </c>
      <c r="AC319" t="s" s="72">
        <v>124</v>
      </c>
      <c r="AD319" t="s" s="75">
        <v>125</v>
      </c>
      <c r="AE319" s="67"/>
    </row>
    <row r="320" ht="15" customHeight="1">
      <c r="A320" t="s" s="83">
        <v>28</v>
      </c>
      <c r="B320" s="76">
        <v>65.5</v>
      </c>
      <c r="C320" t="b" s="77">
        <v>0</v>
      </c>
      <c r="D320" s="78"/>
      <c r="E320" t="s" s="79">
        <v>747</v>
      </c>
      <c r="F320" t="s" s="79">
        <v>168</v>
      </c>
      <c r="G320" s="80">
        <v>24</v>
      </c>
      <c r="H320" t="s" s="79">
        <v>118</v>
      </c>
      <c r="I320" t="s" s="79">
        <v>748</v>
      </c>
      <c r="J320" s="80">
        <v>25</v>
      </c>
      <c r="K320" t="s" s="79">
        <v>593</v>
      </c>
      <c r="L320" t="s" s="79">
        <v>121</v>
      </c>
      <c r="M320" s="78"/>
      <c r="N320" t="s" s="79">
        <v>655</v>
      </c>
      <c r="O320" s="78"/>
      <c r="P320" s="80">
        <v>2</v>
      </c>
      <c r="Q320" s="81">
        <v>5.75</v>
      </c>
      <c r="R320" s="81">
        <v>5.75</v>
      </c>
      <c r="S320" s="80">
        <v>0</v>
      </c>
      <c r="T320" s="80">
        <v>0</v>
      </c>
      <c r="U320" t="s" s="79">
        <v>122</v>
      </c>
      <c r="V320" s="80">
        <v>37</v>
      </c>
      <c r="W320" s="81">
        <v>5.73</v>
      </c>
      <c r="X320" s="81">
        <v>5.78</v>
      </c>
      <c r="Y320" s="80">
        <v>1</v>
      </c>
      <c r="Z320" s="80">
        <v>1</v>
      </c>
      <c r="AA320" t="s" s="79">
        <v>123</v>
      </c>
      <c r="AB320" t="s" s="79">
        <v>124</v>
      </c>
      <c r="AC320" t="s" s="79">
        <v>124</v>
      </c>
      <c r="AD320" t="s" s="82">
        <v>125</v>
      </c>
      <c r="AE320" s="67"/>
    </row>
    <row r="321" ht="15" customHeight="1">
      <c r="A321" t="s" s="83">
        <v>28</v>
      </c>
      <c r="B321" s="69">
        <v>65.2</v>
      </c>
      <c r="C321" t="b" s="70">
        <v>0</v>
      </c>
      <c r="D321" s="71"/>
      <c r="E321" t="s" s="72">
        <v>544</v>
      </c>
      <c r="F321" t="s" s="72">
        <v>117</v>
      </c>
      <c r="G321" s="73">
        <v>44</v>
      </c>
      <c r="H321" t="s" s="72">
        <v>175</v>
      </c>
      <c r="I321" t="s" s="72">
        <v>749</v>
      </c>
      <c r="J321" s="73">
        <v>30</v>
      </c>
      <c r="K321" t="s" s="72">
        <v>128</v>
      </c>
      <c r="L321" t="s" s="72">
        <v>121</v>
      </c>
      <c r="M321" s="71"/>
      <c r="N321" t="s" s="72">
        <v>272</v>
      </c>
      <c r="O321" t="s" s="88">
        <v>268</v>
      </c>
      <c r="P321" s="73">
        <v>0</v>
      </c>
      <c r="Q321" s="74">
        <v>0</v>
      </c>
      <c r="R321" s="74">
        <v>0</v>
      </c>
      <c r="S321" s="73">
        <v>0</v>
      </c>
      <c r="T321" s="73">
        <v>0</v>
      </c>
      <c r="U321" t="s" s="72">
        <v>122</v>
      </c>
      <c r="V321" s="73">
        <v>24</v>
      </c>
      <c r="W321" s="74">
        <v>6.04</v>
      </c>
      <c r="X321" s="74">
        <v>6.58</v>
      </c>
      <c r="Y321" s="73">
        <v>4</v>
      </c>
      <c r="Z321" s="73">
        <v>2</v>
      </c>
      <c r="AA321" t="s" s="72">
        <v>750</v>
      </c>
      <c r="AB321" t="s" s="72">
        <v>124</v>
      </c>
      <c r="AC321" t="s" s="72">
        <v>124</v>
      </c>
      <c r="AD321" t="s" s="75">
        <v>125</v>
      </c>
      <c r="AE321" s="67"/>
    </row>
    <row r="322" ht="15" customHeight="1">
      <c r="A322" t="s" s="83">
        <v>28</v>
      </c>
      <c r="B322" s="76">
        <v>64.8</v>
      </c>
      <c r="C322" t="b" s="77">
        <v>0</v>
      </c>
      <c r="D322" s="78"/>
      <c r="E322" t="s" s="79">
        <v>751</v>
      </c>
      <c r="F322" t="s" s="79">
        <v>127</v>
      </c>
      <c r="G322" s="80">
        <v>31</v>
      </c>
      <c r="H322" t="s" s="79">
        <v>164</v>
      </c>
      <c r="I322" t="s" s="79">
        <v>401</v>
      </c>
      <c r="J322" s="80">
        <v>29</v>
      </c>
      <c r="K322" t="s" s="79">
        <v>466</v>
      </c>
      <c r="L322" t="s" s="79">
        <v>121</v>
      </c>
      <c r="M322" s="78"/>
      <c r="N322" s="78"/>
      <c r="O322" s="78"/>
      <c r="P322" s="80">
        <v>0</v>
      </c>
      <c r="Q322" s="81">
        <v>0</v>
      </c>
      <c r="R322" s="81">
        <v>0</v>
      </c>
      <c r="S322" s="80">
        <v>0</v>
      </c>
      <c r="T322" s="80">
        <v>0</v>
      </c>
      <c r="U322" t="s" s="79">
        <v>122</v>
      </c>
      <c r="V322" s="78"/>
      <c r="W322" s="78"/>
      <c r="X322" s="78"/>
      <c r="Y322" s="78"/>
      <c r="Z322" s="78"/>
      <c r="AA322" s="78"/>
      <c r="AB322" t="s" s="79">
        <v>124</v>
      </c>
      <c r="AC322" t="s" s="79">
        <v>124</v>
      </c>
      <c r="AD322" t="s" s="82">
        <v>125</v>
      </c>
      <c r="AE322" s="67"/>
    </row>
    <row r="323" ht="15" customHeight="1">
      <c r="A323" t="s" s="83">
        <v>28</v>
      </c>
      <c r="B323" s="69">
        <v>64.09999999999999</v>
      </c>
      <c r="C323" t="b" s="70">
        <v>0</v>
      </c>
      <c r="D323" s="71"/>
      <c r="E323" t="s" s="72">
        <v>752</v>
      </c>
      <c r="F323" t="s" s="72">
        <v>170</v>
      </c>
      <c r="G323" s="73">
        <v>35</v>
      </c>
      <c r="H323" t="s" s="72">
        <v>175</v>
      </c>
      <c r="I323" t="s" s="72">
        <v>175</v>
      </c>
      <c r="J323" s="73">
        <v>28</v>
      </c>
      <c r="K323" t="s" s="72">
        <v>325</v>
      </c>
      <c r="L323" t="s" s="72">
        <v>121</v>
      </c>
      <c r="M323" s="71"/>
      <c r="N323" s="71"/>
      <c r="O323" s="71"/>
      <c r="P323" s="73">
        <v>0</v>
      </c>
      <c r="Q323" s="74">
        <v>0</v>
      </c>
      <c r="R323" s="74">
        <v>0</v>
      </c>
      <c r="S323" s="73">
        <v>0</v>
      </c>
      <c r="T323" s="73">
        <v>0</v>
      </c>
      <c r="U323" t="s" s="72">
        <v>122</v>
      </c>
      <c r="V323" s="73">
        <v>23</v>
      </c>
      <c r="W323" s="74">
        <v>6.07</v>
      </c>
      <c r="X323" s="74">
        <v>6.72</v>
      </c>
      <c r="Y323" s="73">
        <v>5</v>
      </c>
      <c r="Z323" s="73">
        <v>2</v>
      </c>
      <c r="AA323" t="s" s="72">
        <v>750</v>
      </c>
      <c r="AB323" t="s" s="72">
        <v>124</v>
      </c>
      <c r="AC323" t="s" s="72">
        <v>124</v>
      </c>
      <c r="AD323" t="s" s="75">
        <v>125</v>
      </c>
      <c r="AE323" s="67"/>
    </row>
    <row r="324" ht="15" customHeight="1">
      <c r="A324" t="s" s="83">
        <v>28</v>
      </c>
      <c r="B324" s="76">
        <v>63.8</v>
      </c>
      <c r="C324" t="b" s="77">
        <v>0</v>
      </c>
      <c r="D324" t="s" s="85">
        <v>161</v>
      </c>
      <c r="E324" t="s" s="79">
        <v>753</v>
      </c>
      <c r="F324" t="s" s="79">
        <v>117</v>
      </c>
      <c r="G324" s="80">
        <v>31</v>
      </c>
      <c r="H324" t="s" s="79">
        <v>175</v>
      </c>
      <c r="I324" t="s" s="79">
        <v>754</v>
      </c>
      <c r="J324" s="80">
        <v>21</v>
      </c>
      <c r="K324" t="s" s="79">
        <v>128</v>
      </c>
      <c r="L324" t="s" s="79">
        <v>121</v>
      </c>
      <c r="M324" s="78"/>
      <c r="N324" s="78"/>
      <c r="O324" s="78"/>
      <c r="P324" s="80">
        <v>2</v>
      </c>
      <c r="Q324" s="81">
        <v>6.25</v>
      </c>
      <c r="R324" s="81">
        <v>7.75</v>
      </c>
      <c r="S324" s="80">
        <v>1</v>
      </c>
      <c r="T324" s="80">
        <v>0</v>
      </c>
      <c r="U324" t="s" s="79">
        <v>122</v>
      </c>
      <c r="V324" s="80">
        <v>23</v>
      </c>
      <c r="W324" s="81">
        <v>6.07</v>
      </c>
      <c r="X324" s="81">
        <v>6.43</v>
      </c>
      <c r="Y324" s="80">
        <v>2</v>
      </c>
      <c r="Z324" s="80">
        <v>4</v>
      </c>
      <c r="AA324" t="s" s="79">
        <v>123</v>
      </c>
      <c r="AB324" t="s" s="79">
        <v>124</v>
      </c>
      <c r="AC324" t="s" s="79">
        <v>124</v>
      </c>
      <c r="AD324" t="s" s="82">
        <v>125</v>
      </c>
      <c r="AE324" s="67"/>
    </row>
    <row r="325" ht="15" customHeight="1">
      <c r="A325" t="s" s="83">
        <v>28</v>
      </c>
      <c r="B325" s="69">
        <v>62.6</v>
      </c>
      <c r="C325" t="b" s="70">
        <v>0</v>
      </c>
      <c r="D325" t="s" s="84">
        <v>161</v>
      </c>
      <c r="E325" t="s" s="72">
        <v>755</v>
      </c>
      <c r="F325" t="s" s="72">
        <v>127</v>
      </c>
      <c r="G325" s="73">
        <v>21</v>
      </c>
      <c r="H325" t="s" s="72">
        <v>118</v>
      </c>
      <c r="I325" t="s" s="72">
        <v>756</v>
      </c>
      <c r="J325" s="73">
        <v>26</v>
      </c>
      <c r="K325" t="s" s="72">
        <v>128</v>
      </c>
      <c r="L325" t="s" s="72">
        <v>121</v>
      </c>
      <c r="M325" s="71"/>
      <c r="N325" t="s" s="72">
        <v>311</v>
      </c>
      <c r="O325" s="71"/>
      <c r="P325" s="73">
        <v>2</v>
      </c>
      <c r="Q325" s="74">
        <v>6</v>
      </c>
      <c r="R325" s="74">
        <v>6.5</v>
      </c>
      <c r="S325" s="73">
        <v>0</v>
      </c>
      <c r="T325" s="73">
        <v>1</v>
      </c>
      <c r="U325" t="s" s="72">
        <v>122</v>
      </c>
      <c r="V325" s="73">
        <v>32</v>
      </c>
      <c r="W325" s="74">
        <v>6.08</v>
      </c>
      <c r="X325" s="74">
        <v>6.33</v>
      </c>
      <c r="Y325" s="73">
        <v>2</v>
      </c>
      <c r="Z325" s="73">
        <v>4</v>
      </c>
      <c r="AA325" t="s" s="72">
        <v>123</v>
      </c>
      <c r="AB325" t="s" s="72">
        <v>124</v>
      </c>
      <c r="AC325" t="s" s="72">
        <v>124</v>
      </c>
      <c r="AD325" t="s" s="75">
        <v>125</v>
      </c>
      <c r="AE325" s="67"/>
    </row>
    <row r="326" ht="15" customHeight="1">
      <c r="A326" t="s" s="86">
        <v>30</v>
      </c>
      <c r="B326" s="76">
        <v>62</v>
      </c>
      <c r="C326" t="b" s="77">
        <v>0</v>
      </c>
      <c r="D326" s="78"/>
      <c r="E326" t="s" s="79">
        <v>757</v>
      </c>
      <c r="F326" t="s" s="79">
        <v>127</v>
      </c>
      <c r="G326" s="80">
        <v>31</v>
      </c>
      <c r="H326" t="s" s="79">
        <v>175</v>
      </c>
      <c r="I326" t="s" s="79">
        <v>758</v>
      </c>
      <c r="J326" s="80">
        <v>24</v>
      </c>
      <c r="K326" t="s" s="79">
        <v>759</v>
      </c>
      <c r="L326" t="s" s="79">
        <v>154</v>
      </c>
      <c r="M326" s="78"/>
      <c r="N326" t="s" s="79">
        <v>272</v>
      </c>
      <c r="O326" s="78"/>
      <c r="P326" s="80">
        <v>2</v>
      </c>
      <c r="Q326" s="81">
        <v>6.5</v>
      </c>
      <c r="R326" s="81">
        <v>8</v>
      </c>
      <c r="S326" s="80">
        <v>1</v>
      </c>
      <c r="T326" s="80">
        <v>0</v>
      </c>
      <c r="U326" t="s" s="79">
        <v>122</v>
      </c>
      <c r="V326" s="80">
        <v>22</v>
      </c>
      <c r="W326" s="81">
        <v>5.86</v>
      </c>
      <c r="X326" s="81">
        <v>6.2</v>
      </c>
      <c r="Y326" s="80">
        <v>2</v>
      </c>
      <c r="Z326" s="80">
        <v>2</v>
      </c>
      <c r="AA326" t="s" s="79">
        <v>123</v>
      </c>
      <c r="AB326" t="s" s="79">
        <v>124</v>
      </c>
      <c r="AC326" t="s" s="79">
        <v>124</v>
      </c>
      <c r="AD326" t="s" s="82">
        <v>125</v>
      </c>
      <c r="AE326" s="67"/>
    </row>
    <row r="327" ht="15" customHeight="1">
      <c r="A327" t="s" s="86">
        <v>30</v>
      </c>
      <c r="B327" s="69">
        <v>61.8</v>
      </c>
      <c r="C327" t="b" s="70">
        <v>0</v>
      </c>
      <c r="D327" s="71"/>
      <c r="E327" t="s" s="72">
        <v>760</v>
      </c>
      <c r="F327" t="s" s="72">
        <v>172</v>
      </c>
      <c r="G327" s="73">
        <v>23</v>
      </c>
      <c r="H327" t="s" s="72">
        <v>118</v>
      </c>
      <c r="I327" t="s" s="72">
        <v>131</v>
      </c>
      <c r="J327" s="73">
        <v>38</v>
      </c>
      <c r="K327" t="s" s="72">
        <v>761</v>
      </c>
      <c r="L327" t="s" s="72">
        <v>154</v>
      </c>
      <c r="M327" s="71"/>
      <c r="N327" s="71"/>
      <c r="O327" s="71"/>
      <c r="P327" s="73">
        <v>2</v>
      </c>
      <c r="Q327" s="74">
        <v>6</v>
      </c>
      <c r="R327" s="74">
        <v>5.75</v>
      </c>
      <c r="S327" s="73">
        <v>0</v>
      </c>
      <c r="T327" s="73">
        <v>0</v>
      </c>
      <c r="U327" t="s" s="72">
        <v>122</v>
      </c>
      <c r="V327" s="73">
        <v>34</v>
      </c>
      <c r="W327" s="74">
        <v>6</v>
      </c>
      <c r="X327" s="74">
        <v>6</v>
      </c>
      <c r="Y327" s="73">
        <v>1</v>
      </c>
      <c r="Z327" s="73">
        <v>1</v>
      </c>
      <c r="AA327" t="s" s="72">
        <v>123</v>
      </c>
      <c r="AB327" t="s" s="72">
        <v>124</v>
      </c>
      <c r="AC327" t="s" s="72">
        <v>124</v>
      </c>
      <c r="AD327" t="s" s="75">
        <v>125</v>
      </c>
      <c r="AE327" s="67"/>
    </row>
    <row r="328" ht="15" customHeight="1">
      <c r="A328" t="s" s="86">
        <v>30</v>
      </c>
      <c r="B328" s="76">
        <v>61.6</v>
      </c>
      <c r="C328" t="b" s="77">
        <v>0</v>
      </c>
      <c r="D328" s="78"/>
      <c r="E328" t="s" s="79">
        <v>762</v>
      </c>
      <c r="F328" t="s" s="79">
        <v>170</v>
      </c>
      <c r="G328" s="80">
        <v>30</v>
      </c>
      <c r="H328" t="s" s="79">
        <v>175</v>
      </c>
      <c r="I328" t="s" s="79">
        <v>740</v>
      </c>
      <c r="J328" s="80">
        <v>25</v>
      </c>
      <c r="K328" t="s" s="79">
        <v>128</v>
      </c>
      <c r="L328" t="s" s="79">
        <v>121</v>
      </c>
      <c r="M328" s="78"/>
      <c r="N328" t="s" s="79">
        <v>272</v>
      </c>
      <c r="O328" s="78"/>
      <c r="P328" s="80">
        <v>2</v>
      </c>
      <c r="Q328" s="81">
        <v>5.25</v>
      </c>
      <c r="R328" s="81">
        <v>5</v>
      </c>
      <c r="S328" s="80">
        <v>0</v>
      </c>
      <c r="T328" s="80">
        <v>0</v>
      </c>
      <c r="U328" t="s" s="79">
        <v>122</v>
      </c>
      <c r="V328" s="80">
        <v>33</v>
      </c>
      <c r="W328" s="81">
        <v>6.08</v>
      </c>
      <c r="X328" s="81">
        <v>6.27</v>
      </c>
      <c r="Y328" s="80">
        <v>2</v>
      </c>
      <c r="Z328" s="80">
        <v>3</v>
      </c>
      <c r="AA328" t="s" s="79">
        <v>123</v>
      </c>
      <c r="AB328" t="s" s="79">
        <v>124</v>
      </c>
      <c r="AC328" t="s" s="79">
        <v>124</v>
      </c>
      <c r="AD328" t="s" s="82">
        <v>125</v>
      </c>
      <c r="AE328" s="67"/>
    </row>
    <row r="329" ht="15" customHeight="1">
      <c r="A329" t="s" s="86">
        <v>30</v>
      </c>
      <c r="B329" s="69">
        <v>60.5</v>
      </c>
      <c r="C329" t="b" s="70">
        <v>0</v>
      </c>
      <c r="D329" s="71"/>
      <c r="E329" t="s" s="72">
        <v>763</v>
      </c>
      <c r="F329" t="s" s="72">
        <v>134</v>
      </c>
      <c r="G329" s="73">
        <v>32</v>
      </c>
      <c r="H329" t="s" s="72">
        <v>175</v>
      </c>
      <c r="I329" t="s" s="72">
        <v>175</v>
      </c>
      <c r="J329" s="73">
        <v>37</v>
      </c>
      <c r="K329" t="s" s="72">
        <v>764</v>
      </c>
      <c r="L329" t="s" s="72">
        <v>328</v>
      </c>
      <c r="M329" s="71"/>
      <c r="N329" s="71"/>
      <c r="O329" s="71"/>
      <c r="P329" s="73">
        <v>0</v>
      </c>
      <c r="Q329" s="74">
        <v>0</v>
      </c>
      <c r="R329" s="74">
        <v>0</v>
      </c>
      <c r="S329" s="73">
        <v>0</v>
      </c>
      <c r="T329" s="73">
        <v>0</v>
      </c>
      <c r="U329" t="s" s="72">
        <v>122</v>
      </c>
      <c r="V329" s="73">
        <v>28</v>
      </c>
      <c r="W329" s="74">
        <v>6.12</v>
      </c>
      <c r="X329" s="74">
        <v>6.5</v>
      </c>
      <c r="Y329" s="73">
        <v>4</v>
      </c>
      <c r="Z329" s="73">
        <v>1</v>
      </c>
      <c r="AA329" t="s" s="72">
        <v>123</v>
      </c>
      <c r="AB329" t="s" s="72">
        <v>124</v>
      </c>
      <c r="AC329" t="s" s="72">
        <v>124</v>
      </c>
      <c r="AD329" t="s" s="75">
        <v>125</v>
      </c>
      <c r="AE329" s="67"/>
    </row>
    <row r="330" ht="15" customHeight="1">
      <c r="A330" t="s" s="86">
        <v>30</v>
      </c>
      <c r="B330" s="76">
        <v>60.5</v>
      </c>
      <c r="C330" t="b" s="77">
        <v>0</v>
      </c>
      <c r="D330" s="78"/>
      <c r="E330" t="s" s="79">
        <v>765</v>
      </c>
      <c r="F330" t="s" s="79">
        <v>134</v>
      </c>
      <c r="G330" s="80">
        <v>27</v>
      </c>
      <c r="H330" t="s" s="79">
        <v>766</v>
      </c>
      <c r="I330" t="s" s="79">
        <v>767</v>
      </c>
      <c r="J330" s="80">
        <v>22</v>
      </c>
      <c r="K330" t="s" s="79">
        <v>768</v>
      </c>
      <c r="L330" t="s" s="79">
        <v>121</v>
      </c>
      <c r="M330" s="78"/>
      <c r="N330" s="78"/>
      <c r="O330" s="78"/>
      <c r="P330" s="80">
        <v>2</v>
      </c>
      <c r="Q330" s="81">
        <v>6</v>
      </c>
      <c r="R330" s="81">
        <v>6</v>
      </c>
      <c r="S330" s="80">
        <v>0</v>
      </c>
      <c r="T330" s="80">
        <v>0</v>
      </c>
      <c r="U330" t="s" s="79">
        <v>122</v>
      </c>
      <c r="V330" s="80">
        <v>28</v>
      </c>
      <c r="W330" s="81">
        <v>5.96</v>
      </c>
      <c r="X330" s="81">
        <v>6.16</v>
      </c>
      <c r="Y330" s="80">
        <v>2</v>
      </c>
      <c r="Z330" s="80">
        <v>2</v>
      </c>
      <c r="AA330" t="s" s="79">
        <v>123</v>
      </c>
      <c r="AB330" t="s" s="79">
        <v>124</v>
      </c>
      <c r="AC330" t="s" s="79">
        <v>124</v>
      </c>
      <c r="AD330" t="s" s="82">
        <v>125</v>
      </c>
      <c r="AE330" s="67"/>
    </row>
    <row r="331" ht="15" customHeight="1">
      <c r="A331" t="s" s="86">
        <v>30</v>
      </c>
      <c r="B331" s="69">
        <v>60.1</v>
      </c>
      <c r="C331" t="b" s="70">
        <v>0</v>
      </c>
      <c r="D331" s="71"/>
      <c r="E331" t="s" s="72">
        <v>769</v>
      </c>
      <c r="F331" t="s" s="72">
        <v>193</v>
      </c>
      <c r="G331" s="73">
        <v>20</v>
      </c>
      <c r="H331" t="s" s="72">
        <v>118</v>
      </c>
      <c r="I331" t="s" s="72">
        <v>119</v>
      </c>
      <c r="J331" s="73">
        <v>24</v>
      </c>
      <c r="K331" t="s" s="72">
        <v>770</v>
      </c>
      <c r="L331" t="s" s="72">
        <v>121</v>
      </c>
      <c r="M331" s="71"/>
      <c r="N331" s="71"/>
      <c r="O331" s="71"/>
      <c r="P331" s="73">
        <v>2</v>
      </c>
      <c r="Q331" s="74">
        <v>5.5</v>
      </c>
      <c r="R331" s="74">
        <v>5.5</v>
      </c>
      <c r="S331" s="73">
        <v>0</v>
      </c>
      <c r="T331" s="73">
        <v>0</v>
      </c>
      <c r="U331" t="s" s="72">
        <v>122</v>
      </c>
      <c r="V331" s="73">
        <v>36</v>
      </c>
      <c r="W331" s="74">
        <v>6</v>
      </c>
      <c r="X331" s="74">
        <v>6.04</v>
      </c>
      <c r="Y331" s="73">
        <v>1</v>
      </c>
      <c r="Z331" s="73">
        <v>1</v>
      </c>
      <c r="AA331" t="s" s="72">
        <v>123</v>
      </c>
      <c r="AB331" t="s" s="72">
        <v>124</v>
      </c>
      <c r="AC331" t="s" s="72">
        <v>124</v>
      </c>
      <c r="AD331" t="s" s="75">
        <v>125</v>
      </c>
      <c r="AE331" s="67"/>
    </row>
    <row r="332" ht="15" customHeight="1">
      <c r="A332" t="s" s="86">
        <v>30</v>
      </c>
      <c r="B332" s="76">
        <v>59.4</v>
      </c>
      <c r="C332" t="b" s="77">
        <v>0</v>
      </c>
      <c r="D332" s="78"/>
      <c r="E332" t="s" s="79">
        <v>771</v>
      </c>
      <c r="F332" t="s" s="79">
        <v>127</v>
      </c>
      <c r="G332" s="80">
        <v>29</v>
      </c>
      <c r="H332" t="s" s="79">
        <v>175</v>
      </c>
      <c r="I332" t="s" s="79">
        <v>200</v>
      </c>
      <c r="J332" s="80">
        <v>31</v>
      </c>
      <c r="K332" t="s" s="79">
        <v>395</v>
      </c>
      <c r="L332" t="s" s="79">
        <v>121</v>
      </c>
      <c r="M332" s="78"/>
      <c r="N332" s="78"/>
      <c r="O332" s="78"/>
      <c r="P332" s="80">
        <v>2</v>
      </c>
      <c r="Q332" s="81">
        <v>5.75</v>
      </c>
      <c r="R332" s="81">
        <v>5.75</v>
      </c>
      <c r="S332" s="80">
        <v>0</v>
      </c>
      <c r="T332" s="80">
        <v>0</v>
      </c>
      <c r="U332" t="s" s="79">
        <v>122</v>
      </c>
      <c r="V332" s="80">
        <v>32</v>
      </c>
      <c r="W332" s="81">
        <v>5.94</v>
      </c>
      <c r="X332" s="81">
        <v>6.27</v>
      </c>
      <c r="Y332" s="80">
        <v>3</v>
      </c>
      <c r="Z332" s="80">
        <v>3</v>
      </c>
      <c r="AA332" t="s" s="79">
        <v>123</v>
      </c>
      <c r="AB332" t="s" s="79">
        <v>124</v>
      </c>
      <c r="AC332" t="s" s="79">
        <v>124</v>
      </c>
      <c r="AD332" t="s" s="82">
        <v>125</v>
      </c>
      <c r="AE332" s="67"/>
    </row>
    <row r="333" ht="15" customHeight="1">
      <c r="A333" t="s" s="86">
        <v>30</v>
      </c>
      <c r="B333" s="69">
        <v>59.1</v>
      </c>
      <c r="C333" t="b" s="70">
        <v>0</v>
      </c>
      <c r="D333" s="71"/>
      <c r="E333" t="s" s="72">
        <v>772</v>
      </c>
      <c r="F333" t="s" s="72">
        <v>172</v>
      </c>
      <c r="G333" s="73">
        <v>31</v>
      </c>
      <c r="H333" t="s" s="72">
        <v>175</v>
      </c>
      <c r="I333" t="s" s="72">
        <v>773</v>
      </c>
      <c r="J333" s="73">
        <v>24</v>
      </c>
      <c r="K333" t="s" s="72">
        <v>774</v>
      </c>
      <c r="L333" t="s" s="72">
        <v>121</v>
      </c>
      <c r="M333" s="71"/>
      <c r="N333" s="71"/>
      <c r="O333" t="s" s="88">
        <v>268</v>
      </c>
      <c r="P333" s="73">
        <v>0</v>
      </c>
      <c r="Q333" s="74">
        <v>0</v>
      </c>
      <c r="R333" s="74">
        <v>0</v>
      </c>
      <c r="S333" s="73">
        <v>0</v>
      </c>
      <c r="T333" s="73">
        <v>0</v>
      </c>
      <c r="U333" t="s" s="72">
        <v>122</v>
      </c>
      <c r="V333" s="73">
        <v>35</v>
      </c>
      <c r="W333" s="74">
        <v>6.19</v>
      </c>
      <c r="X333" s="74">
        <v>6.63</v>
      </c>
      <c r="Y333" s="73">
        <v>6</v>
      </c>
      <c r="Z333" s="73">
        <v>0</v>
      </c>
      <c r="AA333" t="s" s="72">
        <v>123</v>
      </c>
      <c r="AB333" t="s" s="72">
        <v>124</v>
      </c>
      <c r="AC333" t="s" s="72">
        <v>124</v>
      </c>
      <c r="AD333" t="s" s="75">
        <v>125</v>
      </c>
      <c r="AE333" s="67"/>
    </row>
    <row r="334" ht="15" customHeight="1">
      <c r="A334" t="s" s="86">
        <v>30</v>
      </c>
      <c r="B334" s="76">
        <v>58.9</v>
      </c>
      <c r="C334" t="b" s="77">
        <v>0</v>
      </c>
      <c r="D334" s="78"/>
      <c r="E334" t="s" s="79">
        <v>775</v>
      </c>
      <c r="F334" t="s" s="79">
        <v>156</v>
      </c>
      <c r="G334" s="80">
        <v>21</v>
      </c>
      <c r="H334" t="s" s="79">
        <v>118</v>
      </c>
      <c r="I334" t="s" s="79">
        <v>131</v>
      </c>
      <c r="J334" s="80">
        <v>25</v>
      </c>
      <c r="K334" t="s" s="79">
        <v>206</v>
      </c>
      <c r="L334" t="s" s="79">
        <v>121</v>
      </c>
      <c r="M334" s="78"/>
      <c r="N334" s="78"/>
      <c r="O334" s="78"/>
      <c r="P334" s="80">
        <v>3</v>
      </c>
      <c r="Q334" s="81">
        <v>5.83</v>
      </c>
      <c r="R334" s="81">
        <v>5.83</v>
      </c>
      <c r="S334" s="80">
        <v>0</v>
      </c>
      <c r="T334" s="80">
        <v>0</v>
      </c>
      <c r="U334" t="s" s="79">
        <v>122</v>
      </c>
      <c r="V334" s="80">
        <v>36</v>
      </c>
      <c r="W334" s="81">
        <v>6</v>
      </c>
      <c r="X334" s="81">
        <v>6.01</v>
      </c>
      <c r="Y334" s="80">
        <v>1</v>
      </c>
      <c r="Z334" s="80">
        <v>0</v>
      </c>
      <c r="AA334" t="s" s="79">
        <v>123</v>
      </c>
      <c r="AB334" t="s" s="79">
        <v>124</v>
      </c>
      <c r="AC334" t="s" s="79">
        <v>124</v>
      </c>
      <c r="AD334" t="s" s="82">
        <v>125</v>
      </c>
      <c r="AE334" s="67"/>
    </row>
    <row r="335" ht="15" customHeight="1">
      <c r="A335" t="s" s="86">
        <v>30</v>
      </c>
      <c r="B335" s="69">
        <v>58.6</v>
      </c>
      <c r="C335" t="b" s="70">
        <v>0</v>
      </c>
      <c r="D335" t="s" s="84">
        <v>178</v>
      </c>
      <c r="E335" t="s" s="72">
        <v>776</v>
      </c>
      <c r="F335" t="s" s="72">
        <v>156</v>
      </c>
      <c r="G335" s="73">
        <v>20</v>
      </c>
      <c r="H335" t="s" s="72">
        <v>118</v>
      </c>
      <c r="I335" t="s" s="72">
        <v>777</v>
      </c>
      <c r="J335" s="73">
        <v>23</v>
      </c>
      <c r="K335" t="s" s="72">
        <v>128</v>
      </c>
      <c r="L335" t="s" s="72">
        <v>154</v>
      </c>
      <c r="M335" s="71"/>
      <c r="N335" t="s" s="72">
        <v>655</v>
      </c>
      <c r="O335" s="71"/>
      <c r="P335" s="73">
        <v>3</v>
      </c>
      <c r="Q335" s="74">
        <v>5.83</v>
      </c>
      <c r="R335" s="74">
        <v>5.83</v>
      </c>
      <c r="S335" s="73">
        <v>0</v>
      </c>
      <c r="T335" s="73">
        <v>0</v>
      </c>
      <c r="U335" t="s" s="72">
        <v>122</v>
      </c>
      <c r="V335" s="73">
        <v>17</v>
      </c>
      <c r="W335" s="74">
        <v>6</v>
      </c>
      <c r="X335" s="74">
        <v>6.24</v>
      </c>
      <c r="Y335" s="73">
        <v>1</v>
      </c>
      <c r="Z335" s="73">
        <v>2</v>
      </c>
      <c r="AA335" t="s" s="72">
        <v>123</v>
      </c>
      <c r="AB335" t="s" s="72">
        <v>124</v>
      </c>
      <c r="AC335" t="s" s="72">
        <v>124</v>
      </c>
      <c r="AD335" t="s" s="75">
        <v>125</v>
      </c>
      <c r="AE335" s="67"/>
    </row>
    <row r="336" ht="15" customHeight="1">
      <c r="A336" t="s" s="86">
        <v>30</v>
      </c>
      <c r="B336" s="76">
        <v>58.2</v>
      </c>
      <c r="C336" t="b" s="77">
        <v>0</v>
      </c>
      <c r="D336" s="78"/>
      <c r="E336" t="s" s="79">
        <v>778</v>
      </c>
      <c r="F336" t="s" s="79">
        <v>130</v>
      </c>
      <c r="G336" s="80">
        <v>29</v>
      </c>
      <c r="H336" t="s" s="79">
        <v>175</v>
      </c>
      <c r="I336" t="s" s="79">
        <v>175</v>
      </c>
      <c r="J336" s="80">
        <v>30</v>
      </c>
      <c r="K336" t="s" s="79">
        <v>344</v>
      </c>
      <c r="L336" t="s" s="79">
        <v>121</v>
      </c>
      <c r="M336" s="78"/>
      <c r="N336" s="78"/>
      <c r="O336" s="78"/>
      <c r="P336" s="80">
        <v>2</v>
      </c>
      <c r="Q336" s="81">
        <v>5.5</v>
      </c>
      <c r="R336" s="81">
        <v>5.25</v>
      </c>
      <c r="S336" s="80">
        <v>0</v>
      </c>
      <c r="T336" s="80">
        <v>0</v>
      </c>
      <c r="U336" t="s" s="79">
        <v>122</v>
      </c>
      <c r="V336" s="80">
        <v>22</v>
      </c>
      <c r="W336" s="81">
        <v>6.07</v>
      </c>
      <c r="X336" s="81">
        <v>6.48</v>
      </c>
      <c r="Y336" s="80">
        <v>3</v>
      </c>
      <c r="Z336" s="80">
        <v>1</v>
      </c>
      <c r="AA336" t="s" s="79">
        <v>123</v>
      </c>
      <c r="AB336" t="s" s="79">
        <v>124</v>
      </c>
      <c r="AC336" t="s" s="79">
        <v>124</v>
      </c>
      <c r="AD336" t="s" s="82">
        <v>125</v>
      </c>
      <c r="AE336" s="67"/>
    </row>
    <row r="337" ht="15" customHeight="1">
      <c r="A337" t="s" s="86">
        <v>30</v>
      </c>
      <c r="B337" s="69">
        <v>57.4</v>
      </c>
      <c r="C337" t="b" s="70">
        <v>0</v>
      </c>
      <c r="D337" s="71"/>
      <c r="E337" t="s" s="72">
        <v>779</v>
      </c>
      <c r="F337" t="s" s="72">
        <v>172</v>
      </c>
      <c r="G337" s="73">
        <v>28</v>
      </c>
      <c r="H337" t="s" s="72">
        <v>780</v>
      </c>
      <c r="I337" t="s" s="72">
        <v>781</v>
      </c>
      <c r="J337" s="73">
        <v>22</v>
      </c>
      <c r="K337" t="s" s="72">
        <v>782</v>
      </c>
      <c r="L337" t="s" s="72">
        <v>154</v>
      </c>
      <c r="M337" s="71"/>
      <c r="N337" s="71"/>
      <c r="O337" s="71"/>
      <c r="P337" s="73">
        <v>2</v>
      </c>
      <c r="Q337" s="74">
        <v>6.5</v>
      </c>
      <c r="R337" s="74">
        <v>7.75</v>
      </c>
      <c r="S337" s="73">
        <v>1</v>
      </c>
      <c r="T337" s="73">
        <v>0</v>
      </c>
      <c r="U337" t="s" s="72">
        <v>122</v>
      </c>
      <c r="V337" s="73">
        <v>21</v>
      </c>
      <c r="W337" s="74">
        <v>6.05</v>
      </c>
      <c r="X337" s="74">
        <v>6.43</v>
      </c>
      <c r="Y337" s="73">
        <v>2</v>
      </c>
      <c r="Z337" s="73">
        <v>4</v>
      </c>
      <c r="AA337" t="s" s="72">
        <v>123</v>
      </c>
      <c r="AB337" t="s" s="72">
        <v>124</v>
      </c>
      <c r="AC337" t="s" s="72">
        <v>124</v>
      </c>
      <c r="AD337" t="s" s="75">
        <v>125</v>
      </c>
      <c r="AE337" s="67"/>
    </row>
    <row r="338" ht="15" customHeight="1">
      <c r="A338" t="s" s="86">
        <v>30</v>
      </c>
      <c r="B338" s="76">
        <v>57.4</v>
      </c>
      <c r="C338" t="b" s="77">
        <v>0</v>
      </c>
      <c r="D338" s="78"/>
      <c r="E338" t="s" s="79">
        <v>783</v>
      </c>
      <c r="F338" t="s" s="79">
        <v>144</v>
      </c>
      <c r="G338" s="80">
        <v>21</v>
      </c>
      <c r="H338" t="s" s="79">
        <v>118</v>
      </c>
      <c r="I338" t="s" s="79">
        <v>118</v>
      </c>
      <c r="J338" s="80">
        <v>27</v>
      </c>
      <c r="K338" t="s" s="79">
        <v>484</v>
      </c>
      <c r="L338" t="s" s="79">
        <v>121</v>
      </c>
      <c r="M338" s="78"/>
      <c r="N338" s="78"/>
      <c r="O338" s="78"/>
      <c r="P338" s="80">
        <v>2</v>
      </c>
      <c r="Q338" s="81">
        <v>6.25</v>
      </c>
      <c r="R338" s="81">
        <v>6.25</v>
      </c>
      <c r="S338" s="80">
        <v>0</v>
      </c>
      <c r="T338" s="80">
        <v>0</v>
      </c>
      <c r="U338" t="s" s="79">
        <v>122</v>
      </c>
      <c r="V338" s="80">
        <v>23</v>
      </c>
      <c r="W338" s="81">
        <v>5.87</v>
      </c>
      <c r="X338" s="81">
        <v>5.85</v>
      </c>
      <c r="Y338" s="80">
        <v>1</v>
      </c>
      <c r="Z338" s="80">
        <v>0</v>
      </c>
      <c r="AA338" t="s" s="79">
        <v>123</v>
      </c>
      <c r="AB338" t="s" s="79">
        <v>124</v>
      </c>
      <c r="AC338" t="s" s="79">
        <v>124</v>
      </c>
      <c r="AD338" t="s" s="82">
        <v>125</v>
      </c>
      <c r="AE338" s="67"/>
    </row>
    <row r="339" ht="15" customHeight="1">
      <c r="A339" t="s" s="86">
        <v>30</v>
      </c>
      <c r="B339" s="69">
        <v>56.9</v>
      </c>
      <c r="C339" t="b" s="70">
        <v>0</v>
      </c>
      <c r="D339" s="71"/>
      <c r="E339" t="s" s="72">
        <v>784</v>
      </c>
      <c r="F339" t="s" s="72">
        <v>147</v>
      </c>
      <c r="G339" s="73">
        <v>20</v>
      </c>
      <c r="H339" t="s" s="72">
        <v>118</v>
      </c>
      <c r="I339" t="s" s="72">
        <v>748</v>
      </c>
      <c r="J339" s="73">
        <v>24</v>
      </c>
      <c r="K339" t="s" s="72">
        <v>785</v>
      </c>
      <c r="L339" t="s" s="72">
        <v>121</v>
      </c>
      <c r="M339" s="71"/>
      <c r="N339" t="s" s="72">
        <v>655</v>
      </c>
      <c r="O339" s="71"/>
      <c r="P339" s="73">
        <v>2</v>
      </c>
      <c r="Q339" s="74">
        <v>5.75</v>
      </c>
      <c r="R339" s="74">
        <v>5.75</v>
      </c>
      <c r="S339" s="73">
        <v>0</v>
      </c>
      <c r="T339" s="73">
        <v>0</v>
      </c>
      <c r="U339" t="s" s="72">
        <v>122</v>
      </c>
      <c r="V339" s="73">
        <v>18</v>
      </c>
      <c r="W339" s="74">
        <v>5.97</v>
      </c>
      <c r="X339" s="74">
        <v>6.33</v>
      </c>
      <c r="Y339" s="73">
        <v>2</v>
      </c>
      <c r="Z339" s="73">
        <v>1</v>
      </c>
      <c r="AA339" t="s" s="72">
        <v>123</v>
      </c>
      <c r="AB339" t="s" s="72">
        <v>124</v>
      </c>
      <c r="AC339" t="s" s="72">
        <v>124</v>
      </c>
      <c r="AD339" t="s" s="75">
        <v>125</v>
      </c>
      <c r="AE339" s="67"/>
    </row>
    <row r="340" ht="15" customHeight="1">
      <c r="A340" t="s" s="86">
        <v>30</v>
      </c>
      <c r="B340" s="76">
        <v>56.2</v>
      </c>
      <c r="C340" t="b" s="77">
        <v>0</v>
      </c>
      <c r="D340" s="78"/>
      <c r="E340" t="s" s="79">
        <v>786</v>
      </c>
      <c r="F340" t="s" s="79">
        <v>147</v>
      </c>
      <c r="G340" s="80">
        <v>20</v>
      </c>
      <c r="H340" t="s" s="79">
        <v>118</v>
      </c>
      <c r="I340" t="s" s="79">
        <v>118</v>
      </c>
      <c r="J340" s="80">
        <v>26</v>
      </c>
      <c r="K340" t="s" s="79">
        <v>636</v>
      </c>
      <c r="L340" t="s" s="79">
        <v>121</v>
      </c>
      <c r="M340" s="78"/>
      <c r="N340" s="78"/>
      <c r="O340" s="78"/>
      <c r="P340" s="80">
        <v>2</v>
      </c>
      <c r="Q340" s="81">
        <v>6</v>
      </c>
      <c r="R340" s="81">
        <v>6.5</v>
      </c>
      <c r="S340" s="80">
        <v>0</v>
      </c>
      <c r="T340" s="80">
        <v>1</v>
      </c>
      <c r="U340" t="s" s="79">
        <v>122</v>
      </c>
      <c r="V340" s="80">
        <v>38</v>
      </c>
      <c r="W340" s="81">
        <v>5.89</v>
      </c>
      <c r="X340" s="81">
        <v>5.95</v>
      </c>
      <c r="Y340" s="80">
        <v>1</v>
      </c>
      <c r="Z340" s="80">
        <v>1</v>
      </c>
      <c r="AA340" t="s" s="79">
        <v>123</v>
      </c>
      <c r="AB340" t="s" s="79">
        <v>124</v>
      </c>
      <c r="AC340" t="s" s="79">
        <v>124</v>
      </c>
      <c r="AD340" t="s" s="82">
        <v>125</v>
      </c>
      <c r="AE340" s="67"/>
    </row>
    <row r="341" ht="15" customHeight="1">
      <c r="A341" t="s" s="86">
        <v>30</v>
      </c>
      <c r="B341" s="69">
        <v>56</v>
      </c>
      <c r="C341" t="b" s="70">
        <v>0</v>
      </c>
      <c r="D341" s="71"/>
      <c r="E341" t="s" s="72">
        <v>787</v>
      </c>
      <c r="F341" t="s" s="72">
        <v>168</v>
      </c>
      <c r="G341" s="73">
        <v>18</v>
      </c>
      <c r="H341" t="s" s="72">
        <v>118</v>
      </c>
      <c r="I341" t="s" s="72">
        <v>119</v>
      </c>
      <c r="J341" s="73">
        <v>30</v>
      </c>
      <c r="K341" t="s" s="72">
        <v>788</v>
      </c>
      <c r="L341" t="s" s="72">
        <v>121</v>
      </c>
      <c r="M341" s="71"/>
      <c r="N341" s="71"/>
      <c r="O341" s="71"/>
      <c r="P341" s="73">
        <v>2</v>
      </c>
      <c r="Q341" s="74">
        <v>6</v>
      </c>
      <c r="R341" s="74">
        <v>6.5</v>
      </c>
      <c r="S341" s="73">
        <v>0</v>
      </c>
      <c r="T341" s="73">
        <v>1</v>
      </c>
      <c r="U341" t="s" s="72">
        <v>122</v>
      </c>
      <c r="V341" s="73">
        <v>33</v>
      </c>
      <c r="W341" s="74">
        <v>6.03</v>
      </c>
      <c r="X341" s="74">
        <v>6.27</v>
      </c>
      <c r="Y341" s="73">
        <v>3</v>
      </c>
      <c r="Z341" s="73">
        <v>1</v>
      </c>
      <c r="AA341" t="s" s="72">
        <v>123</v>
      </c>
      <c r="AB341" t="s" s="72">
        <v>124</v>
      </c>
      <c r="AC341" t="s" s="72">
        <v>124</v>
      </c>
      <c r="AD341" t="s" s="75">
        <v>125</v>
      </c>
      <c r="AE341" s="67"/>
    </row>
    <row r="342" ht="15" customHeight="1">
      <c r="A342" t="s" s="86">
        <v>30</v>
      </c>
      <c r="B342" s="76">
        <v>55.8</v>
      </c>
      <c r="C342" t="b" s="77">
        <v>0</v>
      </c>
      <c r="D342" s="78"/>
      <c r="E342" t="s" s="79">
        <v>789</v>
      </c>
      <c r="F342" t="s" s="79">
        <v>138</v>
      </c>
      <c r="G342" s="80">
        <v>29</v>
      </c>
      <c r="H342" t="s" s="79">
        <v>175</v>
      </c>
      <c r="I342" t="s" s="79">
        <v>175</v>
      </c>
      <c r="J342" s="80">
        <v>28</v>
      </c>
      <c r="K342" t="s" s="79">
        <v>157</v>
      </c>
      <c r="L342" t="s" s="79">
        <v>154</v>
      </c>
      <c r="M342" s="78"/>
      <c r="N342" s="78"/>
      <c r="O342" s="78"/>
      <c r="P342" s="80">
        <v>1</v>
      </c>
      <c r="Q342" s="81">
        <v>7</v>
      </c>
      <c r="R342" s="81">
        <v>10</v>
      </c>
      <c r="S342" s="80">
        <v>1</v>
      </c>
      <c r="T342" s="80">
        <v>0</v>
      </c>
      <c r="U342" t="s" s="79">
        <v>122</v>
      </c>
      <c r="V342" s="80">
        <v>30</v>
      </c>
      <c r="W342" s="81">
        <v>5.72</v>
      </c>
      <c r="X342" s="81">
        <v>5.63</v>
      </c>
      <c r="Y342" s="80">
        <v>0</v>
      </c>
      <c r="Z342" s="80">
        <v>0</v>
      </c>
      <c r="AA342" t="s" s="79">
        <v>123</v>
      </c>
      <c r="AB342" t="s" s="79">
        <v>124</v>
      </c>
      <c r="AC342" t="s" s="79">
        <v>124</v>
      </c>
      <c r="AD342" t="s" s="82">
        <v>125</v>
      </c>
      <c r="AE342" s="67"/>
    </row>
    <row r="343" ht="15" customHeight="1">
      <c r="A343" t="s" s="86">
        <v>30</v>
      </c>
      <c r="B343" s="69">
        <v>55.5</v>
      </c>
      <c r="C343" t="b" s="70">
        <v>0</v>
      </c>
      <c r="D343" s="71"/>
      <c r="E343" t="s" s="72">
        <v>790</v>
      </c>
      <c r="F343" t="s" s="72">
        <v>127</v>
      </c>
      <c r="G343" s="73">
        <v>25</v>
      </c>
      <c r="H343" t="s" s="72">
        <v>175</v>
      </c>
      <c r="I343" t="s" s="72">
        <v>200</v>
      </c>
      <c r="J343" s="73">
        <v>24</v>
      </c>
      <c r="K343" t="s" s="72">
        <v>145</v>
      </c>
      <c r="L343" t="s" s="72">
        <v>121</v>
      </c>
      <c r="M343" s="71"/>
      <c r="N343" s="71"/>
      <c r="O343" s="71"/>
      <c r="P343" s="73">
        <v>2</v>
      </c>
      <c r="Q343" s="74">
        <v>6</v>
      </c>
      <c r="R343" s="74">
        <v>6.5</v>
      </c>
      <c r="S343" s="73">
        <v>0</v>
      </c>
      <c r="T343" s="73">
        <v>1</v>
      </c>
      <c r="U343" t="s" s="72">
        <v>122</v>
      </c>
      <c r="V343" s="73">
        <v>31</v>
      </c>
      <c r="W343" s="74">
        <v>6.08</v>
      </c>
      <c r="X343" s="74">
        <v>6.39</v>
      </c>
      <c r="Y343" s="73">
        <v>2</v>
      </c>
      <c r="Z343" s="73">
        <v>5</v>
      </c>
      <c r="AA343" t="s" s="72">
        <v>123</v>
      </c>
      <c r="AB343" t="s" s="72">
        <v>124</v>
      </c>
      <c r="AC343" t="s" s="72">
        <v>124</v>
      </c>
      <c r="AD343" t="s" s="75">
        <v>125</v>
      </c>
      <c r="AE343" s="67"/>
    </row>
    <row r="344" ht="15" customHeight="1">
      <c r="A344" t="s" s="86">
        <v>30</v>
      </c>
      <c r="B344" s="76">
        <v>55.2</v>
      </c>
      <c r="C344" t="b" s="77">
        <v>0</v>
      </c>
      <c r="D344" t="s" s="85">
        <v>161</v>
      </c>
      <c r="E344" t="s" s="79">
        <v>791</v>
      </c>
      <c r="F344" t="s" s="79">
        <v>153</v>
      </c>
      <c r="G344" s="80">
        <v>27</v>
      </c>
      <c r="H344" t="s" s="79">
        <v>792</v>
      </c>
      <c r="I344" t="s" s="79">
        <v>793</v>
      </c>
      <c r="J344" s="80">
        <v>23</v>
      </c>
      <c r="K344" t="s" s="79">
        <v>128</v>
      </c>
      <c r="L344" t="s" s="79">
        <v>154</v>
      </c>
      <c r="M344" s="78"/>
      <c r="N344" s="78"/>
      <c r="O344" s="78"/>
      <c r="P344" s="80">
        <v>1</v>
      </c>
      <c r="Q344" s="81">
        <v>7.5</v>
      </c>
      <c r="R344" s="81">
        <v>11.5</v>
      </c>
      <c r="S344" s="80">
        <v>1</v>
      </c>
      <c r="T344" s="80">
        <v>1</v>
      </c>
      <c r="U344" t="s" s="79">
        <v>122</v>
      </c>
      <c r="V344" s="80">
        <v>9</v>
      </c>
      <c r="W344" s="81">
        <v>6.11</v>
      </c>
      <c r="X344" s="81">
        <v>6.33</v>
      </c>
      <c r="Y344" s="80">
        <v>1</v>
      </c>
      <c r="Z344" s="80">
        <v>0</v>
      </c>
      <c r="AA344" t="s" s="79">
        <v>123</v>
      </c>
      <c r="AB344" t="s" s="79">
        <v>124</v>
      </c>
      <c r="AC344" t="s" s="79">
        <v>124</v>
      </c>
      <c r="AD344" t="s" s="82">
        <v>125</v>
      </c>
      <c r="AE344" s="67"/>
    </row>
    <row r="345" ht="15" customHeight="1">
      <c r="A345" t="s" s="86">
        <v>30</v>
      </c>
      <c r="B345" s="69">
        <v>54.9</v>
      </c>
      <c r="C345" t="b" s="70">
        <v>0</v>
      </c>
      <c r="D345" t="s" s="84">
        <v>191</v>
      </c>
      <c r="E345" t="s" s="72">
        <v>794</v>
      </c>
      <c r="F345" t="s" s="72">
        <v>183</v>
      </c>
      <c r="G345" s="73">
        <v>16</v>
      </c>
      <c r="H345" t="s" s="72">
        <v>118</v>
      </c>
      <c r="I345" t="s" s="72">
        <v>795</v>
      </c>
      <c r="J345" s="73">
        <v>24</v>
      </c>
      <c r="K345" t="s" s="72">
        <v>239</v>
      </c>
      <c r="L345" t="s" s="72">
        <v>121</v>
      </c>
      <c r="M345" t="s" s="72">
        <v>655</v>
      </c>
      <c r="N345" t="s" s="72">
        <v>655</v>
      </c>
      <c r="O345" s="71"/>
      <c r="P345" s="73">
        <v>2</v>
      </c>
      <c r="Q345" s="74">
        <v>6.25</v>
      </c>
      <c r="R345" s="74">
        <v>6.25</v>
      </c>
      <c r="S345" s="73">
        <v>0</v>
      </c>
      <c r="T345" s="73">
        <v>0</v>
      </c>
      <c r="U345" t="s" s="72">
        <v>122</v>
      </c>
      <c r="V345" s="71"/>
      <c r="W345" s="71"/>
      <c r="X345" s="71"/>
      <c r="Y345" s="71"/>
      <c r="Z345" s="71"/>
      <c r="AA345" s="71"/>
      <c r="AB345" t="s" s="72">
        <v>124</v>
      </c>
      <c r="AC345" t="s" s="72">
        <v>124</v>
      </c>
      <c r="AD345" t="s" s="75">
        <v>125</v>
      </c>
      <c r="AE345" s="67"/>
    </row>
    <row r="346" ht="15" customHeight="1">
      <c r="A346" t="s" s="86">
        <v>30</v>
      </c>
      <c r="B346" s="76">
        <v>54.9</v>
      </c>
      <c r="C346" t="b" s="77">
        <v>0</v>
      </c>
      <c r="D346" s="78"/>
      <c r="E346" t="s" s="79">
        <v>796</v>
      </c>
      <c r="F346" t="s" s="79">
        <v>144</v>
      </c>
      <c r="G346" s="80">
        <v>25</v>
      </c>
      <c r="H346" t="s" s="79">
        <v>175</v>
      </c>
      <c r="I346" t="s" s="79">
        <v>175</v>
      </c>
      <c r="J346" s="80">
        <v>27</v>
      </c>
      <c r="K346" t="s" s="79">
        <v>206</v>
      </c>
      <c r="L346" t="s" s="79">
        <v>154</v>
      </c>
      <c r="M346" s="78"/>
      <c r="N346" s="78"/>
      <c r="O346" s="78"/>
      <c r="P346" s="80">
        <v>2</v>
      </c>
      <c r="Q346" s="81">
        <v>5.75</v>
      </c>
      <c r="R346" s="81">
        <v>5.5</v>
      </c>
      <c r="S346" s="80">
        <v>0</v>
      </c>
      <c r="T346" s="80">
        <v>0</v>
      </c>
      <c r="U346" t="s" s="79">
        <v>122</v>
      </c>
      <c r="V346" s="80">
        <v>22</v>
      </c>
      <c r="W346" s="81">
        <v>5.91</v>
      </c>
      <c r="X346" s="81">
        <v>6.61</v>
      </c>
      <c r="Y346" s="80">
        <v>5</v>
      </c>
      <c r="Z346" s="80">
        <v>1</v>
      </c>
      <c r="AA346" t="s" s="79">
        <v>123</v>
      </c>
      <c r="AB346" t="s" s="79">
        <v>124</v>
      </c>
      <c r="AC346" t="s" s="79">
        <v>124</v>
      </c>
      <c r="AD346" t="s" s="82">
        <v>125</v>
      </c>
      <c r="AE346" s="67"/>
    </row>
    <row r="347" ht="15" customHeight="1">
      <c r="A347" t="s" s="86">
        <v>30</v>
      </c>
      <c r="B347" s="69">
        <v>54.2</v>
      </c>
      <c r="C347" t="b" s="70">
        <v>0</v>
      </c>
      <c r="D347" s="71"/>
      <c r="E347" t="s" s="72">
        <v>797</v>
      </c>
      <c r="F347" t="s" s="72">
        <v>156</v>
      </c>
      <c r="G347" s="73">
        <v>25</v>
      </c>
      <c r="H347" t="s" s="72">
        <v>175</v>
      </c>
      <c r="I347" t="s" s="72">
        <v>175</v>
      </c>
      <c r="J347" s="73">
        <v>35</v>
      </c>
      <c r="K347" t="s" s="72">
        <v>277</v>
      </c>
      <c r="L347" t="s" s="72">
        <v>154</v>
      </c>
      <c r="M347" s="71"/>
      <c r="N347" s="71"/>
      <c r="O347" s="71"/>
      <c r="P347" s="73">
        <v>3</v>
      </c>
      <c r="Q347" s="74">
        <v>6</v>
      </c>
      <c r="R347" s="74">
        <v>6</v>
      </c>
      <c r="S347" s="73">
        <v>0</v>
      </c>
      <c r="T347" s="73">
        <v>0</v>
      </c>
      <c r="U347" t="s" s="72">
        <v>122</v>
      </c>
      <c r="V347" s="73">
        <v>19</v>
      </c>
      <c r="W347" s="74">
        <v>6.16</v>
      </c>
      <c r="X347" s="74">
        <v>6.66</v>
      </c>
      <c r="Y347" s="73">
        <v>3</v>
      </c>
      <c r="Z347" s="73">
        <v>1</v>
      </c>
      <c r="AA347" t="s" s="72">
        <v>291</v>
      </c>
      <c r="AB347" t="s" s="72">
        <v>124</v>
      </c>
      <c r="AC347" t="s" s="72">
        <v>124</v>
      </c>
      <c r="AD347" t="s" s="75">
        <v>125</v>
      </c>
      <c r="AE347" s="67"/>
    </row>
    <row r="348" ht="15" customHeight="1">
      <c r="A348" t="s" s="86">
        <v>30</v>
      </c>
      <c r="B348" s="76">
        <v>54</v>
      </c>
      <c r="C348" t="b" s="77">
        <v>0</v>
      </c>
      <c r="D348" s="78"/>
      <c r="E348" t="s" s="79">
        <v>798</v>
      </c>
      <c r="F348" t="s" s="79">
        <v>138</v>
      </c>
      <c r="G348" s="80">
        <v>34</v>
      </c>
      <c r="H348" t="s" s="79">
        <v>175</v>
      </c>
      <c r="I348" t="s" s="79">
        <v>799</v>
      </c>
      <c r="J348" s="80">
        <v>25</v>
      </c>
      <c r="K348" t="s" s="79">
        <v>800</v>
      </c>
      <c r="L348" t="s" s="79">
        <v>121</v>
      </c>
      <c r="M348" s="78"/>
      <c r="N348" s="78"/>
      <c r="O348" t="s" s="88">
        <v>801</v>
      </c>
      <c r="P348" s="80">
        <v>0</v>
      </c>
      <c r="Q348" s="81">
        <v>0</v>
      </c>
      <c r="R348" s="81">
        <v>0</v>
      </c>
      <c r="S348" s="80">
        <v>0</v>
      </c>
      <c r="T348" s="80">
        <v>0</v>
      </c>
      <c r="U348" t="s" s="79">
        <v>122</v>
      </c>
      <c r="V348" s="80">
        <v>35</v>
      </c>
      <c r="W348" s="81">
        <v>6.03</v>
      </c>
      <c r="X348" s="81">
        <v>6.31</v>
      </c>
      <c r="Y348" s="80">
        <v>3</v>
      </c>
      <c r="Z348" s="80">
        <v>2</v>
      </c>
      <c r="AA348" t="s" s="79">
        <v>123</v>
      </c>
      <c r="AB348" t="s" s="79">
        <v>124</v>
      </c>
      <c r="AC348" t="s" s="79">
        <v>124</v>
      </c>
      <c r="AD348" t="s" s="82">
        <v>125</v>
      </c>
      <c r="AE348" s="67"/>
    </row>
    <row r="349" ht="15" customHeight="1">
      <c r="A349" t="s" s="86">
        <v>30</v>
      </c>
      <c r="B349" s="69">
        <v>54</v>
      </c>
      <c r="C349" t="b" s="70">
        <v>0</v>
      </c>
      <c r="D349" s="71"/>
      <c r="E349" t="s" s="72">
        <v>802</v>
      </c>
      <c r="F349" t="s" s="72">
        <v>134</v>
      </c>
      <c r="G349" s="73">
        <v>25</v>
      </c>
      <c r="H349" t="s" s="72">
        <v>175</v>
      </c>
      <c r="I349" t="s" s="72">
        <v>175</v>
      </c>
      <c r="J349" s="73">
        <v>24</v>
      </c>
      <c r="K349" t="s" s="72">
        <v>277</v>
      </c>
      <c r="L349" t="s" s="72">
        <v>121</v>
      </c>
      <c r="M349" s="71"/>
      <c r="N349" s="71"/>
      <c r="O349" s="71"/>
      <c r="P349" s="73">
        <v>2</v>
      </c>
      <c r="Q349" s="74">
        <v>6</v>
      </c>
      <c r="R349" s="74">
        <v>6</v>
      </c>
      <c r="S349" s="73">
        <v>0</v>
      </c>
      <c r="T349" s="73">
        <v>0</v>
      </c>
      <c r="U349" t="s" s="72">
        <v>122</v>
      </c>
      <c r="V349" s="73">
        <v>27</v>
      </c>
      <c r="W349" s="74">
        <v>5.87</v>
      </c>
      <c r="X349" s="74">
        <v>6.04</v>
      </c>
      <c r="Y349" s="73">
        <v>1</v>
      </c>
      <c r="Z349" s="73">
        <v>2</v>
      </c>
      <c r="AA349" t="s" s="72">
        <v>123</v>
      </c>
      <c r="AB349" t="s" s="72">
        <v>124</v>
      </c>
      <c r="AC349" t="s" s="72">
        <v>124</v>
      </c>
      <c r="AD349" t="s" s="75">
        <v>125</v>
      </c>
      <c r="AE349" s="67"/>
    </row>
    <row r="350" ht="15" customHeight="1">
      <c r="A350" t="s" s="86">
        <v>30</v>
      </c>
      <c r="B350" s="76">
        <v>53.8</v>
      </c>
      <c r="C350" t="b" s="77">
        <v>0</v>
      </c>
      <c r="D350" s="78"/>
      <c r="E350" t="s" s="79">
        <v>803</v>
      </c>
      <c r="F350" t="s" s="79">
        <v>144</v>
      </c>
      <c r="G350" s="80">
        <v>20</v>
      </c>
      <c r="H350" t="s" s="79">
        <v>804</v>
      </c>
      <c r="I350" t="s" s="79">
        <v>804</v>
      </c>
      <c r="J350" s="80">
        <v>27</v>
      </c>
      <c r="K350" t="s" s="79">
        <v>128</v>
      </c>
      <c r="L350" t="s" s="79">
        <v>328</v>
      </c>
      <c r="M350" s="78"/>
      <c r="N350" s="78"/>
      <c r="O350" s="78"/>
      <c r="P350" s="80">
        <v>1</v>
      </c>
      <c r="Q350" s="81">
        <v>6</v>
      </c>
      <c r="R350" s="81">
        <v>6</v>
      </c>
      <c r="S350" s="80">
        <v>0</v>
      </c>
      <c r="T350" s="80">
        <v>0</v>
      </c>
      <c r="U350" t="s" s="79">
        <v>122</v>
      </c>
      <c r="V350" s="80">
        <v>23</v>
      </c>
      <c r="W350" s="81">
        <v>5.87</v>
      </c>
      <c r="X350" s="81">
        <v>6.22</v>
      </c>
      <c r="Y350" s="80">
        <v>3</v>
      </c>
      <c r="Z350" s="80">
        <v>1</v>
      </c>
      <c r="AA350" t="s" s="79">
        <v>123</v>
      </c>
      <c r="AB350" t="s" s="79">
        <v>124</v>
      </c>
      <c r="AC350" t="s" s="79">
        <v>124</v>
      </c>
      <c r="AD350" t="s" s="82">
        <v>125</v>
      </c>
      <c r="AE350" s="67"/>
    </row>
    <row r="351" ht="15" customHeight="1">
      <c r="A351" t="s" s="86">
        <v>30</v>
      </c>
      <c r="B351" s="69">
        <v>53</v>
      </c>
      <c r="C351" t="b" s="70">
        <v>0</v>
      </c>
      <c r="D351" t="s" s="84">
        <v>161</v>
      </c>
      <c r="E351" t="s" s="72">
        <v>805</v>
      </c>
      <c r="F351" t="s" s="72">
        <v>183</v>
      </c>
      <c r="G351" s="73">
        <v>18</v>
      </c>
      <c r="H351" t="s" s="72">
        <v>118</v>
      </c>
      <c r="I351" t="s" s="72">
        <v>432</v>
      </c>
      <c r="J351" s="73">
        <v>29</v>
      </c>
      <c r="K351" t="s" s="72">
        <v>395</v>
      </c>
      <c r="L351" t="s" s="72">
        <v>154</v>
      </c>
      <c r="M351" s="71"/>
      <c r="N351" s="71"/>
      <c r="O351" s="71"/>
      <c r="P351" s="73">
        <v>2</v>
      </c>
      <c r="Q351" s="74">
        <v>5.5</v>
      </c>
      <c r="R351" s="74">
        <v>5.5</v>
      </c>
      <c r="S351" s="73">
        <v>0</v>
      </c>
      <c r="T351" s="73">
        <v>0</v>
      </c>
      <c r="U351" t="s" s="72">
        <v>122</v>
      </c>
      <c r="V351" s="73">
        <v>23</v>
      </c>
      <c r="W351" s="74">
        <v>5.98</v>
      </c>
      <c r="X351" s="74">
        <v>6.33</v>
      </c>
      <c r="Y351" s="73">
        <v>2</v>
      </c>
      <c r="Z351" s="73">
        <v>3</v>
      </c>
      <c r="AA351" t="s" s="72">
        <v>123</v>
      </c>
      <c r="AB351" t="s" s="72">
        <v>124</v>
      </c>
      <c r="AC351" t="s" s="72">
        <v>124</v>
      </c>
      <c r="AD351" t="s" s="75">
        <v>125</v>
      </c>
      <c r="AE351" s="67"/>
    </row>
    <row r="352" ht="15" customHeight="1">
      <c r="A352" t="s" s="86">
        <v>30</v>
      </c>
      <c r="B352" s="76">
        <v>52.8</v>
      </c>
      <c r="C352" t="b" s="77">
        <v>0</v>
      </c>
      <c r="D352" s="78"/>
      <c r="E352" t="s" s="79">
        <v>806</v>
      </c>
      <c r="F352" t="s" s="79">
        <v>117</v>
      </c>
      <c r="G352" s="80">
        <v>26</v>
      </c>
      <c r="H352" t="s" s="79">
        <v>175</v>
      </c>
      <c r="I352" t="s" s="79">
        <v>200</v>
      </c>
      <c r="J352" s="80">
        <v>35</v>
      </c>
      <c r="K352" t="s" s="79">
        <v>157</v>
      </c>
      <c r="L352" t="s" s="79">
        <v>121</v>
      </c>
      <c r="M352" s="78"/>
      <c r="N352" s="78"/>
      <c r="O352" s="78"/>
      <c r="P352" s="80">
        <v>0</v>
      </c>
      <c r="Q352" s="81">
        <v>0</v>
      </c>
      <c r="R352" s="81">
        <v>0</v>
      </c>
      <c r="S352" s="80">
        <v>0</v>
      </c>
      <c r="T352" s="80">
        <v>0</v>
      </c>
      <c r="U352" t="s" s="79">
        <v>122</v>
      </c>
      <c r="V352" s="80">
        <v>34</v>
      </c>
      <c r="W352" s="81">
        <v>5.97</v>
      </c>
      <c r="X352" s="81">
        <v>6</v>
      </c>
      <c r="Y352" s="80">
        <v>1</v>
      </c>
      <c r="Z352" s="80">
        <v>2</v>
      </c>
      <c r="AA352" t="s" s="79">
        <v>123</v>
      </c>
      <c r="AB352" t="s" s="79">
        <v>124</v>
      </c>
      <c r="AC352" t="s" s="79">
        <v>124</v>
      </c>
      <c r="AD352" t="s" s="82">
        <v>125</v>
      </c>
      <c r="AE352" s="67"/>
    </row>
    <row r="353" ht="15" customHeight="1">
      <c r="A353" t="s" s="86">
        <v>30</v>
      </c>
      <c r="B353" s="69">
        <v>52</v>
      </c>
      <c r="C353" t="b" s="70">
        <v>0</v>
      </c>
      <c r="D353" s="71"/>
      <c r="E353" t="s" s="72">
        <v>807</v>
      </c>
      <c r="F353" t="s" s="72">
        <v>147</v>
      </c>
      <c r="G353" s="73">
        <v>17</v>
      </c>
      <c r="H353" t="s" s="72">
        <v>118</v>
      </c>
      <c r="I353" t="s" s="72">
        <v>683</v>
      </c>
      <c r="J353" s="73">
        <v>23</v>
      </c>
      <c r="K353" t="s" s="72">
        <v>128</v>
      </c>
      <c r="L353" t="s" s="72">
        <v>121</v>
      </c>
      <c r="M353" s="71"/>
      <c r="N353" t="s" s="72">
        <v>272</v>
      </c>
      <c r="O353" s="71"/>
      <c r="P353" s="73">
        <v>2</v>
      </c>
      <c r="Q353" s="74">
        <v>5.5</v>
      </c>
      <c r="R353" s="74">
        <v>5.25</v>
      </c>
      <c r="S353" s="73">
        <v>0</v>
      </c>
      <c r="T353" s="73">
        <v>0</v>
      </c>
      <c r="U353" t="s" s="72">
        <v>122</v>
      </c>
      <c r="V353" s="73">
        <v>12</v>
      </c>
      <c r="W353" s="74">
        <v>5.79</v>
      </c>
      <c r="X353" s="74">
        <v>5.75</v>
      </c>
      <c r="Y353" s="73">
        <v>0</v>
      </c>
      <c r="Z353" s="73">
        <v>0</v>
      </c>
      <c r="AA353" t="s" s="72">
        <v>123</v>
      </c>
      <c r="AB353" t="s" s="72">
        <v>124</v>
      </c>
      <c r="AC353" t="s" s="72">
        <v>124</v>
      </c>
      <c r="AD353" t="s" s="75">
        <v>125</v>
      </c>
      <c r="AE353" s="67"/>
    </row>
    <row r="354" ht="15" customHeight="1">
      <c r="A354" t="s" s="86">
        <v>30</v>
      </c>
      <c r="B354" s="76">
        <v>51.8</v>
      </c>
      <c r="C354" t="b" s="77">
        <v>0</v>
      </c>
      <c r="D354" s="78"/>
      <c r="E354" t="s" s="79">
        <v>808</v>
      </c>
      <c r="F354" t="s" s="79">
        <v>127</v>
      </c>
      <c r="G354" s="80">
        <v>24</v>
      </c>
      <c r="H354" t="s" s="79">
        <v>809</v>
      </c>
      <c r="I354" t="s" s="79">
        <v>809</v>
      </c>
      <c r="J354" s="80">
        <v>26</v>
      </c>
      <c r="K354" t="s" s="79">
        <v>810</v>
      </c>
      <c r="L354" t="s" s="79">
        <v>121</v>
      </c>
      <c r="M354" s="78"/>
      <c r="N354" s="78"/>
      <c r="O354" s="78"/>
      <c r="P354" s="80">
        <v>1</v>
      </c>
      <c r="Q354" s="81">
        <v>5.5</v>
      </c>
      <c r="R354" s="81">
        <v>5.5</v>
      </c>
      <c r="S354" s="80">
        <v>0</v>
      </c>
      <c r="T354" s="80">
        <v>0</v>
      </c>
      <c r="U354" t="s" s="79">
        <v>122</v>
      </c>
      <c r="V354" s="80">
        <v>31</v>
      </c>
      <c r="W354" s="81">
        <v>5.84</v>
      </c>
      <c r="X354" s="81">
        <v>5.98</v>
      </c>
      <c r="Y354" s="80">
        <v>1</v>
      </c>
      <c r="Z354" s="80">
        <v>3</v>
      </c>
      <c r="AA354" t="s" s="79">
        <v>123</v>
      </c>
      <c r="AB354" t="s" s="79">
        <v>124</v>
      </c>
      <c r="AC354" t="s" s="79">
        <v>124</v>
      </c>
      <c r="AD354" t="s" s="82">
        <v>125</v>
      </c>
      <c r="AE354" s="67"/>
    </row>
    <row r="355" ht="15" customHeight="1">
      <c r="A355" t="s" s="86">
        <v>30</v>
      </c>
      <c r="B355" s="69">
        <v>51.8</v>
      </c>
      <c r="C355" t="b" s="70">
        <v>0</v>
      </c>
      <c r="D355" s="71"/>
      <c r="E355" t="s" s="72">
        <v>811</v>
      </c>
      <c r="F355" t="s" s="72">
        <v>193</v>
      </c>
      <c r="G355" s="73">
        <v>20</v>
      </c>
      <c r="H355" t="s" s="72">
        <v>164</v>
      </c>
      <c r="I355" t="s" s="72">
        <v>164</v>
      </c>
      <c r="J355" s="73">
        <v>23</v>
      </c>
      <c r="K355" t="s" s="72">
        <v>128</v>
      </c>
      <c r="L355" t="s" s="72">
        <v>121</v>
      </c>
      <c r="M355" s="71"/>
      <c r="N355" s="71"/>
      <c r="O355" s="71"/>
      <c r="P355" s="73">
        <v>0</v>
      </c>
      <c r="Q355" s="74">
        <v>0</v>
      </c>
      <c r="R355" s="74">
        <v>0</v>
      </c>
      <c r="S355" s="73">
        <v>0</v>
      </c>
      <c r="T355" s="73">
        <v>0</v>
      </c>
      <c r="U355" t="s" s="72">
        <v>122</v>
      </c>
      <c r="V355" s="73">
        <v>22</v>
      </c>
      <c r="W355" s="74">
        <v>5.75</v>
      </c>
      <c r="X355" s="74">
        <v>6</v>
      </c>
      <c r="Y355" s="73">
        <v>2</v>
      </c>
      <c r="Z355" s="73">
        <v>0</v>
      </c>
      <c r="AA355" t="s" s="72">
        <v>123</v>
      </c>
      <c r="AB355" t="s" s="72">
        <v>124</v>
      </c>
      <c r="AC355" t="s" s="72">
        <v>124</v>
      </c>
      <c r="AD355" t="s" s="75">
        <v>125</v>
      </c>
      <c r="AE355" s="67"/>
    </row>
    <row r="356" ht="15" customHeight="1">
      <c r="A356" t="s" s="86">
        <v>30</v>
      </c>
      <c r="B356" s="76">
        <v>51.7</v>
      </c>
      <c r="C356" t="b" s="77">
        <v>0</v>
      </c>
      <c r="D356" s="78"/>
      <c r="E356" t="s" s="79">
        <v>812</v>
      </c>
      <c r="F356" t="s" s="79">
        <v>163</v>
      </c>
      <c r="G356" s="80">
        <v>23</v>
      </c>
      <c r="H356" t="s" s="79">
        <v>175</v>
      </c>
      <c r="I356" t="s" s="79">
        <v>813</v>
      </c>
      <c r="J356" s="80">
        <v>22</v>
      </c>
      <c r="K356" t="s" s="79">
        <v>814</v>
      </c>
      <c r="L356" t="s" s="79">
        <v>154</v>
      </c>
      <c r="M356" s="78"/>
      <c r="N356" t="s" s="79">
        <v>311</v>
      </c>
      <c r="O356" s="78"/>
      <c r="P356" s="80">
        <v>2</v>
      </c>
      <c r="Q356" s="81">
        <v>5.25</v>
      </c>
      <c r="R356" s="81">
        <v>5.5</v>
      </c>
      <c r="S356" s="80">
        <v>0</v>
      </c>
      <c r="T356" s="80">
        <v>1</v>
      </c>
      <c r="U356" t="s" s="79">
        <v>122</v>
      </c>
      <c r="V356" s="80">
        <v>28</v>
      </c>
      <c r="W356" s="81">
        <v>5.82</v>
      </c>
      <c r="X356" s="81">
        <v>5.77</v>
      </c>
      <c r="Y356" s="80">
        <v>0</v>
      </c>
      <c r="Z356" s="80">
        <v>1</v>
      </c>
      <c r="AA356" t="s" s="79">
        <v>123</v>
      </c>
      <c r="AB356" t="s" s="79">
        <v>124</v>
      </c>
      <c r="AC356" t="s" s="79">
        <v>124</v>
      </c>
      <c r="AD356" t="s" s="82">
        <v>125</v>
      </c>
      <c r="AE356" s="67"/>
    </row>
    <row r="357" ht="15" customHeight="1">
      <c r="A357" t="s" s="86">
        <v>30</v>
      </c>
      <c r="B357" s="69">
        <v>51.3</v>
      </c>
      <c r="C357" t="b" s="70">
        <v>0</v>
      </c>
      <c r="D357" s="71"/>
      <c r="E357" t="s" s="72">
        <v>815</v>
      </c>
      <c r="F357" t="s" s="72">
        <v>163</v>
      </c>
      <c r="G357" s="73">
        <v>27</v>
      </c>
      <c r="H357" t="s" s="72">
        <v>175</v>
      </c>
      <c r="I357" t="s" s="72">
        <v>816</v>
      </c>
      <c r="J357" s="73">
        <v>23</v>
      </c>
      <c r="K357" t="s" s="72">
        <v>128</v>
      </c>
      <c r="L357" t="s" s="72">
        <v>121</v>
      </c>
      <c r="M357" s="71"/>
      <c r="N357" s="71"/>
      <c r="O357" t="s" s="88">
        <v>268</v>
      </c>
      <c r="P357" s="73">
        <v>1</v>
      </c>
      <c r="Q357" s="74">
        <v>5</v>
      </c>
      <c r="R357" s="74">
        <v>5</v>
      </c>
      <c r="S357" s="73">
        <v>0</v>
      </c>
      <c r="T357" s="73">
        <v>0</v>
      </c>
      <c r="U357" t="s" s="72">
        <v>122</v>
      </c>
      <c r="V357" s="73">
        <v>32</v>
      </c>
      <c r="W357" s="74">
        <v>6.03</v>
      </c>
      <c r="X357" s="74">
        <v>6.52</v>
      </c>
      <c r="Y357" s="73">
        <v>6</v>
      </c>
      <c r="Z357" s="73">
        <v>0</v>
      </c>
      <c r="AA357" t="s" s="72">
        <v>123</v>
      </c>
      <c r="AB357" t="s" s="72">
        <v>124</v>
      </c>
      <c r="AC357" t="s" s="72">
        <v>124</v>
      </c>
      <c r="AD357" t="s" s="75">
        <v>125</v>
      </c>
      <c r="AE357" s="67"/>
    </row>
    <row r="358" ht="15" customHeight="1">
      <c r="A358" t="s" s="86">
        <v>30</v>
      </c>
      <c r="B358" s="76">
        <v>51.2</v>
      </c>
      <c r="C358" t="b" s="77">
        <v>0</v>
      </c>
      <c r="D358" s="78"/>
      <c r="E358" t="s" s="79">
        <v>817</v>
      </c>
      <c r="F358" t="s" s="79">
        <v>159</v>
      </c>
      <c r="G358" s="80">
        <v>23</v>
      </c>
      <c r="H358" t="s" s="79">
        <v>175</v>
      </c>
      <c r="I358" t="s" s="79">
        <v>175</v>
      </c>
      <c r="J358" s="80">
        <v>28</v>
      </c>
      <c r="K358" t="s" s="79">
        <v>145</v>
      </c>
      <c r="L358" t="s" s="79">
        <v>121</v>
      </c>
      <c r="M358" s="78"/>
      <c r="N358" s="78"/>
      <c r="O358" s="78"/>
      <c r="P358" s="80">
        <v>2</v>
      </c>
      <c r="Q358" s="81">
        <v>6.25</v>
      </c>
      <c r="R358" s="81">
        <v>7.5</v>
      </c>
      <c r="S358" s="80">
        <v>1</v>
      </c>
      <c r="T358" s="80">
        <v>0</v>
      </c>
      <c r="U358" t="s" s="79">
        <v>122</v>
      </c>
      <c r="V358" s="80">
        <v>31</v>
      </c>
      <c r="W358" s="81">
        <v>5.84</v>
      </c>
      <c r="X358" s="81">
        <v>5.9</v>
      </c>
      <c r="Y358" s="80">
        <v>1</v>
      </c>
      <c r="Z358" s="80">
        <v>0</v>
      </c>
      <c r="AA358" t="s" s="79">
        <v>123</v>
      </c>
      <c r="AB358" t="s" s="79">
        <v>124</v>
      </c>
      <c r="AC358" t="s" s="79">
        <v>124</v>
      </c>
      <c r="AD358" t="s" s="82">
        <v>125</v>
      </c>
      <c r="AE358" s="67"/>
    </row>
    <row r="359" ht="15" customHeight="1">
      <c r="A359" t="s" s="86">
        <v>30</v>
      </c>
      <c r="B359" s="69">
        <v>50.3</v>
      </c>
      <c r="C359" t="b" s="70">
        <v>0</v>
      </c>
      <c r="D359" t="s" s="84">
        <v>191</v>
      </c>
      <c r="E359" t="s" s="72">
        <v>818</v>
      </c>
      <c r="F359" t="s" s="72">
        <v>183</v>
      </c>
      <c r="G359" s="73">
        <v>17</v>
      </c>
      <c r="H359" t="s" s="72">
        <v>118</v>
      </c>
      <c r="I359" t="s" s="72">
        <v>745</v>
      </c>
      <c r="J359" s="73">
        <v>29</v>
      </c>
      <c r="K359" t="s" s="72">
        <v>136</v>
      </c>
      <c r="L359" t="s" s="72">
        <v>154</v>
      </c>
      <c r="M359" s="71"/>
      <c r="N359" t="s" s="72">
        <v>311</v>
      </c>
      <c r="O359" s="71"/>
      <c r="P359" s="73">
        <v>2</v>
      </c>
      <c r="Q359" s="74">
        <v>5.75</v>
      </c>
      <c r="R359" s="74">
        <v>5.5</v>
      </c>
      <c r="S359" s="73">
        <v>0</v>
      </c>
      <c r="T359" s="73">
        <v>0</v>
      </c>
      <c r="U359" t="s" s="72">
        <v>122</v>
      </c>
      <c r="V359" s="71"/>
      <c r="W359" s="71"/>
      <c r="X359" s="71"/>
      <c r="Y359" s="71"/>
      <c r="Z359" s="71"/>
      <c r="AA359" s="71"/>
      <c r="AB359" t="s" s="72">
        <v>124</v>
      </c>
      <c r="AC359" t="s" s="72">
        <v>124</v>
      </c>
      <c r="AD359" t="s" s="75">
        <v>125</v>
      </c>
      <c r="AE359" s="67"/>
    </row>
    <row r="360" ht="15" customHeight="1">
      <c r="A360" t="s" s="86">
        <v>30</v>
      </c>
      <c r="B360" s="76">
        <v>50.1</v>
      </c>
      <c r="C360" t="b" s="77">
        <v>0</v>
      </c>
      <c r="D360" s="78"/>
      <c r="E360" t="s" s="79">
        <v>819</v>
      </c>
      <c r="F360" t="s" s="79">
        <v>141</v>
      </c>
      <c r="G360" s="80">
        <v>23</v>
      </c>
      <c r="H360" t="s" s="79">
        <v>175</v>
      </c>
      <c r="I360" t="s" s="79">
        <v>175</v>
      </c>
      <c r="J360" s="80">
        <v>25</v>
      </c>
      <c r="K360" t="s" s="79">
        <v>128</v>
      </c>
      <c r="L360" t="s" s="79">
        <v>121</v>
      </c>
      <c r="M360" s="78"/>
      <c r="N360" s="78"/>
      <c r="O360" s="78"/>
      <c r="P360" s="80">
        <v>1</v>
      </c>
      <c r="Q360" s="81">
        <v>6</v>
      </c>
      <c r="R360" s="81">
        <v>6</v>
      </c>
      <c r="S360" s="80">
        <v>0</v>
      </c>
      <c r="T360" s="80">
        <v>0</v>
      </c>
      <c r="U360" t="s" s="79">
        <v>122</v>
      </c>
      <c r="V360" s="80">
        <v>29</v>
      </c>
      <c r="W360" s="81">
        <v>5.98</v>
      </c>
      <c r="X360" s="81">
        <v>6.16</v>
      </c>
      <c r="Y360" s="80">
        <v>1</v>
      </c>
      <c r="Z360" s="80">
        <v>3</v>
      </c>
      <c r="AA360" t="s" s="79">
        <v>123</v>
      </c>
      <c r="AB360" t="s" s="79">
        <v>124</v>
      </c>
      <c r="AC360" t="s" s="79">
        <v>124</v>
      </c>
      <c r="AD360" t="s" s="82">
        <v>125</v>
      </c>
      <c r="AE360" s="67"/>
    </row>
    <row r="361" ht="15" customHeight="1">
      <c r="A361" t="s" s="86">
        <v>30</v>
      </c>
      <c r="B361" s="69">
        <v>50</v>
      </c>
      <c r="C361" t="b" s="70">
        <v>0</v>
      </c>
      <c r="D361" s="71"/>
      <c r="E361" t="s" s="72">
        <v>820</v>
      </c>
      <c r="F361" t="s" s="72">
        <v>168</v>
      </c>
      <c r="G361" s="73">
        <v>21</v>
      </c>
      <c r="H361" t="s" s="72">
        <v>175</v>
      </c>
      <c r="I361" t="s" s="72">
        <v>821</v>
      </c>
      <c r="J361" s="73">
        <v>22</v>
      </c>
      <c r="K361" t="s" s="72">
        <v>822</v>
      </c>
      <c r="L361" t="s" s="72">
        <v>121</v>
      </c>
      <c r="M361" s="71"/>
      <c r="N361" t="s" s="72">
        <v>272</v>
      </c>
      <c r="O361" s="71"/>
      <c r="P361" s="73">
        <v>0</v>
      </c>
      <c r="Q361" s="74">
        <v>0</v>
      </c>
      <c r="R361" s="74">
        <v>0</v>
      </c>
      <c r="S361" s="73">
        <v>0</v>
      </c>
      <c r="T361" s="73">
        <v>0</v>
      </c>
      <c r="U361" t="s" s="72">
        <v>122</v>
      </c>
      <c r="V361" s="73">
        <v>12</v>
      </c>
      <c r="W361" s="74">
        <v>6.25</v>
      </c>
      <c r="X361" s="74">
        <v>7</v>
      </c>
      <c r="Y361" s="73">
        <v>2</v>
      </c>
      <c r="Z361" s="73">
        <v>3</v>
      </c>
      <c r="AA361" t="s" s="72">
        <v>123</v>
      </c>
      <c r="AB361" t="s" s="72">
        <v>124</v>
      </c>
      <c r="AC361" t="s" s="72">
        <v>124</v>
      </c>
      <c r="AD361" t="s" s="75">
        <v>125</v>
      </c>
      <c r="AE361" s="67"/>
    </row>
    <row r="362" ht="15" customHeight="1">
      <c r="A362" t="s" s="86">
        <v>30</v>
      </c>
      <c r="B362" s="76">
        <v>49.8</v>
      </c>
      <c r="C362" t="b" s="77">
        <v>0</v>
      </c>
      <c r="D362" s="78"/>
      <c r="E362" t="s" s="79">
        <v>823</v>
      </c>
      <c r="F362" t="s" s="79">
        <v>138</v>
      </c>
      <c r="G362" s="80">
        <v>31</v>
      </c>
      <c r="H362" t="s" s="79">
        <v>175</v>
      </c>
      <c r="I362" t="s" s="79">
        <v>569</v>
      </c>
      <c r="J362" s="80">
        <v>23</v>
      </c>
      <c r="K362" t="s" s="79">
        <v>190</v>
      </c>
      <c r="L362" t="s" s="79">
        <v>121</v>
      </c>
      <c r="M362" s="78"/>
      <c r="N362" s="78"/>
      <c r="O362" t="s" s="88">
        <v>268</v>
      </c>
      <c r="P362" s="80">
        <v>0</v>
      </c>
      <c r="Q362" s="81">
        <v>0</v>
      </c>
      <c r="R362" s="81">
        <v>0</v>
      </c>
      <c r="S362" s="80">
        <v>0</v>
      </c>
      <c r="T362" s="80">
        <v>0</v>
      </c>
      <c r="U362" t="s" s="79">
        <v>122</v>
      </c>
      <c r="V362" s="78"/>
      <c r="W362" s="78"/>
      <c r="X362" s="78"/>
      <c r="Y362" s="78"/>
      <c r="Z362" s="78"/>
      <c r="AA362" s="78"/>
      <c r="AB362" t="s" s="79">
        <v>124</v>
      </c>
      <c r="AC362" t="s" s="79">
        <v>124</v>
      </c>
      <c r="AD362" t="s" s="82">
        <v>125</v>
      </c>
      <c r="AE362" s="67"/>
    </row>
    <row r="363" ht="15" customHeight="1">
      <c r="A363" t="s" s="86">
        <v>30</v>
      </c>
      <c r="B363" s="69">
        <v>49.5</v>
      </c>
      <c r="C363" t="b" s="70">
        <v>0</v>
      </c>
      <c r="D363" t="s" s="84">
        <v>178</v>
      </c>
      <c r="E363" t="s" s="72">
        <v>824</v>
      </c>
      <c r="F363" t="s" s="72">
        <v>170</v>
      </c>
      <c r="G363" s="73">
        <v>18</v>
      </c>
      <c r="H363" t="s" s="72">
        <v>825</v>
      </c>
      <c r="I363" t="s" s="72">
        <v>826</v>
      </c>
      <c r="J363" s="73">
        <v>20</v>
      </c>
      <c r="K363" t="s" s="72">
        <v>466</v>
      </c>
      <c r="L363" t="s" s="72">
        <v>121</v>
      </c>
      <c r="M363" s="71"/>
      <c r="N363" s="71"/>
      <c r="O363" s="71"/>
      <c r="P363" s="73">
        <v>2</v>
      </c>
      <c r="Q363" s="74">
        <v>5.5</v>
      </c>
      <c r="R363" s="74">
        <v>5.5</v>
      </c>
      <c r="S363" s="73">
        <v>0</v>
      </c>
      <c r="T363" s="73">
        <v>0</v>
      </c>
      <c r="U363" t="s" s="72">
        <v>122</v>
      </c>
      <c r="V363" s="71"/>
      <c r="W363" s="71"/>
      <c r="X363" s="71"/>
      <c r="Y363" s="71"/>
      <c r="Z363" s="71"/>
      <c r="AA363" s="71"/>
      <c r="AB363" t="s" s="72">
        <v>124</v>
      </c>
      <c r="AC363" t="s" s="72">
        <v>124</v>
      </c>
      <c r="AD363" t="s" s="75">
        <v>125</v>
      </c>
      <c r="AE363" s="67"/>
    </row>
    <row r="364" ht="15" customHeight="1">
      <c r="A364" t="s" s="86">
        <v>30</v>
      </c>
      <c r="B364" s="76">
        <v>49.1</v>
      </c>
      <c r="C364" t="b" s="77">
        <v>0</v>
      </c>
      <c r="D364" s="78"/>
      <c r="E364" t="s" s="79">
        <v>827</v>
      </c>
      <c r="F364" t="s" s="79">
        <v>156</v>
      </c>
      <c r="G364" s="80">
        <v>17</v>
      </c>
      <c r="H364" t="s" s="79">
        <v>118</v>
      </c>
      <c r="I364" t="s" s="79">
        <v>118</v>
      </c>
      <c r="J364" s="80">
        <v>24</v>
      </c>
      <c r="K364" t="s" s="79">
        <v>727</v>
      </c>
      <c r="L364" t="s" s="79">
        <v>154</v>
      </c>
      <c r="M364" s="78"/>
      <c r="N364" s="78"/>
      <c r="O364" s="78"/>
      <c r="P364" s="80">
        <v>3</v>
      </c>
      <c r="Q364" s="81">
        <v>5.5</v>
      </c>
      <c r="R364" s="81">
        <v>5.5</v>
      </c>
      <c r="S364" s="80">
        <v>0</v>
      </c>
      <c r="T364" s="80">
        <v>0</v>
      </c>
      <c r="U364" t="s" s="79">
        <v>122</v>
      </c>
      <c r="V364" s="80">
        <v>35</v>
      </c>
      <c r="W364" s="81">
        <v>5.8</v>
      </c>
      <c r="X364" s="81">
        <v>5.87</v>
      </c>
      <c r="Y364" s="80">
        <v>1</v>
      </c>
      <c r="Z364" s="80">
        <v>1</v>
      </c>
      <c r="AA364" t="s" s="79">
        <v>123</v>
      </c>
      <c r="AB364" t="s" s="79">
        <v>124</v>
      </c>
      <c r="AC364" t="s" s="79">
        <v>124</v>
      </c>
      <c r="AD364" t="s" s="82">
        <v>125</v>
      </c>
      <c r="AE364" s="67"/>
    </row>
    <row r="365" ht="15" customHeight="1">
      <c r="A365" t="s" s="86">
        <v>30</v>
      </c>
      <c r="B365" s="69">
        <v>48.7</v>
      </c>
      <c r="C365" t="b" s="70">
        <v>0</v>
      </c>
      <c r="D365" s="71"/>
      <c r="E365" t="s" s="72">
        <v>828</v>
      </c>
      <c r="F365" t="s" s="72">
        <v>130</v>
      </c>
      <c r="G365" s="73">
        <v>26</v>
      </c>
      <c r="H365" t="s" s="72">
        <v>175</v>
      </c>
      <c r="I365" t="s" s="72">
        <v>493</v>
      </c>
      <c r="J365" s="73">
        <v>22</v>
      </c>
      <c r="K365" t="s" s="72">
        <v>829</v>
      </c>
      <c r="L365" t="s" s="72">
        <v>154</v>
      </c>
      <c r="M365" s="71"/>
      <c r="N365" s="71"/>
      <c r="O365" s="71"/>
      <c r="P365" s="73">
        <v>0</v>
      </c>
      <c r="Q365" s="74">
        <v>0</v>
      </c>
      <c r="R365" s="74">
        <v>0</v>
      </c>
      <c r="S365" s="73">
        <v>0</v>
      </c>
      <c r="T365" s="73">
        <v>0</v>
      </c>
      <c r="U365" t="s" s="72">
        <v>122</v>
      </c>
      <c r="V365" s="71"/>
      <c r="W365" s="71"/>
      <c r="X365" s="71"/>
      <c r="Y365" s="71"/>
      <c r="Z365" s="71"/>
      <c r="AA365" s="71"/>
      <c r="AB365" t="s" s="72">
        <v>124</v>
      </c>
      <c r="AC365" t="s" s="72">
        <v>124</v>
      </c>
      <c r="AD365" t="s" s="75">
        <v>125</v>
      </c>
      <c r="AE365" s="67"/>
    </row>
    <row r="366" ht="15" customHeight="1">
      <c r="A366" t="s" s="86">
        <v>30</v>
      </c>
      <c r="B366" s="76">
        <v>48.6</v>
      </c>
      <c r="C366" t="b" s="77">
        <v>0</v>
      </c>
      <c r="D366" t="s" s="85">
        <v>161</v>
      </c>
      <c r="E366" t="s" s="79">
        <v>830</v>
      </c>
      <c r="F366" t="s" s="79">
        <v>138</v>
      </c>
      <c r="G366" s="80">
        <v>22</v>
      </c>
      <c r="H366" t="s" s="79">
        <v>175</v>
      </c>
      <c r="I366" t="s" s="79">
        <v>408</v>
      </c>
      <c r="J366" s="80">
        <v>28</v>
      </c>
      <c r="K366" t="s" s="79">
        <v>277</v>
      </c>
      <c r="L366" t="s" s="79">
        <v>121</v>
      </c>
      <c r="M366" s="78"/>
      <c r="N366" s="78"/>
      <c r="O366" s="78"/>
      <c r="P366" s="80">
        <v>2</v>
      </c>
      <c r="Q366" s="81">
        <v>5.75</v>
      </c>
      <c r="R366" s="81">
        <v>5.75</v>
      </c>
      <c r="S366" s="80">
        <v>0</v>
      </c>
      <c r="T366" s="80">
        <v>0</v>
      </c>
      <c r="U366" t="s" s="79">
        <v>122</v>
      </c>
      <c r="V366" s="80">
        <v>0</v>
      </c>
      <c r="W366" s="81">
        <v>0</v>
      </c>
      <c r="X366" s="81">
        <v>0</v>
      </c>
      <c r="Y366" s="80">
        <v>0</v>
      </c>
      <c r="Z366" s="80">
        <v>0</v>
      </c>
      <c r="AA366" t="s" s="79">
        <v>123</v>
      </c>
      <c r="AB366" t="s" s="79">
        <v>124</v>
      </c>
      <c r="AC366" t="s" s="79">
        <v>124</v>
      </c>
      <c r="AD366" t="s" s="82">
        <v>125</v>
      </c>
      <c r="AE366" s="67"/>
    </row>
    <row r="367" ht="15" customHeight="1">
      <c r="A367" t="s" s="86">
        <v>30</v>
      </c>
      <c r="B367" s="69">
        <v>47.4</v>
      </c>
      <c r="C367" t="b" s="70">
        <v>0</v>
      </c>
      <c r="D367" t="s" s="84">
        <v>161</v>
      </c>
      <c r="E367" t="s" s="72">
        <v>831</v>
      </c>
      <c r="F367" t="s" s="72">
        <v>134</v>
      </c>
      <c r="G367" s="73">
        <v>21</v>
      </c>
      <c r="H367" t="s" s="72">
        <v>175</v>
      </c>
      <c r="I367" t="s" s="72">
        <v>218</v>
      </c>
      <c r="J367" s="73">
        <v>23</v>
      </c>
      <c r="K367" t="s" s="72">
        <v>609</v>
      </c>
      <c r="L367" t="s" s="72">
        <v>154</v>
      </c>
      <c r="M367" s="71"/>
      <c r="N367" s="71"/>
      <c r="O367" s="71"/>
      <c r="P367" s="73">
        <v>1</v>
      </c>
      <c r="Q367" s="74">
        <v>7</v>
      </c>
      <c r="R367" s="74">
        <v>9</v>
      </c>
      <c r="S367" s="73">
        <v>0</v>
      </c>
      <c r="T367" s="73">
        <v>2</v>
      </c>
      <c r="U367" t="s" s="72">
        <v>122</v>
      </c>
      <c r="V367" s="73">
        <v>11</v>
      </c>
      <c r="W367" s="74">
        <v>6.14</v>
      </c>
      <c r="X367" s="74">
        <v>6.41</v>
      </c>
      <c r="Y367" s="73">
        <v>1</v>
      </c>
      <c r="Z367" s="73">
        <v>0</v>
      </c>
      <c r="AA367" t="s" s="72">
        <v>123</v>
      </c>
      <c r="AB367" t="s" s="72">
        <v>124</v>
      </c>
      <c r="AC367" t="s" s="72">
        <v>124</v>
      </c>
      <c r="AD367" t="s" s="75">
        <v>125</v>
      </c>
      <c r="AE367" s="67"/>
    </row>
    <row r="368" ht="15" customHeight="1">
      <c r="A368" t="s" s="86">
        <v>30</v>
      </c>
      <c r="B368" s="76">
        <v>47.4</v>
      </c>
      <c r="C368" t="b" s="77">
        <v>0</v>
      </c>
      <c r="D368" t="s" s="85">
        <v>161</v>
      </c>
      <c r="E368" t="s" s="79">
        <v>832</v>
      </c>
      <c r="F368" t="s" s="79">
        <v>180</v>
      </c>
      <c r="G368" s="80">
        <v>19</v>
      </c>
      <c r="H368" t="s" s="79">
        <v>164</v>
      </c>
      <c r="I368" t="s" s="79">
        <v>833</v>
      </c>
      <c r="J368" s="80">
        <v>26</v>
      </c>
      <c r="K368" t="s" s="79">
        <v>236</v>
      </c>
      <c r="L368" t="s" s="79">
        <v>121</v>
      </c>
      <c r="M368" s="78"/>
      <c r="N368" t="s" s="79">
        <v>272</v>
      </c>
      <c r="O368" t="s" s="88">
        <v>834</v>
      </c>
      <c r="P368" s="80">
        <v>2</v>
      </c>
      <c r="Q368" s="81">
        <v>5.75</v>
      </c>
      <c r="R368" s="81">
        <v>5.5</v>
      </c>
      <c r="S368" s="80">
        <v>0</v>
      </c>
      <c r="T368" s="80">
        <v>0</v>
      </c>
      <c r="U368" t="s" s="79">
        <v>122</v>
      </c>
      <c r="V368" s="78"/>
      <c r="W368" s="78"/>
      <c r="X368" s="78"/>
      <c r="Y368" s="78"/>
      <c r="Z368" s="78"/>
      <c r="AA368" s="78"/>
      <c r="AB368" t="s" s="79">
        <v>124</v>
      </c>
      <c r="AC368" t="s" s="79">
        <v>124</v>
      </c>
      <c r="AD368" t="s" s="82">
        <v>125</v>
      </c>
      <c r="AE368" s="67"/>
    </row>
    <row r="369" ht="15" customHeight="1">
      <c r="A369" t="s" s="86">
        <v>30</v>
      </c>
      <c r="B369" s="69">
        <v>47</v>
      </c>
      <c r="C369" t="b" s="70">
        <v>0</v>
      </c>
      <c r="D369" t="s" s="84">
        <v>191</v>
      </c>
      <c r="E369" t="s" s="72">
        <v>835</v>
      </c>
      <c r="F369" t="s" s="72">
        <v>187</v>
      </c>
      <c r="G369" s="73">
        <v>20</v>
      </c>
      <c r="H369" t="s" s="72">
        <v>175</v>
      </c>
      <c r="I369" t="s" s="72">
        <v>836</v>
      </c>
      <c r="J369" s="73">
        <v>27</v>
      </c>
      <c r="K369" t="s" s="72">
        <v>128</v>
      </c>
      <c r="L369" t="s" s="72">
        <v>154</v>
      </c>
      <c r="M369" s="71"/>
      <c r="N369" t="s" s="72">
        <v>272</v>
      </c>
      <c r="O369" s="71"/>
      <c r="P369" s="73">
        <v>2</v>
      </c>
      <c r="Q369" s="74">
        <v>5.75</v>
      </c>
      <c r="R369" s="74">
        <v>7.25</v>
      </c>
      <c r="S369" s="73">
        <v>1</v>
      </c>
      <c r="T369" s="73">
        <v>0</v>
      </c>
      <c r="U369" t="s" s="72">
        <v>122</v>
      </c>
      <c r="V369" s="71"/>
      <c r="W369" s="71"/>
      <c r="X369" s="71"/>
      <c r="Y369" s="71"/>
      <c r="Z369" s="71"/>
      <c r="AA369" s="71"/>
      <c r="AB369" t="s" s="72">
        <v>124</v>
      </c>
      <c r="AC369" t="s" s="72">
        <v>124</v>
      </c>
      <c r="AD369" t="s" s="75">
        <v>125</v>
      </c>
      <c r="AE369" s="67"/>
    </row>
    <row r="370" ht="15" customHeight="1">
      <c r="A370" t="s" s="86">
        <v>30</v>
      </c>
      <c r="B370" s="76">
        <v>46.6</v>
      </c>
      <c r="C370" t="b" s="77">
        <v>0</v>
      </c>
      <c r="D370" t="s" s="85">
        <v>161</v>
      </c>
      <c r="E370" t="s" s="79">
        <v>837</v>
      </c>
      <c r="F370" t="s" s="79">
        <v>187</v>
      </c>
      <c r="G370" s="80">
        <v>16</v>
      </c>
      <c r="H370" t="s" s="79">
        <v>164</v>
      </c>
      <c r="I370" t="s" s="79">
        <v>838</v>
      </c>
      <c r="J370" s="80">
        <v>28</v>
      </c>
      <c r="K370" t="s" s="79">
        <v>437</v>
      </c>
      <c r="L370" t="s" s="79">
        <v>121</v>
      </c>
      <c r="M370" s="78"/>
      <c r="N370" s="78"/>
      <c r="O370" s="78"/>
      <c r="P370" s="80">
        <v>1</v>
      </c>
      <c r="Q370" s="81">
        <v>6</v>
      </c>
      <c r="R370" s="81">
        <v>6</v>
      </c>
      <c r="S370" s="80">
        <v>0</v>
      </c>
      <c r="T370" s="80">
        <v>0</v>
      </c>
      <c r="U370" t="s" s="79">
        <v>122</v>
      </c>
      <c r="V370" s="80">
        <v>26</v>
      </c>
      <c r="W370" s="81">
        <v>5.92</v>
      </c>
      <c r="X370" s="81">
        <v>6.1</v>
      </c>
      <c r="Y370" s="80">
        <v>2</v>
      </c>
      <c r="Z370" s="80">
        <v>0</v>
      </c>
      <c r="AA370" t="s" s="79">
        <v>123</v>
      </c>
      <c r="AB370" t="s" s="79">
        <v>124</v>
      </c>
      <c r="AC370" t="s" s="79">
        <v>124</v>
      </c>
      <c r="AD370" t="s" s="82">
        <v>125</v>
      </c>
      <c r="AE370" s="67"/>
    </row>
    <row r="371" ht="15" customHeight="1">
      <c r="A371" t="s" s="86">
        <v>30</v>
      </c>
      <c r="B371" s="69">
        <v>46.5</v>
      </c>
      <c r="C371" t="b" s="70">
        <v>0</v>
      </c>
      <c r="D371" s="71"/>
      <c r="E371" t="s" s="72">
        <v>839</v>
      </c>
      <c r="F371" t="s" s="72">
        <v>147</v>
      </c>
      <c r="G371" s="73">
        <v>21</v>
      </c>
      <c r="H371" t="s" s="72">
        <v>175</v>
      </c>
      <c r="I371" t="s" s="72">
        <v>175</v>
      </c>
      <c r="J371" s="73">
        <v>24</v>
      </c>
      <c r="K371" t="s" s="72">
        <v>840</v>
      </c>
      <c r="L371" t="s" s="72">
        <v>121</v>
      </c>
      <c r="M371" s="71"/>
      <c r="N371" s="71"/>
      <c r="O371" s="71"/>
      <c r="P371" s="73">
        <v>1</v>
      </c>
      <c r="Q371" s="74">
        <v>6</v>
      </c>
      <c r="R371" s="74">
        <v>6</v>
      </c>
      <c r="S371" s="73">
        <v>0</v>
      </c>
      <c r="T371" s="73">
        <v>0</v>
      </c>
      <c r="U371" t="s" s="72">
        <v>122</v>
      </c>
      <c r="V371" s="73">
        <v>24</v>
      </c>
      <c r="W371" s="74">
        <v>5.92</v>
      </c>
      <c r="X371" s="74">
        <v>6.15</v>
      </c>
      <c r="Y371" s="73">
        <v>2</v>
      </c>
      <c r="Z371" s="73">
        <v>1</v>
      </c>
      <c r="AA371" t="s" s="72">
        <v>123</v>
      </c>
      <c r="AB371" t="s" s="72">
        <v>124</v>
      </c>
      <c r="AC371" t="s" s="72">
        <v>124</v>
      </c>
      <c r="AD371" t="s" s="75">
        <v>125</v>
      </c>
      <c r="AE371" s="67"/>
    </row>
    <row r="372" ht="15" customHeight="1">
      <c r="A372" t="s" s="86">
        <v>30</v>
      </c>
      <c r="B372" s="76">
        <v>46.4</v>
      </c>
      <c r="C372" t="b" s="77">
        <v>0</v>
      </c>
      <c r="D372" s="78"/>
      <c r="E372" t="s" s="79">
        <v>841</v>
      </c>
      <c r="F372" t="s" s="79">
        <v>168</v>
      </c>
      <c r="G372" s="80">
        <v>19</v>
      </c>
      <c r="H372" t="s" s="79">
        <v>164</v>
      </c>
      <c r="I372" t="s" s="79">
        <v>401</v>
      </c>
      <c r="J372" s="80">
        <v>27</v>
      </c>
      <c r="K372" t="s" s="79">
        <v>842</v>
      </c>
      <c r="L372" t="s" s="79">
        <v>121</v>
      </c>
      <c r="M372" s="78"/>
      <c r="N372" s="78"/>
      <c r="O372" s="78"/>
      <c r="P372" s="80">
        <v>0</v>
      </c>
      <c r="Q372" s="81">
        <v>0</v>
      </c>
      <c r="R372" s="81">
        <v>0</v>
      </c>
      <c r="S372" s="80">
        <v>0</v>
      </c>
      <c r="T372" s="80">
        <v>0</v>
      </c>
      <c r="U372" t="s" s="79">
        <v>122</v>
      </c>
      <c r="V372" s="78"/>
      <c r="W372" s="78"/>
      <c r="X372" s="78"/>
      <c r="Y372" s="78"/>
      <c r="Z372" s="78"/>
      <c r="AA372" s="78"/>
      <c r="AB372" t="s" s="79">
        <v>124</v>
      </c>
      <c r="AC372" t="s" s="79">
        <v>124</v>
      </c>
      <c r="AD372" t="s" s="82">
        <v>125</v>
      </c>
      <c r="AE372" s="67"/>
    </row>
    <row r="373" ht="15" customHeight="1">
      <c r="A373" t="s" s="86">
        <v>30</v>
      </c>
      <c r="B373" s="69">
        <v>44.9</v>
      </c>
      <c r="C373" t="b" s="70">
        <v>0</v>
      </c>
      <c r="D373" s="71"/>
      <c r="E373" t="s" s="72">
        <v>843</v>
      </c>
      <c r="F373" t="s" s="72">
        <v>141</v>
      </c>
      <c r="G373" s="73">
        <v>21</v>
      </c>
      <c r="H373" t="s" s="72">
        <v>844</v>
      </c>
      <c r="I373" t="s" s="72">
        <v>845</v>
      </c>
      <c r="J373" s="73">
        <v>31</v>
      </c>
      <c r="K373" t="s" s="72">
        <v>136</v>
      </c>
      <c r="L373" t="s" s="72">
        <v>121</v>
      </c>
      <c r="M373" s="71"/>
      <c r="N373" s="71"/>
      <c r="O373" s="71"/>
      <c r="P373" s="73">
        <v>2</v>
      </c>
      <c r="Q373" s="74">
        <v>6.75</v>
      </c>
      <c r="R373" s="74">
        <v>6.75</v>
      </c>
      <c r="S373" s="73">
        <v>0</v>
      </c>
      <c r="T373" s="73">
        <v>0</v>
      </c>
      <c r="U373" t="s" s="72">
        <v>122</v>
      </c>
      <c r="V373" s="71"/>
      <c r="W373" s="71"/>
      <c r="X373" s="71"/>
      <c r="Y373" s="71"/>
      <c r="Z373" s="71"/>
      <c r="AA373" s="71"/>
      <c r="AB373" t="s" s="72">
        <v>124</v>
      </c>
      <c r="AC373" t="s" s="72">
        <v>124</v>
      </c>
      <c r="AD373" t="s" s="75">
        <v>125</v>
      </c>
      <c r="AE373" s="67"/>
    </row>
    <row r="374" ht="15" customHeight="1">
      <c r="A374" t="s" s="86">
        <v>30</v>
      </c>
      <c r="B374" s="76">
        <v>44.9</v>
      </c>
      <c r="C374" t="b" s="77">
        <v>0</v>
      </c>
      <c r="D374" s="78"/>
      <c r="E374" t="s" s="79">
        <v>846</v>
      </c>
      <c r="F374" t="s" s="79">
        <v>170</v>
      </c>
      <c r="G374" s="80">
        <v>20</v>
      </c>
      <c r="H374" t="s" s="79">
        <v>175</v>
      </c>
      <c r="I374" t="s" s="79">
        <v>175</v>
      </c>
      <c r="J374" s="80">
        <v>26</v>
      </c>
      <c r="K374" t="s" s="79">
        <v>128</v>
      </c>
      <c r="L374" t="s" s="79">
        <v>154</v>
      </c>
      <c r="M374" s="78"/>
      <c r="N374" s="78"/>
      <c r="O374" s="78"/>
      <c r="P374" s="80">
        <v>2</v>
      </c>
      <c r="Q374" s="81">
        <v>5.25</v>
      </c>
      <c r="R374" s="81">
        <v>5.25</v>
      </c>
      <c r="S374" s="80">
        <v>0</v>
      </c>
      <c r="T374" s="80">
        <v>0</v>
      </c>
      <c r="U374" t="s" s="79">
        <v>122</v>
      </c>
      <c r="V374" s="80">
        <v>19</v>
      </c>
      <c r="W374" s="81">
        <v>5.95</v>
      </c>
      <c r="X374" s="81">
        <v>6.26</v>
      </c>
      <c r="Y374" s="80">
        <v>2</v>
      </c>
      <c r="Z374" s="80">
        <v>1</v>
      </c>
      <c r="AA374" t="s" s="79">
        <v>123</v>
      </c>
      <c r="AB374" t="s" s="79">
        <v>124</v>
      </c>
      <c r="AC374" t="s" s="79">
        <v>124</v>
      </c>
      <c r="AD374" t="s" s="82">
        <v>125</v>
      </c>
      <c r="AE374" s="67"/>
    </row>
    <row r="375" ht="15" customHeight="1">
      <c r="A375" t="s" s="86">
        <v>30</v>
      </c>
      <c r="B375" s="69">
        <v>44.9</v>
      </c>
      <c r="C375" t="b" s="70">
        <v>0</v>
      </c>
      <c r="D375" s="71"/>
      <c r="E375" t="s" s="72">
        <v>847</v>
      </c>
      <c r="F375" t="s" s="72">
        <v>144</v>
      </c>
      <c r="G375" s="73">
        <v>23</v>
      </c>
      <c r="H375" t="s" s="72">
        <v>175</v>
      </c>
      <c r="I375" t="s" s="72">
        <v>493</v>
      </c>
      <c r="J375" s="73">
        <v>22</v>
      </c>
      <c r="K375" t="s" s="72">
        <v>435</v>
      </c>
      <c r="L375" t="s" s="72">
        <v>121</v>
      </c>
      <c r="M375" s="71"/>
      <c r="N375" s="71"/>
      <c r="O375" s="71"/>
      <c r="P375" s="73">
        <v>0</v>
      </c>
      <c r="Q375" s="74">
        <v>0</v>
      </c>
      <c r="R375" s="74">
        <v>0</v>
      </c>
      <c r="S375" s="73">
        <v>0</v>
      </c>
      <c r="T375" s="73">
        <v>0</v>
      </c>
      <c r="U375" t="s" s="72">
        <v>122</v>
      </c>
      <c r="V375" s="71"/>
      <c r="W375" s="71"/>
      <c r="X375" s="71"/>
      <c r="Y375" s="71"/>
      <c r="Z375" s="71"/>
      <c r="AA375" s="71"/>
      <c r="AB375" t="s" s="72">
        <v>124</v>
      </c>
      <c r="AC375" t="s" s="72">
        <v>124</v>
      </c>
      <c r="AD375" t="s" s="75">
        <v>125</v>
      </c>
      <c r="AE375" s="67"/>
    </row>
    <row r="376" ht="15" customHeight="1">
      <c r="A376" t="s" s="87">
        <v>32</v>
      </c>
      <c r="B376" s="76">
        <v>44.7</v>
      </c>
      <c r="C376" t="b" s="77">
        <v>0</v>
      </c>
      <c r="D376" s="78"/>
      <c r="E376" t="s" s="79">
        <v>848</v>
      </c>
      <c r="F376" t="s" s="79">
        <v>130</v>
      </c>
      <c r="G376" s="80">
        <v>16</v>
      </c>
      <c r="H376" t="s" s="79">
        <v>118</v>
      </c>
      <c r="I376" t="s" s="79">
        <v>118</v>
      </c>
      <c r="J376" s="80">
        <v>24</v>
      </c>
      <c r="K376" t="s" s="79">
        <v>849</v>
      </c>
      <c r="L376" t="s" s="79">
        <v>154</v>
      </c>
      <c r="M376" s="78"/>
      <c r="N376" s="78"/>
      <c r="O376" s="78"/>
      <c r="P376" s="80">
        <v>2</v>
      </c>
      <c r="Q376" s="81">
        <v>6</v>
      </c>
      <c r="R376" s="81">
        <v>6</v>
      </c>
      <c r="S376" s="80">
        <v>0</v>
      </c>
      <c r="T376" s="80">
        <v>0</v>
      </c>
      <c r="U376" t="s" s="79">
        <v>122</v>
      </c>
      <c r="V376" s="80">
        <v>12</v>
      </c>
      <c r="W376" s="81">
        <v>5.67</v>
      </c>
      <c r="X376" s="81">
        <v>5.75</v>
      </c>
      <c r="Y376" s="80">
        <v>0</v>
      </c>
      <c r="Z376" s="80">
        <v>1</v>
      </c>
      <c r="AA376" t="s" s="79">
        <v>123</v>
      </c>
      <c r="AB376" t="s" s="79">
        <v>124</v>
      </c>
      <c r="AC376" t="s" s="79">
        <v>124</v>
      </c>
      <c r="AD376" t="s" s="82">
        <v>125</v>
      </c>
      <c r="AE376" s="67"/>
    </row>
    <row r="377" ht="15" customHeight="1">
      <c r="A377" t="s" s="87">
        <v>32</v>
      </c>
      <c r="B377" s="69">
        <v>44.1</v>
      </c>
      <c r="C377" t="b" s="70">
        <v>0</v>
      </c>
      <c r="D377" t="s" s="84">
        <v>161</v>
      </c>
      <c r="E377" t="s" s="72">
        <v>850</v>
      </c>
      <c r="F377" t="s" s="72">
        <v>170</v>
      </c>
      <c r="G377" s="73">
        <v>15</v>
      </c>
      <c r="H377" t="s" s="72">
        <v>118</v>
      </c>
      <c r="I377" t="s" s="72">
        <v>308</v>
      </c>
      <c r="J377" s="73">
        <v>22</v>
      </c>
      <c r="K377" t="s" s="72">
        <v>851</v>
      </c>
      <c r="L377" t="s" s="72">
        <v>328</v>
      </c>
      <c r="M377" s="71"/>
      <c r="N377" s="71"/>
      <c r="O377" s="71"/>
      <c r="P377" s="73">
        <v>2</v>
      </c>
      <c r="Q377" s="74">
        <v>5</v>
      </c>
      <c r="R377" s="74">
        <v>5</v>
      </c>
      <c r="S377" s="73">
        <v>0</v>
      </c>
      <c r="T377" s="73">
        <v>0</v>
      </c>
      <c r="U377" t="s" s="72">
        <v>122</v>
      </c>
      <c r="V377" s="73">
        <v>30</v>
      </c>
      <c r="W377" s="74">
        <v>5.72</v>
      </c>
      <c r="X377" s="74">
        <v>5.98</v>
      </c>
      <c r="Y377" s="73">
        <v>3</v>
      </c>
      <c r="Z377" s="73">
        <v>0</v>
      </c>
      <c r="AA377" t="s" s="72">
        <v>123</v>
      </c>
      <c r="AB377" t="s" s="72">
        <v>124</v>
      </c>
      <c r="AC377" t="s" s="72">
        <v>124</v>
      </c>
      <c r="AD377" t="s" s="75">
        <v>125</v>
      </c>
      <c r="AE377" s="67"/>
    </row>
    <row r="378" ht="15" customHeight="1">
      <c r="A378" t="s" s="87">
        <v>32</v>
      </c>
      <c r="B378" s="76">
        <v>43.6</v>
      </c>
      <c r="C378" t="b" s="77">
        <v>0</v>
      </c>
      <c r="D378" s="78"/>
      <c r="E378" t="s" s="79">
        <v>852</v>
      </c>
      <c r="F378" t="s" s="79">
        <v>163</v>
      </c>
      <c r="G378" s="80">
        <v>22</v>
      </c>
      <c r="H378" t="s" s="79">
        <v>175</v>
      </c>
      <c r="I378" t="s" s="79">
        <v>445</v>
      </c>
      <c r="J378" s="80">
        <v>27</v>
      </c>
      <c r="K378" t="s" s="79">
        <v>325</v>
      </c>
      <c r="L378" t="s" s="79">
        <v>154</v>
      </c>
      <c r="M378" s="78"/>
      <c r="N378" s="78"/>
      <c r="O378" s="78"/>
      <c r="P378" s="80">
        <v>0</v>
      </c>
      <c r="Q378" s="81">
        <v>0</v>
      </c>
      <c r="R378" s="81">
        <v>0</v>
      </c>
      <c r="S378" s="80">
        <v>0</v>
      </c>
      <c r="T378" s="80">
        <v>0</v>
      </c>
      <c r="U378" t="s" s="79">
        <v>122</v>
      </c>
      <c r="V378" s="78"/>
      <c r="W378" s="78"/>
      <c r="X378" s="78"/>
      <c r="Y378" s="78"/>
      <c r="Z378" s="78"/>
      <c r="AA378" s="78"/>
      <c r="AB378" t="s" s="79">
        <v>124</v>
      </c>
      <c r="AC378" t="s" s="79">
        <v>124</v>
      </c>
      <c r="AD378" t="s" s="82">
        <v>125</v>
      </c>
      <c r="AE378" s="67"/>
    </row>
    <row r="379" ht="15" customHeight="1">
      <c r="A379" t="s" s="87">
        <v>32</v>
      </c>
      <c r="B379" s="69">
        <v>42.6</v>
      </c>
      <c r="C379" t="b" s="70">
        <v>0</v>
      </c>
      <c r="D379" t="s" s="84">
        <v>161</v>
      </c>
      <c r="E379" t="s" s="72">
        <v>853</v>
      </c>
      <c r="F379" t="s" s="72">
        <v>159</v>
      </c>
      <c r="G379" s="73">
        <v>15</v>
      </c>
      <c r="H379" t="s" s="72">
        <v>118</v>
      </c>
      <c r="I379" t="s" s="72">
        <v>308</v>
      </c>
      <c r="J379" s="73">
        <v>20</v>
      </c>
      <c r="K379" t="s" s="72">
        <v>484</v>
      </c>
      <c r="L379" t="s" s="72">
        <v>121</v>
      </c>
      <c r="M379" s="71"/>
      <c r="N379" s="71"/>
      <c r="O379" s="71"/>
      <c r="P379" s="73">
        <v>2</v>
      </c>
      <c r="Q379" s="74">
        <v>6</v>
      </c>
      <c r="R379" s="74">
        <v>6</v>
      </c>
      <c r="S379" s="73">
        <v>0</v>
      </c>
      <c r="T379" s="73">
        <v>0</v>
      </c>
      <c r="U379" t="s" s="72">
        <v>122</v>
      </c>
      <c r="V379" s="73">
        <v>19</v>
      </c>
      <c r="W379" s="74">
        <v>5.87</v>
      </c>
      <c r="X379" s="74">
        <v>5.89</v>
      </c>
      <c r="Y379" s="73">
        <v>0</v>
      </c>
      <c r="Z379" s="73">
        <v>2</v>
      </c>
      <c r="AA379" t="s" s="72">
        <v>123</v>
      </c>
      <c r="AB379" t="s" s="72">
        <v>124</v>
      </c>
      <c r="AC379" t="s" s="72">
        <v>124</v>
      </c>
      <c r="AD379" t="s" s="75">
        <v>125</v>
      </c>
      <c r="AE379" s="67"/>
    </row>
    <row r="380" ht="15" customHeight="1">
      <c r="A380" t="s" s="87">
        <v>32</v>
      </c>
      <c r="B380" s="76">
        <v>42.2</v>
      </c>
      <c r="C380" t="b" s="77">
        <v>0</v>
      </c>
      <c r="D380" t="s" s="85">
        <v>191</v>
      </c>
      <c r="E380" t="s" s="79">
        <v>854</v>
      </c>
      <c r="F380" t="s" s="79">
        <v>168</v>
      </c>
      <c r="G380" s="80">
        <v>19</v>
      </c>
      <c r="H380" t="s" s="79">
        <v>175</v>
      </c>
      <c r="I380" t="s" s="79">
        <v>855</v>
      </c>
      <c r="J380" s="80">
        <v>26</v>
      </c>
      <c r="K380" t="s" s="79">
        <v>856</v>
      </c>
      <c r="L380" t="s" s="79">
        <v>154</v>
      </c>
      <c r="M380" s="78"/>
      <c r="N380" t="s" s="79">
        <v>311</v>
      </c>
      <c r="O380" s="78"/>
      <c r="P380" s="80">
        <v>0</v>
      </c>
      <c r="Q380" s="81">
        <v>0</v>
      </c>
      <c r="R380" s="81">
        <v>0</v>
      </c>
      <c r="S380" s="80">
        <v>0</v>
      </c>
      <c r="T380" s="80">
        <v>0</v>
      </c>
      <c r="U380" t="s" s="79">
        <v>122</v>
      </c>
      <c r="V380" s="80">
        <v>17</v>
      </c>
      <c r="W380" s="81">
        <v>5.85</v>
      </c>
      <c r="X380" s="81">
        <v>6.26</v>
      </c>
      <c r="Y380" s="80">
        <v>2</v>
      </c>
      <c r="Z380" s="80">
        <v>1</v>
      </c>
      <c r="AA380" t="s" s="79">
        <v>123</v>
      </c>
      <c r="AB380" t="s" s="79">
        <v>124</v>
      </c>
      <c r="AC380" t="s" s="79">
        <v>124</v>
      </c>
      <c r="AD380" t="s" s="82">
        <v>125</v>
      </c>
      <c r="AE380" s="67"/>
    </row>
    <row r="381" ht="15" customHeight="1">
      <c r="A381" t="s" s="87">
        <v>32</v>
      </c>
      <c r="B381" s="69">
        <v>42.1</v>
      </c>
      <c r="C381" t="b" s="70">
        <v>0</v>
      </c>
      <c r="D381" s="71"/>
      <c r="E381" t="s" s="72">
        <v>857</v>
      </c>
      <c r="F381" t="s" s="72">
        <v>149</v>
      </c>
      <c r="G381" s="73">
        <v>21</v>
      </c>
      <c r="H381" t="s" s="72">
        <v>175</v>
      </c>
      <c r="I381" t="s" s="72">
        <v>749</v>
      </c>
      <c r="J381" s="73">
        <v>32</v>
      </c>
      <c r="K381" t="s" s="72">
        <v>128</v>
      </c>
      <c r="L381" t="s" s="72">
        <v>121</v>
      </c>
      <c r="M381" s="71"/>
      <c r="N381" t="s" s="72">
        <v>311</v>
      </c>
      <c r="O381" t="s" s="88">
        <v>268</v>
      </c>
      <c r="P381" s="73">
        <v>0</v>
      </c>
      <c r="Q381" s="74">
        <v>0</v>
      </c>
      <c r="R381" s="74">
        <v>0</v>
      </c>
      <c r="S381" s="73">
        <v>0</v>
      </c>
      <c r="T381" s="73">
        <v>0</v>
      </c>
      <c r="U381" t="s" s="72">
        <v>122</v>
      </c>
      <c r="V381" s="73">
        <v>27</v>
      </c>
      <c r="W381" s="74">
        <v>6</v>
      </c>
      <c r="X381" s="74">
        <v>6.33</v>
      </c>
      <c r="Y381" s="73">
        <v>3</v>
      </c>
      <c r="Z381" s="73">
        <v>3</v>
      </c>
      <c r="AA381" t="s" s="72">
        <v>750</v>
      </c>
      <c r="AB381" t="s" s="72">
        <v>124</v>
      </c>
      <c r="AC381" t="s" s="72">
        <v>124</v>
      </c>
      <c r="AD381" t="s" s="75">
        <v>125</v>
      </c>
      <c r="AE381" s="67"/>
    </row>
    <row r="382" ht="15" customHeight="1">
      <c r="A382" t="s" s="87">
        <v>32</v>
      </c>
      <c r="B382" s="76">
        <v>41.7</v>
      </c>
      <c r="C382" t="b" s="77">
        <v>0</v>
      </c>
      <c r="D382" s="78"/>
      <c r="E382" t="s" s="79">
        <v>858</v>
      </c>
      <c r="F382" t="s" s="79">
        <v>149</v>
      </c>
      <c r="G382" s="80">
        <v>16</v>
      </c>
      <c r="H382" t="s" s="79">
        <v>164</v>
      </c>
      <c r="I382" t="s" s="79">
        <v>859</v>
      </c>
      <c r="J382" s="80">
        <v>24</v>
      </c>
      <c r="K382" t="s" s="79">
        <v>128</v>
      </c>
      <c r="L382" t="s" s="79">
        <v>121</v>
      </c>
      <c r="M382" s="78"/>
      <c r="N382" t="s" s="79">
        <v>655</v>
      </c>
      <c r="O382" t="s" s="88">
        <v>268</v>
      </c>
      <c r="P382" s="80">
        <v>2</v>
      </c>
      <c r="Q382" s="81">
        <v>6.25</v>
      </c>
      <c r="R382" s="81">
        <v>6.25</v>
      </c>
      <c r="S382" s="80">
        <v>0</v>
      </c>
      <c r="T382" s="80">
        <v>0</v>
      </c>
      <c r="U382" t="s" s="79">
        <v>122</v>
      </c>
      <c r="V382" s="80">
        <v>11</v>
      </c>
      <c r="W382" s="81">
        <v>5.82</v>
      </c>
      <c r="X382" s="81">
        <v>5.73</v>
      </c>
      <c r="Y382" s="80">
        <v>0</v>
      </c>
      <c r="Z382" s="80">
        <v>1</v>
      </c>
      <c r="AA382" t="s" s="79">
        <v>123</v>
      </c>
      <c r="AB382" t="s" s="79">
        <v>124</v>
      </c>
      <c r="AC382" t="s" s="79">
        <v>124</v>
      </c>
      <c r="AD382" t="s" s="82">
        <v>125</v>
      </c>
      <c r="AE382" s="67"/>
    </row>
    <row r="383" ht="15" customHeight="1">
      <c r="A383" t="s" s="87">
        <v>32</v>
      </c>
      <c r="B383" s="69">
        <v>41.6</v>
      </c>
      <c r="C383" t="b" s="70">
        <v>0</v>
      </c>
      <c r="D383" t="s" s="84">
        <v>191</v>
      </c>
      <c r="E383" t="s" s="72">
        <v>860</v>
      </c>
      <c r="F383" t="s" s="72">
        <v>147</v>
      </c>
      <c r="G383" s="73">
        <v>14</v>
      </c>
      <c r="H383" t="s" s="72">
        <v>118</v>
      </c>
      <c r="I383" t="s" s="72">
        <v>139</v>
      </c>
      <c r="J383" s="73">
        <v>30</v>
      </c>
      <c r="K383" t="s" s="72">
        <v>304</v>
      </c>
      <c r="L383" t="s" s="72">
        <v>121</v>
      </c>
      <c r="M383" s="71"/>
      <c r="N383" s="71"/>
      <c r="O383" s="71"/>
      <c r="P383" s="73">
        <v>2</v>
      </c>
      <c r="Q383" s="74">
        <v>5.75</v>
      </c>
      <c r="R383" s="74">
        <v>5.75</v>
      </c>
      <c r="S383" s="73">
        <v>0</v>
      </c>
      <c r="T383" s="73">
        <v>0</v>
      </c>
      <c r="U383" t="s" s="72">
        <v>122</v>
      </c>
      <c r="V383" s="71"/>
      <c r="W383" s="71"/>
      <c r="X383" s="71"/>
      <c r="Y383" s="71"/>
      <c r="Z383" s="71"/>
      <c r="AA383" s="71"/>
      <c r="AB383" t="s" s="72">
        <v>124</v>
      </c>
      <c r="AC383" t="s" s="72">
        <v>124</v>
      </c>
      <c r="AD383" t="s" s="75">
        <v>125</v>
      </c>
      <c r="AE383" s="67"/>
    </row>
    <row r="384" ht="15" customHeight="1">
      <c r="A384" t="s" s="87">
        <v>32</v>
      </c>
      <c r="B384" s="76">
        <v>40.3</v>
      </c>
      <c r="C384" t="b" s="77">
        <v>0</v>
      </c>
      <c r="D384" s="78"/>
      <c r="E384" t="s" s="79">
        <v>861</v>
      </c>
      <c r="F384" t="s" s="79">
        <v>183</v>
      </c>
      <c r="G384" s="80">
        <v>15</v>
      </c>
      <c r="H384" t="s" s="79">
        <v>118</v>
      </c>
      <c r="I384" t="s" s="79">
        <v>150</v>
      </c>
      <c r="J384" s="80">
        <v>24</v>
      </c>
      <c r="K384" t="s" s="79">
        <v>142</v>
      </c>
      <c r="L384" t="s" s="79">
        <v>121</v>
      </c>
      <c r="M384" s="78"/>
      <c r="N384" s="78"/>
      <c r="O384" s="78"/>
      <c r="P384" s="80">
        <v>2</v>
      </c>
      <c r="Q384" s="81">
        <v>5.75</v>
      </c>
      <c r="R384" s="81">
        <v>5.75</v>
      </c>
      <c r="S384" s="80">
        <v>0</v>
      </c>
      <c r="T384" s="80">
        <v>0</v>
      </c>
      <c r="U384" t="s" s="79">
        <v>122</v>
      </c>
      <c r="V384" s="80">
        <v>0</v>
      </c>
      <c r="W384" s="81">
        <v>0</v>
      </c>
      <c r="X384" s="81">
        <v>0</v>
      </c>
      <c r="Y384" s="80">
        <v>0</v>
      </c>
      <c r="Z384" s="80">
        <v>0</v>
      </c>
      <c r="AA384" t="s" s="79">
        <v>123</v>
      </c>
      <c r="AB384" t="s" s="79">
        <v>124</v>
      </c>
      <c r="AC384" t="s" s="79">
        <v>124</v>
      </c>
      <c r="AD384" t="s" s="82">
        <v>125</v>
      </c>
      <c r="AE384" s="67"/>
    </row>
    <row r="385" ht="15" customHeight="1">
      <c r="A385" t="s" s="87">
        <v>32</v>
      </c>
      <c r="B385" s="69">
        <v>40.1</v>
      </c>
      <c r="C385" t="b" s="70">
        <v>0</v>
      </c>
      <c r="D385" t="s" s="84">
        <v>161</v>
      </c>
      <c r="E385" t="s" s="72">
        <v>862</v>
      </c>
      <c r="F385" t="s" s="72">
        <v>180</v>
      </c>
      <c r="G385" s="73">
        <v>13</v>
      </c>
      <c r="H385" t="s" s="72">
        <v>118</v>
      </c>
      <c r="I385" t="s" s="72">
        <v>432</v>
      </c>
      <c r="J385" s="73">
        <v>27</v>
      </c>
      <c r="K385" t="s" s="72">
        <v>128</v>
      </c>
      <c r="L385" t="s" s="72">
        <v>121</v>
      </c>
      <c r="M385" s="71"/>
      <c r="N385" s="71"/>
      <c r="O385" s="71"/>
      <c r="P385" s="73">
        <v>2</v>
      </c>
      <c r="Q385" s="74">
        <v>6</v>
      </c>
      <c r="R385" s="74">
        <v>6</v>
      </c>
      <c r="S385" s="73">
        <v>0</v>
      </c>
      <c r="T385" s="73">
        <v>0</v>
      </c>
      <c r="U385" t="s" s="72">
        <v>122</v>
      </c>
      <c r="V385" s="73">
        <v>30</v>
      </c>
      <c r="W385" s="74">
        <v>5.77</v>
      </c>
      <c r="X385" s="74">
        <v>5.8</v>
      </c>
      <c r="Y385" s="73">
        <v>0</v>
      </c>
      <c r="Z385" s="73">
        <v>2</v>
      </c>
      <c r="AA385" t="s" s="72">
        <v>123</v>
      </c>
      <c r="AB385" t="s" s="72">
        <v>124</v>
      </c>
      <c r="AC385" t="s" s="72">
        <v>124</v>
      </c>
      <c r="AD385" t="s" s="75">
        <v>125</v>
      </c>
      <c r="AE385" s="67"/>
    </row>
    <row r="386" ht="15" customHeight="1">
      <c r="A386" t="s" s="87">
        <v>32</v>
      </c>
      <c r="B386" s="76">
        <v>39.9</v>
      </c>
      <c r="C386" t="b" s="77">
        <v>0</v>
      </c>
      <c r="D386" t="s" s="85">
        <v>161</v>
      </c>
      <c r="E386" t="s" s="79">
        <v>863</v>
      </c>
      <c r="F386" t="s" s="79">
        <v>141</v>
      </c>
      <c r="G386" s="80">
        <v>19</v>
      </c>
      <c r="H386" t="s" s="79">
        <v>175</v>
      </c>
      <c r="I386" t="s" s="79">
        <v>490</v>
      </c>
      <c r="J386" s="80">
        <v>19</v>
      </c>
      <c r="K386" t="s" s="79">
        <v>128</v>
      </c>
      <c r="L386" t="s" s="79">
        <v>154</v>
      </c>
      <c r="M386" s="78"/>
      <c r="N386" s="78"/>
      <c r="O386" s="78"/>
      <c r="P386" s="80">
        <v>1</v>
      </c>
      <c r="Q386" s="81">
        <v>6</v>
      </c>
      <c r="R386" s="81">
        <v>6</v>
      </c>
      <c r="S386" s="80">
        <v>0</v>
      </c>
      <c r="T386" s="80">
        <v>0</v>
      </c>
      <c r="U386" t="s" s="79">
        <v>122</v>
      </c>
      <c r="V386" s="80">
        <v>0</v>
      </c>
      <c r="W386" s="81">
        <v>0</v>
      </c>
      <c r="X386" s="81">
        <v>0</v>
      </c>
      <c r="Y386" s="80">
        <v>0</v>
      </c>
      <c r="Z386" s="80">
        <v>0</v>
      </c>
      <c r="AA386" t="s" s="79">
        <v>123</v>
      </c>
      <c r="AB386" t="s" s="79">
        <v>124</v>
      </c>
      <c r="AC386" t="s" s="79">
        <v>124</v>
      </c>
      <c r="AD386" t="s" s="82">
        <v>125</v>
      </c>
      <c r="AE386" s="67"/>
    </row>
    <row r="387" ht="15" customHeight="1">
      <c r="A387" t="s" s="87">
        <v>32</v>
      </c>
      <c r="B387" s="69">
        <v>39.9</v>
      </c>
      <c r="C387" t="b" s="70">
        <v>0</v>
      </c>
      <c r="D387" s="71"/>
      <c r="E387" t="s" s="72">
        <v>864</v>
      </c>
      <c r="F387" t="s" s="72">
        <v>144</v>
      </c>
      <c r="G387" s="73">
        <v>19</v>
      </c>
      <c r="H387" t="s" s="72">
        <v>865</v>
      </c>
      <c r="I387" t="s" s="72">
        <v>865</v>
      </c>
      <c r="J387" s="73">
        <v>28</v>
      </c>
      <c r="K387" t="s" s="72">
        <v>395</v>
      </c>
      <c r="L387" t="s" s="72">
        <v>121</v>
      </c>
      <c r="M387" s="71"/>
      <c r="N387" s="71"/>
      <c r="O387" s="71"/>
      <c r="P387" s="73">
        <v>0</v>
      </c>
      <c r="Q387" s="74">
        <v>0</v>
      </c>
      <c r="R387" s="74">
        <v>0</v>
      </c>
      <c r="S387" s="73">
        <v>0</v>
      </c>
      <c r="T387" s="73">
        <v>0</v>
      </c>
      <c r="U387" t="s" s="72">
        <v>122</v>
      </c>
      <c r="V387" s="73">
        <v>28</v>
      </c>
      <c r="W387" s="74">
        <v>5.96</v>
      </c>
      <c r="X387" s="74">
        <v>6.16</v>
      </c>
      <c r="Y387" s="73">
        <v>2</v>
      </c>
      <c r="Z387" s="73">
        <v>0</v>
      </c>
      <c r="AA387" t="s" s="72">
        <v>123</v>
      </c>
      <c r="AB387" t="s" s="72">
        <v>124</v>
      </c>
      <c r="AC387" t="s" s="72">
        <v>124</v>
      </c>
      <c r="AD387" t="s" s="75">
        <v>125</v>
      </c>
      <c r="AE387" s="67"/>
    </row>
    <row r="388" ht="15" customHeight="1">
      <c r="A388" t="s" s="87">
        <v>32</v>
      </c>
      <c r="B388" s="76">
        <v>39</v>
      </c>
      <c r="C388" t="b" s="77">
        <v>0</v>
      </c>
      <c r="D388" t="s" s="85">
        <v>161</v>
      </c>
      <c r="E388" t="s" s="79">
        <v>866</v>
      </c>
      <c r="F388" t="s" s="79">
        <v>147</v>
      </c>
      <c r="G388" s="80">
        <v>13</v>
      </c>
      <c r="H388" t="s" s="79">
        <v>118</v>
      </c>
      <c r="I388" t="s" s="79">
        <v>867</v>
      </c>
      <c r="J388" s="80">
        <v>20</v>
      </c>
      <c r="K388" t="s" s="79">
        <v>868</v>
      </c>
      <c r="L388" t="s" s="79">
        <v>154</v>
      </c>
      <c r="M388" s="78"/>
      <c r="N388" s="78"/>
      <c r="O388" s="78"/>
      <c r="P388" s="80">
        <v>2</v>
      </c>
      <c r="Q388" s="81">
        <v>7</v>
      </c>
      <c r="R388" s="81">
        <v>8.5</v>
      </c>
      <c r="S388" s="80">
        <v>1</v>
      </c>
      <c r="T388" s="80">
        <v>0</v>
      </c>
      <c r="U388" t="s" s="79">
        <v>122</v>
      </c>
      <c r="V388" s="78"/>
      <c r="W388" s="78"/>
      <c r="X388" s="78"/>
      <c r="Y388" s="78"/>
      <c r="Z388" s="78"/>
      <c r="AA388" s="78"/>
      <c r="AB388" t="s" s="79">
        <v>124</v>
      </c>
      <c r="AC388" t="s" s="79">
        <v>124</v>
      </c>
      <c r="AD388" t="s" s="82">
        <v>125</v>
      </c>
      <c r="AE388" s="67"/>
    </row>
    <row r="389" ht="15" customHeight="1">
      <c r="A389" t="s" s="87">
        <v>32</v>
      </c>
      <c r="B389" s="69">
        <v>38.8</v>
      </c>
      <c r="C389" t="b" s="70">
        <v>0</v>
      </c>
      <c r="D389" t="s" s="84">
        <v>191</v>
      </c>
      <c r="E389" t="s" s="72">
        <v>869</v>
      </c>
      <c r="F389" t="s" s="72">
        <v>159</v>
      </c>
      <c r="G389" s="73">
        <v>17</v>
      </c>
      <c r="H389" t="s" s="72">
        <v>175</v>
      </c>
      <c r="I389" t="s" s="72">
        <v>836</v>
      </c>
      <c r="J389" s="73">
        <v>23</v>
      </c>
      <c r="K389" t="s" s="72">
        <v>136</v>
      </c>
      <c r="L389" t="s" s="72">
        <v>154</v>
      </c>
      <c r="M389" s="71"/>
      <c r="N389" t="s" s="72">
        <v>311</v>
      </c>
      <c r="O389" s="71"/>
      <c r="P389" s="73">
        <v>1</v>
      </c>
      <c r="Q389" s="74">
        <v>5.5</v>
      </c>
      <c r="R389" s="74">
        <v>5.5</v>
      </c>
      <c r="S389" s="73">
        <v>0</v>
      </c>
      <c r="T389" s="73">
        <v>0</v>
      </c>
      <c r="U389" t="s" s="72">
        <v>122</v>
      </c>
      <c r="V389" s="71"/>
      <c r="W389" s="71"/>
      <c r="X389" s="71"/>
      <c r="Y389" s="71"/>
      <c r="Z389" s="71"/>
      <c r="AA389" s="71"/>
      <c r="AB389" t="s" s="72">
        <v>124</v>
      </c>
      <c r="AC389" t="s" s="72">
        <v>124</v>
      </c>
      <c r="AD389" t="s" s="75">
        <v>125</v>
      </c>
      <c r="AE389" s="67"/>
    </row>
    <row r="390" ht="15" customHeight="1">
      <c r="A390" t="s" s="87">
        <v>32</v>
      </c>
      <c r="B390" s="76">
        <v>38</v>
      </c>
      <c r="C390" t="b" s="77">
        <v>0</v>
      </c>
      <c r="D390" t="s" s="85">
        <v>178</v>
      </c>
      <c r="E390" t="s" s="79">
        <v>870</v>
      </c>
      <c r="F390" t="s" s="79">
        <v>172</v>
      </c>
      <c r="G390" s="80">
        <v>12</v>
      </c>
      <c r="H390" t="s" s="79">
        <v>871</v>
      </c>
      <c r="I390" t="s" s="79">
        <v>872</v>
      </c>
      <c r="J390" s="80">
        <v>20</v>
      </c>
      <c r="K390" t="s" s="79">
        <v>873</v>
      </c>
      <c r="L390" t="s" s="79">
        <v>121</v>
      </c>
      <c r="M390" s="78"/>
      <c r="N390" t="s" s="79">
        <v>311</v>
      </c>
      <c r="O390" s="78"/>
      <c r="P390" s="80">
        <v>2</v>
      </c>
      <c r="Q390" s="81">
        <v>6</v>
      </c>
      <c r="R390" s="81">
        <v>6.5</v>
      </c>
      <c r="S390" s="80">
        <v>0</v>
      </c>
      <c r="T390" s="80">
        <v>1</v>
      </c>
      <c r="U390" t="s" s="79">
        <v>122</v>
      </c>
      <c r="V390" s="80">
        <v>4</v>
      </c>
      <c r="W390" s="81">
        <v>6.12</v>
      </c>
      <c r="X390" s="81">
        <v>6.88</v>
      </c>
      <c r="Y390" s="80">
        <v>1</v>
      </c>
      <c r="Z390" s="80">
        <v>0</v>
      </c>
      <c r="AA390" t="s" s="79">
        <v>123</v>
      </c>
      <c r="AB390" t="s" s="79">
        <v>124</v>
      </c>
      <c r="AC390" t="s" s="79">
        <v>124</v>
      </c>
      <c r="AD390" t="s" s="82">
        <v>125</v>
      </c>
      <c r="AE390" s="67"/>
    </row>
    <row r="391" ht="15" customHeight="1">
      <c r="A391" t="s" s="87">
        <v>32</v>
      </c>
      <c r="B391" s="69">
        <v>37.7</v>
      </c>
      <c r="C391" t="b" s="70">
        <v>0</v>
      </c>
      <c r="D391" s="71"/>
      <c r="E391" t="s" s="72">
        <v>874</v>
      </c>
      <c r="F391" t="s" s="72">
        <v>168</v>
      </c>
      <c r="G391" s="73">
        <v>14</v>
      </c>
      <c r="H391" t="s" s="72">
        <v>164</v>
      </c>
      <c r="I391" t="s" s="72">
        <v>164</v>
      </c>
      <c r="J391" s="73">
        <v>25</v>
      </c>
      <c r="K391" t="s" s="72">
        <v>184</v>
      </c>
      <c r="L391" t="s" s="72">
        <v>121</v>
      </c>
      <c r="M391" s="71"/>
      <c r="N391" s="71"/>
      <c r="O391" s="71"/>
      <c r="P391" s="73">
        <v>1</v>
      </c>
      <c r="Q391" s="74">
        <v>6</v>
      </c>
      <c r="R391" s="74">
        <v>5.5</v>
      </c>
      <c r="S391" s="73">
        <v>0</v>
      </c>
      <c r="T391" s="73">
        <v>0</v>
      </c>
      <c r="U391" t="s" s="72">
        <v>122</v>
      </c>
      <c r="V391" s="73">
        <v>8</v>
      </c>
      <c r="W391" s="74">
        <v>6</v>
      </c>
      <c r="X391" s="74">
        <v>5.88</v>
      </c>
      <c r="Y391" s="73">
        <v>0</v>
      </c>
      <c r="Z391" s="73">
        <v>0</v>
      </c>
      <c r="AA391" t="s" s="72">
        <v>123</v>
      </c>
      <c r="AB391" t="s" s="72">
        <v>124</v>
      </c>
      <c r="AC391" t="s" s="72">
        <v>124</v>
      </c>
      <c r="AD391" t="s" s="75">
        <v>125</v>
      </c>
      <c r="AE391" s="67"/>
    </row>
    <row r="392" ht="15" customHeight="1">
      <c r="A392" t="s" s="87">
        <v>32</v>
      </c>
      <c r="B392" s="76">
        <v>37.7</v>
      </c>
      <c r="C392" t="b" s="77">
        <v>0</v>
      </c>
      <c r="D392" s="78"/>
      <c r="E392" t="s" s="79">
        <v>875</v>
      </c>
      <c r="F392" t="s" s="79">
        <v>180</v>
      </c>
      <c r="G392" s="80">
        <v>17</v>
      </c>
      <c r="H392" t="s" s="79">
        <v>175</v>
      </c>
      <c r="I392" t="s" s="79">
        <v>175</v>
      </c>
      <c r="J392" s="80">
        <v>25</v>
      </c>
      <c r="K392" t="s" s="79">
        <v>128</v>
      </c>
      <c r="L392" t="s" s="79">
        <v>121</v>
      </c>
      <c r="M392" s="78"/>
      <c r="N392" s="78"/>
      <c r="O392" s="78"/>
      <c r="P392" s="80">
        <v>2</v>
      </c>
      <c r="Q392" s="81">
        <v>6.25</v>
      </c>
      <c r="R392" s="81">
        <v>6.25</v>
      </c>
      <c r="S392" s="80">
        <v>0</v>
      </c>
      <c r="T392" s="80">
        <v>0</v>
      </c>
      <c r="U392" t="s" s="79">
        <v>122</v>
      </c>
      <c r="V392" s="80">
        <v>22</v>
      </c>
      <c r="W392" s="81">
        <v>5.93</v>
      </c>
      <c r="X392" s="81">
        <v>5.86</v>
      </c>
      <c r="Y392" s="80">
        <v>0</v>
      </c>
      <c r="Z392" s="80">
        <v>1</v>
      </c>
      <c r="AA392" t="s" s="79">
        <v>123</v>
      </c>
      <c r="AB392" t="s" s="79">
        <v>124</v>
      </c>
      <c r="AC392" t="s" s="79">
        <v>124</v>
      </c>
      <c r="AD392" t="s" s="82">
        <v>125</v>
      </c>
      <c r="AE392" s="67"/>
    </row>
    <row r="393" ht="15" customHeight="1">
      <c r="A393" t="s" s="87">
        <v>32</v>
      </c>
      <c r="B393" s="69">
        <v>37.5</v>
      </c>
      <c r="C393" t="b" s="70">
        <v>0</v>
      </c>
      <c r="D393" s="71"/>
      <c r="E393" t="s" s="72">
        <v>876</v>
      </c>
      <c r="F393" t="s" s="72">
        <v>156</v>
      </c>
      <c r="G393" s="73">
        <v>18</v>
      </c>
      <c r="H393" t="s" s="72">
        <v>877</v>
      </c>
      <c r="I393" t="s" s="72">
        <v>878</v>
      </c>
      <c r="J393" s="73">
        <v>29</v>
      </c>
      <c r="K393" t="s" s="72">
        <v>879</v>
      </c>
      <c r="L393" t="s" s="72">
        <v>121</v>
      </c>
      <c r="M393" s="71"/>
      <c r="N393" s="71"/>
      <c r="O393" s="71"/>
      <c r="P393" s="73">
        <v>3</v>
      </c>
      <c r="Q393" s="74">
        <v>5.67</v>
      </c>
      <c r="R393" s="74">
        <v>5.5</v>
      </c>
      <c r="S393" s="73">
        <v>0</v>
      </c>
      <c r="T393" s="73">
        <v>0</v>
      </c>
      <c r="U393" t="s" s="72">
        <v>122</v>
      </c>
      <c r="V393" s="71"/>
      <c r="W393" s="71"/>
      <c r="X393" s="71"/>
      <c r="Y393" s="71"/>
      <c r="Z393" s="71"/>
      <c r="AA393" s="71"/>
      <c r="AB393" t="s" s="72">
        <v>124</v>
      </c>
      <c r="AC393" t="s" s="72">
        <v>124</v>
      </c>
      <c r="AD393" t="s" s="75">
        <v>125</v>
      </c>
      <c r="AE393" s="67"/>
    </row>
    <row r="394" ht="15" customHeight="1">
      <c r="A394" t="s" s="87">
        <v>32</v>
      </c>
      <c r="B394" s="76">
        <v>37.4</v>
      </c>
      <c r="C394" t="b" s="77">
        <v>0</v>
      </c>
      <c r="D394" s="78"/>
      <c r="E394" t="s" s="79">
        <v>880</v>
      </c>
      <c r="F394" t="s" s="79">
        <v>138</v>
      </c>
      <c r="G394" s="80">
        <v>20</v>
      </c>
      <c r="H394" t="s" s="79">
        <v>175</v>
      </c>
      <c r="I394" t="s" s="79">
        <v>266</v>
      </c>
      <c r="J394" s="80">
        <v>27</v>
      </c>
      <c r="K394" t="s" s="79">
        <v>881</v>
      </c>
      <c r="L394" t="s" s="79">
        <v>154</v>
      </c>
      <c r="M394" s="78"/>
      <c r="N394" s="78"/>
      <c r="O394" t="s" s="88">
        <v>268</v>
      </c>
      <c r="P394" s="80">
        <v>1</v>
      </c>
      <c r="Q394" s="81">
        <v>5.5</v>
      </c>
      <c r="R394" s="81">
        <v>5.5</v>
      </c>
      <c r="S394" s="80">
        <v>0</v>
      </c>
      <c r="T394" s="80">
        <v>0</v>
      </c>
      <c r="U394" t="s" s="79">
        <v>122</v>
      </c>
      <c r="V394" s="80">
        <v>12</v>
      </c>
      <c r="W394" s="81">
        <v>6.04</v>
      </c>
      <c r="X394" s="81">
        <v>6.04</v>
      </c>
      <c r="Y394" s="80">
        <v>0</v>
      </c>
      <c r="Z394" s="80">
        <v>0</v>
      </c>
      <c r="AA394" t="s" s="79">
        <v>123</v>
      </c>
      <c r="AB394" t="s" s="79">
        <v>124</v>
      </c>
      <c r="AC394" t="s" s="79">
        <v>124</v>
      </c>
      <c r="AD394" t="s" s="82">
        <v>125</v>
      </c>
      <c r="AE394" s="67"/>
    </row>
    <row r="395" ht="15" customHeight="1">
      <c r="A395" t="s" s="87">
        <v>32</v>
      </c>
      <c r="B395" s="69">
        <v>36.6</v>
      </c>
      <c r="C395" t="b" s="70">
        <v>0</v>
      </c>
      <c r="D395" t="s" s="84">
        <v>161</v>
      </c>
      <c r="E395" t="s" s="72">
        <v>882</v>
      </c>
      <c r="F395" t="s" s="72">
        <v>180</v>
      </c>
      <c r="G395" s="73">
        <v>14</v>
      </c>
      <c r="H395" t="s" s="72">
        <v>164</v>
      </c>
      <c r="I395" t="s" s="72">
        <v>165</v>
      </c>
      <c r="J395" s="73">
        <v>31</v>
      </c>
      <c r="K395" t="s" s="72">
        <v>236</v>
      </c>
      <c r="L395" t="s" s="72">
        <v>121</v>
      </c>
      <c r="M395" s="71"/>
      <c r="N395" s="71"/>
      <c r="O395" s="71"/>
      <c r="P395" s="73">
        <v>0</v>
      </c>
      <c r="Q395" s="74">
        <v>0</v>
      </c>
      <c r="R395" s="74">
        <v>0</v>
      </c>
      <c r="S395" s="73">
        <v>0</v>
      </c>
      <c r="T395" s="73">
        <v>0</v>
      </c>
      <c r="U395" t="s" s="72">
        <v>122</v>
      </c>
      <c r="V395" s="71"/>
      <c r="W395" s="71"/>
      <c r="X395" s="71"/>
      <c r="Y395" s="71"/>
      <c r="Z395" s="71"/>
      <c r="AA395" s="71"/>
      <c r="AB395" t="s" s="72">
        <v>124</v>
      </c>
      <c r="AC395" t="s" s="72">
        <v>124</v>
      </c>
      <c r="AD395" t="s" s="75">
        <v>125</v>
      </c>
      <c r="AE395" s="67"/>
    </row>
    <row r="396" ht="15" customHeight="1">
      <c r="A396" t="s" s="87">
        <v>32</v>
      </c>
      <c r="B396" s="76">
        <v>36.5</v>
      </c>
      <c r="C396" t="b" s="77">
        <v>0</v>
      </c>
      <c r="D396" t="s" s="85">
        <v>191</v>
      </c>
      <c r="E396" t="s" s="79">
        <v>883</v>
      </c>
      <c r="F396" t="s" s="79">
        <v>134</v>
      </c>
      <c r="G396" s="80">
        <v>18</v>
      </c>
      <c r="H396" t="s" s="79">
        <v>175</v>
      </c>
      <c r="I396" t="s" s="79">
        <v>490</v>
      </c>
      <c r="J396" s="80">
        <v>21</v>
      </c>
      <c r="K396" t="s" s="79">
        <v>884</v>
      </c>
      <c r="L396" t="s" s="79">
        <v>121</v>
      </c>
      <c r="M396" s="78"/>
      <c r="N396" s="78"/>
      <c r="O396" s="78"/>
      <c r="P396" s="80">
        <v>0</v>
      </c>
      <c r="Q396" s="81">
        <v>0</v>
      </c>
      <c r="R396" s="81">
        <v>0</v>
      </c>
      <c r="S396" s="80">
        <v>0</v>
      </c>
      <c r="T396" s="80">
        <v>0</v>
      </c>
      <c r="U396" t="s" s="79">
        <v>122</v>
      </c>
      <c r="V396" s="78"/>
      <c r="W396" s="78"/>
      <c r="X396" s="78"/>
      <c r="Y396" s="78"/>
      <c r="Z396" s="78"/>
      <c r="AA396" s="78"/>
      <c r="AB396" t="s" s="79">
        <v>124</v>
      </c>
      <c r="AC396" t="s" s="79">
        <v>124</v>
      </c>
      <c r="AD396" t="s" s="82">
        <v>125</v>
      </c>
      <c r="AE396" s="67"/>
    </row>
    <row r="397" ht="15" customHeight="1">
      <c r="A397" t="s" s="87">
        <v>32</v>
      </c>
      <c r="B397" s="69">
        <v>36.4</v>
      </c>
      <c r="C397" t="b" s="70">
        <v>0</v>
      </c>
      <c r="D397" s="71"/>
      <c r="E397" t="s" s="72">
        <v>885</v>
      </c>
      <c r="F397" t="s" s="72">
        <v>163</v>
      </c>
      <c r="G397" s="73">
        <v>17</v>
      </c>
      <c r="H397" t="s" s="72">
        <v>175</v>
      </c>
      <c r="I397" t="s" s="72">
        <v>203</v>
      </c>
      <c r="J397" s="73">
        <v>22</v>
      </c>
      <c r="K397" t="s" s="72">
        <v>412</v>
      </c>
      <c r="L397" t="s" s="72">
        <v>121</v>
      </c>
      <c r="M397" s="71"/>
      <c r="N397" s="71"/>
      <c r="O397" s="71"/>
      <c r="P397" s="73">
        <v>1</v>
      </c>
      <c r="Q397" s="74">
        <v>5.5</v>
      </c>
      <c r="R397" s="74">
        <v>5.5</v>
      </c>
      <c r="S397" s="73">
        <v>0</v>
      </c>
      <c r="T397" s="73">
        <v>0</v>
      </c>
      <c r="U397" t="s" s="72">
        <v>122</v>
      </c>
      <c r="V397" s="73">
        <v>18</v>
      </c>
      <c r="W397" s="74">
        <v>5.92</v>
      </c>
      <c r="X397" s="74">
        <v>6.08</v>
      </c>
      <c r="Y397" s="73">
        <v>1</v>
      </c>
      <c r="Z397" s="73">
        <v>2</v>
      </c>
      <c r="AA397" t="s" s="72">
        <v>123</v>
      </c>
      <c r="AB397" t="s" s="72">
        <v>124</v>
      </c>
      <c r="AC397" t="s" s="72">
        <v>124</v>
      </c>
      <c r="AD397" t="s" s="75">
        <v>125</v>
      </c>
      <c r="AE397" s="67"/>
    </row>
    <row r="398" ht="15" customHeight="1">
      <c r="A398" t="s" s="87">
        <v>32</v>
      </c>
      <c r="B398" s="76">
        <v>36.1</v>
      </c>
      <c r="C398" t="b" s="77">
        <v>0</v>
      </c>
      <c r="D398" s="78"/>
      <c r="E398" t="s" s="79">
        <v>886</v>
      </c>
      <c r="F398" t="s" s="79">
        <v>183</v>
      </c>
      <c r="G398" s="80">
        <v>17</v>
      </c>
      <c r="H398" t="s" s="79">
        <v>175</v>
      </c>
      <c r="I398" t="s" s="79">
        <v>175</v>
      </c>
      <c r="J398" s="80">
        <v>25</v>
      </c>
      <c r="K398" t="s" s="79">
        <v>298</v>
      </c>
      <c r="L398" t="s" s="79">
        <v>121</v>
      </c>
      <c r="M398" s="78"/>
      <c r="N398" s="78"/>
      <c r="O398" s="78"/>
      <c r="P398" s="80">
        <v>1</v>
      </c>
      <c r="Q398" s="81">
        <v>5.5</v>
      </c>
      <c r="R398" s="81">
        <v>5.5</v>
      </c>
      <c r="S398" s="80">
        <v>0</v>
      </c>
      <c r="T398" s="80">
        <v>0</v>
      </c>
      <c r="U398" t="s" s="79">
        <v>122</v>
      </c>
      <c r="V398" s="80">
        <v>24</v>
      </c>
      <c r="W398" s="81">
        <v>5.6</v>
      </c>
      <c r="X398" s="81">
        <v>5.58</v>
      </c>
      <c r="Y398" s="80">
        <v>0</v>
      </c>
      <c r="Z398" s="80">
        <v>1</v>
      </c>
      <c r="AA398" t="s" s="79">
        <v>123</v>
      </c>
      <c r="AB398" t="s" s="79">
        <v>124</v>
      </c>
      <c r="AC398" t="s" s="79">
        <v>124</v>
      </c>
      <c r="AD398" t="s" s="82">
        <v>125</v>
      </c>
      <c r="AE398" s="67"/>
    </row>
    <row r="399" ht="15" customHeight="1">
      <c r="A399" t="s" s="87">
        <v>32</v>
      </c>
      <c r="B399" s="69">
        <v>35</v>
      </c>
      <c r="C399" t="b" s="70">
        <v>0</v>
      </c>
      <c r="D399" t="s" s="84">
        <v>178</v>
      </c>
      <c r="E399" t="s" s="72">
        <v>887</v>
      </c>
      <c r="F399" t="s" s="72">
        <v>163</v>
      </c>
      <c r="G399" s="73">
        <v>12</v>
      </c>
      <c r="H399" t="s" s="72">
        <v>118</v>
      </c>
      <c r="I399" t="s" s="72">
        <v>468</v>
      </c>
      <c r="J399" s="73">
        <v>23</v>
      </c>
      <c r="K399" t="s" s="72">
        <v>416</v>
      </c>
      <c r="L399" t="s" s="72">
        <v>121</v>
      </c>
      <c r="M399" s="71"/>
      <c r="N399" s="71"/>
      <c r="O399" s="71"/>
      <c r="P399" s="73">
        <v>2</v>
      </c>
      <c r="Q399" s="74">
        <v>6</v>
      </c>
      <c r="R399" s="74">
        <v>6</v>
      </c>
      <c r="S399" s="73">
        <v>0</v>
      </c>
      <c r="T399" s="73">
        <v>0</v>
      </c>
      <c r="U399" t="s" s="72">
        <v>122</v>
      </c>
      <c r="V399" s="71"/>
      <c r="W399" s="71"/>
      <c r="X399" s="71"/>
      <c r="Y399" s="71"/>
      <c r="Z399" s="71"/>
      <c r="AA399" s="71"/>
      <c r="AB399" t="s" s="72">
        <v>124</v>
      </c>
      <c r="AC399" t="s" s="72">
        <v>124</v>
      </c>
      <c r="AD399" t="s" s="75">
        <v>125</v>
      </c>
      <c r="AE399" s="67"/>
    </row>
    <row r="400" ht="15" customHeight="1">
      <c r="A400" t="s" s="87">
        <v>32</v>
      </c>
      <c r="B400" s="76">
        <v>33.4</v>
      </c>
      <c r="C400" t="b" s="77">
        <v>0</v>
      </c>
      <c r="D400" t="s" s="85">
        <v>191</v>
      </c>
      <c r="E400" t="s" s="79">
        <v>210</v>
      </c>
      <c r="F400" t="s" s="79">
        <v>187</v>
      </c>
      <c r="G400" s="80">
        <v>19</v>
      </c>
      <c r="H400" t="s" s="79">
        <v>175</v>
      </c>
      <c r="I400" t="s" s="79">
        <v>888</v>
      </c>
      <c r="J400" s="80">
        <v>29</v>
      </c>
      <c r="K400" t="s" s="79">
        <v>128</v>
      </c>
      <c r="L400" t="s" s="79">
        <v>154</v>
      </c>
      <c r="M400" s="78"/>
      <c r="N400" t="s" s="79">
        <v>655</v>
      </c>
      <c r="O400" t="s" s="88">
        <v>889</v>
      </c>
      <c r="P400" s="80">
        <v>0</v>
      </c>
      <c r="Q400" s="81">
        <v>0</v>
      </c>
      <c r="R400" s="81">
        <v>0</v>
      </c>
      <c r="S400" s="80">
        <v>0</v>
      </c>
      <c r="T400" s="80">
        <v>0</v>
      </c>
      <c r="U400" t="s" s="79">
        <v>122</v>
      </c>
      <c r="V400" s="78"/>
      <c r="W400" s="78"/>
      <c r="X400" s="78"/>
      <c r="Y400" s="78"/>
      <c r="Z400" s="78"/>
      <c r="AA400" s="78"/>
      <c r="AB400" t="s" s="79">
        <v>124</v>
      </c>
      <c r="AC400" t="s" s="79">
        <v>124</v>
      </c>
      <c r="AD400" t="s" s="82">
        <v>125</v>
      </c>
      <c r="AE400" s="67"/>
    </row>
    <row r="401" ht="15" customHeight="1">
      <c r="A401" t="s" s="87">
        <v>32</v>
      </c>
      <c r="B401" s="69">
        <v>32.6</v>
      </c>
      <c r="C401" t="b" s="70">
        <v>0</v>
      </c>
      <c r="D401" s="71"/>
      <c r="E401" t="s" s="72">
        <v>890</v>
      </c>
      <c r="F401" t="s" s="72">
        <v>193</v>
      </c>
      <c r="G401" s="73">
        <v>15</v>
      </c>
      <c r="H401" t="s" s="72">
        <v>891</v>
      </c>
      <c r="I401" t="s" s="72">
        <v>892</v>
      </c>
      <c r="J401" s="73">
        <v>22</v>
      </c>
      <c r="K401" t="s" s="72">
        <v>316</v>
      </c>
      <c r="L401" t="s" s="72">
        <v>121</v>
      </c>
      <c r="M401" s="71"/>
      <c r="N401" s="71"/>
      <c r="O401" s="71"/>
      <c r="P401" s="73">
        <v>2</v>
      </c>
      <c r="Q401" s="74">
        <v>6</v>
      </c>
      <c r="R401" s="74">
        <v>6</v>
      </c>
      <c r="S401" s="73">
        <v>0</v>
      </c>
      <c r="T401" s="73">
        <v>0</v>
      </c>
      <c r="U401" t="s" s="72">
        <v>122</v>
      </c>
      <c r="V401" s="73">
        <v>21</v>
      </c>
      <c r="W401" s="74">
        <v>5.67</v>
      </c>
      <c r="X401" s="74">
        <v>5.69</v>
      </c>
      <c r="Y401" s="73">
        <v>1</v>
      </c>
      <c r="Z401" s="73">
        <v>0</v>
      </c>
      <c r="AA401" t="s" s="72">
        <v>123</v>
      </c>
      <c r="AB401" t="s" s="72">
        <v>124</v>
      </c>
      <c r="AC401" t="s" s="72">
        <v>124</v>
      </c>
      <c r="AD401" t="s" s="75">
        <v>125</v>
      </c>
      <c r="AE401" s="67"/>
    </row>
    <row r="402" ht="15" customHeight="1">
      <c r="A402" t="s" s="87">
        <v>32</v>
      </c>
      <c r="B402" s="76">
        <v>32.5</v>
      </c>
      <c r="C402" t="b" s="77">
        <v>0</v>
      </c>
      <c r="D402" t="s" s="85">
        <v>191</v>
      </c>
      <c r="E402" t="s" s="79">
        <v>893</v>
      </c>
      <c r="F402" t="s" s="79">
        <v>163</v>
      </c>
      <c r="G402" s="80">
        <v>15</v>
      </c>
      <c r="H402" t="s" s="79">
        <v>175</v>
      </c>
      <c r="I402" t="s" s="79">
        <v>855</v>
      </c>
      <c r="J402" s="80">
        <v>23</v>
      </c>
      <c r="K402" t="s" s="79">
        <v>128</v>
      </c>
      <c r="L402" t="s" s="79">
        <v>154</v>
      </c>
      <c r="M402" s="78"/>
      <c r="N402" t="s" s="79">
        <v>272</v>
      </c>
      <c r="O402" s="78"/>
      <c r="P402" s="80">
        <v>0</v>
      </c>
      <c r="Q402" s="81">
        <v>0</v>
      </c>
      <c r="R402" s="81">
        <v>0</v>
      </c>
      <c r="S402" s="80">
        <v>0</v>
      </c>
      <c r="T402" s="80">
        <v>0</v>
      </c>
      <c r="U402" t="s" s="79">
        <v>122</v>
      </c>
      <c r="V402" s="80">
        <v>18</v>
      </c>
      <c r="W402" s="81">
        <v>5.72</v>
      </c>
      <c r="X402" s="81">
        <v>5.83</v>
      </c>
      <c r="Y402" s="80">
        <v>1</v>
      </c>
      <c r="Z402" s="80">
        <v>0</v>
      </c>
      <c r="AA402" t="s" s="79">
        <v>123</v>
      </c>
      <c r="AB402" t="s" s="79">
        <v>124</v>
      </c>
      <c r="AC402" t="s" s="79">
        <v>124</v>
      </c>
      <c r="AD402" t="s" s="82">
        <v>125</v>
      </c>
      <c r="AE402" s="67"/>
    </row>
    <row r="403" ht="15" customHeight="1">
      <c r="A403" t="s" s="87">
        <v>32</v>
      </c>
      <c r="B403" s="69">
        <v>32.5</v>
      </c>
      <c r="C403" t="b" s="70">
        <v>0</v>
      </c>
      <c r="D403" s="71"/>
      <c r="E403" t="s" s="72">
        <v>894</v>
      </c>
      <c r="F403" t="s" s="72">
        <v>130</v>
      </c>
      <c r="G403" s="73">
        <v>15</v>
      </c>
      <c r="H403" t="s" s="72">
        <v>175</v>
      </c>
      <c r="I403" t="s" s="72">
        <v>175</v>
      </c>
      <c r="J403" s="73">
        <v>23</v>
      </c>
      <c r="K403" t="s" s="72">
        <v>895</v>
      </c>
      <c r="L403" t="s" s="72">
        <v>121</v>
      </c>
      <c r="M403" s="71"/>
      <c r="N403" s="71"/>
      <c r="O403" s="71"/>
      <c r="P403" s="73">
        <v>2</v>
      </c>
      <c r="Q403" s="74">
        <v>6.25</v>
      </c>
      <c r="R403" s="74">
        <v>6.25</v>
      </c>
      <c r="S403" s="73">
        <v>0</v>
      </c>
      <c r="T403" s="73">
        <v>0</v>
      </c>
      <c r="U403" t="s" s="72">
        <v>122</v>
      </c>
      <c r="V403" s="73">
        <v>16</v>
      </c>
      <c r="W403" s="74">
        <v>5.94</v>
      </c>
      <c r="X403" s="74">
        <v>6.09</v>
      </c>
      <c r="Y403" s="73">
        <v>1</v>
      </c>
      <c r="Z403" s="73">
        <v>0</v>
      </c>
      <c r="AA403" t="s" s="72">
        <v>123</v>
      </c>
      <c r="AB403" t="s" s="72">
        <v>124</v>
      </c>
      <c r="AC403" t="s" s="72">
        <v>124</v>
      </c>
      <c r="AD403" t="s" s="75">
        <v>125</v>
      </c>
      <c r="AE403" s="67"/>
    </row>
    <row r="404" ht="15" customHeight="1">
      <c r="A404" t="s" s="87">
        <v>32</v>
      </c>
      <c r="B404" s="76">
        <v>32.4</v>
      </c>
      <c r="C404" t="b" s="77">
        <v>0</v>
      </c>
      <c r="D404" t="s" s="85">
        <v>161</v>
      </c>
      <c r="E404" t="s" s="79">
        <v>896</v>
      </c>
      <c r="F404" t="s" s="79">
        <v>172</v>
      </c>
      <c r="G404" s="80">
        <v>11</v>
      </c>
      <c r="H404" t="s" s="79">
        <v>118</v>
      </c>
      <c r="I404" t="s" s="79">
        <v>308</v>
      </c>
      <c r="J404" s="80">
        <v>18</v>
      </c>
      <c r="K404" t="s" s="79">
        <v>897</v>
      </c>
      <c r="L404" t="s" s="79">
        <v>121</v>
      </c>
      <c r="M404" s="78"/>
      <c r="N404" s="78"/>
      <c r="O404" s="78"/>
      <c r="P404" s="80">
        <v>2</v>
      </c>
      <c r="Q404" s="81">
        <v>6.25</v>
      </c>
      <c r="R404" s="81">
        <v>6.25</v>
      </c>
      <c r="S404" s="80">
        <v>0</v>
      </c>
      <c r="T404" s="80">
        <v>0</v>
      </c>
      <c r="U404" t="s" s="79">
        <v>122</v>
      </c>
      <c r="V404" s="80">
        <v>3</v>
      </c>
      <c r="W404" s="81">
        <v>6.17</v>
      </c>
      <c r="X404" s="81">
        <v>6.17</v>
      </c>
      <c r="Y404" s="80">
        <v>0</v>
      </c>
      <c r="Z404" s="80">
        <v>0</v>
      </c>
      <c r="AA404" t="s" s="79">
        <v>123</v>
      </c>
      <c r="AB404" t="s" s="79">
        <v>124</v>
      </c>
      <c r="AC404" t="s" s="79">
        <v>124</v>
      </c>
      <c r="AD404" t="s" s="82">
        <v>125</v>
      </c>
      <c r="AE404" s="67"/>
    </row>
    <row r="405" ht="15" customHeight="1">
      <c r="A405" t="s" s="87">
        <v>32</v>
      </c>
      <c r="B405" s="69">
        <v>32.4</v>
      </c>
      <c r="C405" t="b" s="70">
        <v>0</v>
      </c>
      <c r="D405" s="71"/>
      <c r="E405" t="s" s="72">
        <v>898</v>
      </c>
      <c r="F405" t="s" s="72">
        <v>172</v>
      </c>
      <c r="G405" s="73">
        <v>16</v>
      </c>
      <c r="H405" t="s" s="72">
        <v>175</v>
      </c>
      <c r="I405" t="s" s="72">
        <v>203</v>
      </c>
      <c r="J405" s="73">
        <v>21</v>
      </c>
      <c r="K405" t="s" s="72">
        <v>128</v>
      </c>
      <c r="L405" t="s" s="72">
        <v>121</v>
      </c>
      <c r="M405" s="71"/>
      <c r="N405" s="71"/>
      <c r="O405" s="71"/>
      <c r="P405" s="73">
        <v>0</v>
      </c>
      <c r="Q405" s="74">
        <v>0</v>
      </c>
      <c r="R405" s="74">
        <v>0</v>
      </c>
      <c r="S405" s="73">
        <v>0</v>
      </c>
      <c r="T405" s="73">
        <v>0</v>
      </c>
      <c r="U405" t="s" s="72">
        <v>122</v>
      </c>
      <c r="V405" s="73">
        <v>22</v>
      </c>
      <c r="W405" s="74">
        <v>5.91</v>
      </c>
      <c r="X405" s="74">
        <v>5.89</v>
      </c>
      <c r="Y405" s="73">
        <v>0</v>
      </c>
      <c r="Z405" s="73">
        <v>1</v>
      </c>
      <c r="AA405" t="s" s="72">
        <v>123</v>
      </c>
      <c r="AB405" t="s" s="72">
        <v>124</v>
      </c>
      <c r="AC405" t="s" s="72">
        <v>124</v>
      </c>
      <c r="AD405" t="s" s="75">
        <v>125</v>
      </c>
      <c r="AE405" s="67"/>
    </row>
    <row r="406" ht="15" customHeight="1">
      <c r="A406" t="s" s="87">
        <v>32</v>
      </c>
      <c r="B406" s="76">
        <v>31.2</v>
      </c>
      <c r="C406" t="b" s="77">
        <v>0</v>
      </c>
      <c r="D406" s="78"/>
      <c r="E406" t="s" s="79">
        <v>899</v>
      </c>
      <c r="F406" t="s" s="79">
        <v>149</v>
      </c>
      <c r="G406" s="80">
        <v>17</v>
      </c>
      <c r="H406" t="s" s="79">
        <v>175</v>
      </c>
      <c r="I406" t="s" s="79">
        <v>266</v>
      </c>
      <c r="J406" s="80">
        <v>25</v>
      </c>
      <c r="K406" t="s" s="79">
        <v>900</v>
      </c>
      <c r="L406" t="s" s="79">
        <v>121</v>
      </c>
      <c r="M406" s="78"/>
      <c r="N406" s="78"/>
      <c r="O406" t="s" s="88">
        <v>380</v>
      </c>
      <c r="P406" s="80">
        <v>1</v>
      </c>
      <c r="Q406" s="81">
        <v>5.5</v>
      </c>
      <c r="R406" s="81">
        <v>5.5</v>
      </c>
      <c r="S406" s="80">
        <v>0</v>
      </c>
      <c r="T406" s="80">
        <v>0</v>
      </c>
      <c r="U406" t="s" s="79">
        <v>122</v>
      </c>
      <c r="V406" s="80">
        <v>21</v>
      </c>
      <c r="W406" s="81">
        <v>5.71</v>
      </c>
      <c r="X406" s="81">
        <v>5.86</v>
      </c>
      <c r="Y406" s="80">
        <v>1</v>
      </c>
      <c r="Z406" s="80">
        <v>0</v>
      </c>
      <c r="AA406" t="s" s="79">
        <v>123</v>
      </c>
      <c r="AB406" t="s" s="79">
        <v>124</v>
      </c>
      <c r="AC406" t="s" s="79">
        <v>124</v>
      </c>
      <c r="AD406" t="s" s="82">
        <v>125</v>
      </c>
      <c r="AE406" s="67"/>
    </row>
    <row r="407" ht="15" customHeight="1">
      <c r="A407" t="s" s="87">
        <v>32</v>
      </c>
      <c r="B407" s="69">
        <v>30.7</v>
      </c>
      <c r="C407" t="b" s="70">
        <v>0</v>
      </c>
      <c r="D407" s="71"/>
      <c r="E407" t="s" s="72">
        <v>901</v>
      </c>
      <c r="F407" t="s" s="72">
        <v>149</v>
      </c>
      <c r="G407" s="73">
        <v>15</v>
      </c>
      <c r="H407" t="s" s="72">
        <v>175</v>
      </c>
      <c r="I407" t="s" s="72">
        <v>203</v>
      </c>
      <c r="J407" s="73">
        <v>22</v>
      </c>
      <c r="K407" t="s" s="72">
        <v>902</v>
      </c>
      <c r="L407" t="s" s="72">
        <v>121</v>
      </c>
      <c r="M407" s="71"/>
      <c r="N407" s="71"/>
      <c r="O407" s="71"/>
      <c r="P407" s="73">
        <v>1</v>
      </c>
      <c r="Q407" s="74">
        <v>6</v>
      </c>
      <c r="R407" s="74">
        <v>6</v>
      </c>
      <c r="S407" s="73">
        <v>0</v>
      </c>
      <c r="T407" s="73">
        <v>0</v>
      </c>
      <c r="U407" t="s" s="72">
        <v>122</v>
      </c>
      <c r="V407" s="73">
        <v>11</v>
      </c>
      <c r="W407" s="74">
        <v>5.73</v>
      </c>
      <c r="X407" s="74">
        <v>5.77</v>
      </c>
      <c r="Y407" s="73">
        <v>0</v>
      </c>
      <c r="Z407" s="73">
        <v>2</v>
      </c>
      <c r="AA407" t="s" s="72">
        <v>123</v>
      </c>
      <c r="AB407" t="s" s="72">
        <v>124</v>
      </c>
      <c r="AC407" t="s" s="72">
        <v>124</v>
      </c>
      <c r="AD407" t="s" s="75">
        <v>125</v>
      </c>
      <c r="AE407" s="67"/>
    </row>
    <row r="408" ht="15" customHeight="1">
      <c r="A408" t="s" s="87">
        <v>32</v>
      </c>
      <c r="B408" s="76">
        <v>30.4</v>
      </c>
      <c r="C408" t="b" s="77">
        <v>0</v>
      </c>
      <c r="D408" t="s" s="85">
        <v>178</v>
      </c>
      <c r="E408" t="s" s="79">
        <v>903</v>
      </c>
      <c r="F408" t="s" s="79">
        <v>187</v>
      </c>
      <c r="G408" s="80">
        <v>9</v>
      </c>
      <c r="H408" t="s" s="79">
        <v>164</v>
      </c>
      <c r="I408" t="s" s="79">
        <v>371</v>
      </c>
      <c r="J408" s="80">
        <v>21</v>
      </c>
      <c r="K408" t="s" s="79">
        <v>738</v>
      </c>
      <c r="L408" t="s" s="79">
        <v>121</v>
      </c>
      <c r="M408" s="78"/>
      <c r="N408" s="78"/>
      <c r="O408" s="78"/>
      <c r="P408" s="80">
        <v>1</v>
      </c>
      <c r="Q408" s="81">
        <v>6.5</v>
      </c>
      <c r="R408" s="81">
        <v>7.5</v>
      </c>
      <c r="S408" s="80">
        <v>0</v>
      </c>
      <c r="T408" s="80">
        <v>1</v>
      </c>
      <c r="U408" t="s" s="79">
        <v>122</v>
      </c>
      <c r="V408" s="80">
        <v>24</v>
      </c>
      <c r="W408" s="81">
        <v>5.77</v>
      </c>
      <c r="X408" s="81">
        <v>5.77</v>
      </c>
      <c r="Y408" s="80">
        <v>0</v>
      </c>
      <c r="Z408" s="80">
        <v>1</v>
      </c>
      <c r="AA408" t="s" s="79">
        <v>123</v>
      </c>
      <c r="AB408" t="s" s="79">
        <v>124</v>
      </c>
      <c r="AC408" t="s" s="79">
        <v>124</v>
      </c>
      <c r="AD408" t="s" s="82">
        <v>125</v>
      </c>
      <c r="AE408" s="67"/>
    </row>
    <row r="409" ht="15" customHeight="1">
      <c r="A409" t="s" s="87">
        <v>32</v>
      </c>
      <c r="B409" s="69">
        <v>28.8</v>
      </c>
      <c r="C409" t="b" s="70">
        <v>0</v>
      </c>
      <c r="D409" s="71"/>
      <c r="E409" t="s" s="72">
        <v>904</v>
      </c>
      <c r="F409" t="s" s="72">
        <v>180</v>
      </c>
      <c r="G409" s="73">
        <v>15</v>
      </c>
      <c r="H409" t="s" s="72">
        <v>905</v>
      </c>
      <c r="I409" t="s" s="72">
        <v>906</v>
      </c>
      <c r="J409" s="73">
        <v>20</v>
      </c>
      <c r="K409" t="s" s="72">
        <v>128</v>
      </c>
      <c r="L409" t="s" s="72">
        <v>121</v>
      </c>
      <c r="M409" s="71"/>
      <c r="N409" s="71"/>
      <c r="O409" s="71"/>
      <c r="P409" s="73">
        <v>1</v>
      </c>
      <c r="Q409" s="74">
        <v>5.5</v>
      </c>
      <c r="R409" s="74">
        <v>5.5</v>
      </c>
      <c r="S409" s="73">
        <v>0</v>
      </c>
      <c r="T409" s="73">
        <v>0</v>
      </c>
      <c r="U409" t="s" s="72">
        <v>122</v>
      </c>
      <c r="V409" s="71"/>
      <c r="W409" s="71"/>
      <c r="X409" s="71"/>
      <c r="Y409" s="71"/>
      <c r="Z409" s="71"/>
      <c r="AA409" s="71"/>
      <c r="AB409" t="s" s="72">
        <v>124</v>
      </c>
      <c r="AC409" t="s" s="72">
        <v>124</v>
      </c>
      <c r="AD409" t="s" s="75">
        <v>125</v>
      </c>
      <c r="AE409" s="67"/>
    </row>
    <row r="410" ht="15" customHeight="1">
      <c r="A410" t="s" s="87">
        <v>32</v>
      </c>
      <c r="B410" s="76">
        <v>28.4</v>
      </c>
      <c r="C410" t="b" s="77">
        <v>0</v>
      </c>
      <c r="D410" s="78"/>
      <c r="E410" t="s" s="79">
        <v>907</v>
      </c>
      <c r="F410" t="s" s="79">
        <v>147</v>
      </c>
      <c r="G410" s="80">
        <v>13</v>
      </c>
      <c r="H410" t="s" s="79">
        <v>175</v>
      </c>
      <c r="I410" t="s" s="79">
        <v>758</v>
      </c>
      <c r="J410" s="80">
        <v>31</v>
      </c>
      <c r="K410" t="s" s="79">
        <v>128</v>
      </c>
      <c r="L410" t="s" s="79">
        <v>121</v>
      </c>
      <c r="M410" s="78"/>
      <c r="N410" t="s" s="79">
        <v>311</v>
      </c>
      <c r="O410" s="78"/>
      <c r="P410" s="80">
        <v>2</v>
      </c>
      <c r="Q410" s="81">
        <v>5.75</v>
      </c>
      <c r="R410" s="81">
        <v>5.5</v>
      </c>
      <c r="S410" s="80">
        <v>0</v>
      </c>
      <c r="T410" s="80">
        <v>0</v>
      </c>
      <c r="U410" t="s" s="79">
        <v>122</v>
      </c>
      <c r="V410" s="80">
        <v>20</v>
      </c>
      <c r="W410" s="81">
        <v>6.05</v>
      </c>
      <c r="X410" s="81">
        <v>6.02</v>
      </c>
      <c r="Y410" s="80">
        <v>0</v>
      </c>
      <c r="Z410" s="80">
        <v>1</v>
      </c>
      <c r="AA410" t="s" s="79">
        <v>123</v>
      </c>
      <c r="AB410" t="s" s="79">
        <v>124</v>
      </c>
      <c r="AC410" t="s" s="79">
        <v>124</v>
      </c>
      <c r="AD410" t="s" s="82">
        <v>125</v>
      </c>
      <c r="AE410" s="67"/>
    </row>
    <row r="411" ht="15" customHeight="1">
      <c r="A411" t="s" s="87">
        <v>32</v>
      </c>
      <c r="B411" s="69">
        <v>28</v>
      </c>
      <c r="C411" t="b" s="70">
        <v>0</v>
      </c>
      <c r="D411" t="s" s="84">
        <v>161</v>
      </c>
      <c r="E411" t="s" s="72">
        <v>908</v>
      </c>
      <c r="F411" t="s" s="72">
        <v>168</v>
      </c>
      <c r="G411" s="73">
        <v>8</v>
      </c>
      <c r="H411" t="s" s="72">
        <v>118</v>
      </c>
      <c r="I411" t="s" s="72">
        <v>308</v>
      </c>
      <c r="J411" s="73">
        <v>22</v>
      </c>
      <c r="K411" t="s" s="72">
        <v>909</v>
      </c>
      <c r="L411" t="s" s="72">
        <v>121</v>
      </c>
      <c r="M411" s="71"/>
      <c r="N411" s="71"/>
      <c r="O411" s="71"/>
      <c r="P411" s="73">
        <v>2</v>
      </c>
      <c r="Q411" s="74">
        <v>5.5</v>
      </c>
      <c r="R411" s="74">
        <v>5.25</v>
      </c>
      <c r="S411" s="73">
        <v>0</v>
      </c>
      <c r="T411" s="73">
        <v>0</v>
      </c>
      <c r="U411" t="s" s="72">
        <v>122</v>
      </c>
      <c r="V411" s="73">
        <v>13</v>
      </c>
      <c r="W411" s="74">
        <v>5.62</v>
      </c>
      <c r="X411" s="74">
        <v>5.58</v>
      </c>
      <c r="Y411" s="73">
        <v>0</v>
      </c>
      <c r="Z411" s="73">
        <v>0</v>
      </c>
      <c r="AA411" t="s" s="72">
        <v>123</v>
      </c>
      <c r="AB411" t="s" s="72">
        <v>124</v>
      </c>
      <c r="AC411" t="s" s="72">
        <v>124</v>
      </c>
      <c r="AD411" t="s" s="75">
        <v>125</v>
      </c>
      <c r="AE411" s="67"/>
    </row>
    <row r="412" ht="15" customHeight="1">
      <c r="A412" t="s" s="87">
        <v>32</v>
      </c>
      <c r="B412" s="76">
        <v>27.9</v>
      </c>
      <c r="C412" t="b" s="77">
        <v>0</v>
      </c>
      <c r="D412" s="78"/>
      <c r="E412" t="s" s="79">
        <v>910</v>
      </c>
      <c r="F412" t="s" s="79">
        <v>193</v>
      </c>
      <c r="G412" s="80">
        <v>16</v>
      </c>
      <c r="H412" t="s" s="79">
        <v>175</v>
      </c>
      <c r="I412" t="s" s="79">
        <v>266</v>
      </c>
      <c r="J412" s="80">
        <v>26</v>
      </c>
      <c r="K412" t="s" s="79">
        <v>128</v>
      </c>
      <c r="L412" t="s" s="79">
        <v>121</v>
      </c>
      <c r="M412" s="78"/>
      <c r="N412" s="78"/>
      <c r="O412" t="s" s="88">
        <v>268</v>
      </c>
      <c r="P412" s="80">
        <v>0</v>
      </c>
      <c r="Q412" s="81">
        <v>0</v>
      </c>
      <c r="R412" s="81">
        <v>0</v>
      </c>
      <c r="S412" s="80">
        <v>0</v>
      </c>
      <c r="T412" s="80">
        <v>0</v>
      </c>
      <c r="U412" t="s" s="79">
        <v>122</v>
      </c>
      <c r="V412" s="80">
        <v>23</v>
      </c>
      <c r="W412" s="81">
        <v>5.85</v>
      </c>
      <c r="X412" s="81">
        <v>5.98</v>
      </c>
      <c r="Y412" s="80">
        <v>0</v>
      </c>
      <c r="Z412" s="80">
        <v>4</v>
      </c>
      <c r="AA412" t="s" s="79">
        <v>123</v>
      </c>
      <c r="AB412" t="s" s="79">
        <v>124</v>
      </c>
      <c r="AC412" t="s" s="79">
        <v>124</v>
      </c>
      <c r="AD412" t="s" s="82">
        <v>125</v>
      </c>
      <c r="AE412" s="67"/>
    </row>
    <row r="413" ht="15" customHeight="1">
      <c r="A413" t="s" s="87">
        <v>32</v>
      </c>
      <c r="B413" s="69">
        <v>27.7</v>
      </c>
      <c r="C413" t="b" s="70">
        <v>0</v>
      </c>
      <c r="D413" s="71"/>
      <c r="E413" t="s" s="72">
        <v>911</v>
      </c>
      <c r="F413" t="s" s="72">
        <v>187</v>
      </c>
      <c r="G413" s="73">
        <v>14</v>
      </c>
      <c r="H413" t="s" s="72">
        <v>175</v>
      </c>
      <c r="I413" t="s" s="72">
        <v>175</v>
      </c>
      <c r="J413" s="73">
        <v>28</v>
      </c>
      <c r="K413" t="s" s="72">
        <v>912</v>
      </c>
      <c r="L413" t="s" s="72">
        <v>121</v>
      </c>
      <c r="M413" s="71"/>
      <c r="N413" s="71"/>
      <c r="O413" s="71"/>
      <c r="P413" s="73">
        <v>0</v>
      </c>
      <c r="Q413" s="74">
        <v>0</v>
      </c>
      <c r="R413" s="74">
        <v>0</v>
      </c>
      <c r="S413" s="73">
        <v>0</v>
      </c>
      <c r="T413" s="73">
        <v>0</v>
      </c>
      <c r="U413" t="s" s="72">
        <v>122</v>
      </c>
      <c r="V413" s="73">
        <v>30</v>
      </c>
      <c r="W413" s="74">
        <v>5.85</v>
      </c>
      <c r="X413" s="74">
        <v>5.85</v>
      </c>
      <c r="Y413" s="73">
        <v>1</v>
      </c>
      <c r="Z413" s="73">
        <v>0</v>
      </c>
      <c r="AA413" t="s" s="72">
        <v>123</v>
      </c>
      <c r="AB413" t="s" s="72">
        <v>124</v>
      </c>
      <c r="AC413" t="s" s="72">
        <v>124</v>
      </c>
      <c r="AD413" t="s" s="75">
        <v>125</v>
      </c>
      <c r="AE413" s="67"/>
    </row>
    <row r="414" ht="15" customHeight="1">
      <c r="A414" t="s" s="87">
        <v>32</v>
      </c>
      <c r="B414" s="76">
        <v>27</v>
      </c>
      <c r="C414" t="b" s="77">
        <v>0</v>
      </c>
      <c r="D414" t="s" s="85">
        <v>161</v>
      </c>
      <c r="E414" t="s" s="79">
        <v>913</v>
      </c>
      <c r="F414" t="s" s="79">
        <v>156</v>
      </c>
      <c r="G414" s="80">
        <v>13</v>
      </c>
      <c r="H414" t="s" s="79">
        <v>175</v>
      </c>
      <c r="I414" t="s" s="79">
        <v>490</v>
      </c>
      <c r="J414" s="80">
        <v>21</v>
      </c>
      <c r="K414" t="s" s="79">
        <v>914</v>
      </c>
      <c r="L414" t="s" s="79">
        <v>121</v>
      </c>
      <c r="M414" s="78"/>
      <c r="N414" s="78"/>
      <c r="O414" s="78"/>
      <c r="P414" s="80">
        <v>2</v>
      </c>
      <c r="Q414" s="81">
        <v>5.75</v>
      </c>
      <c r="R414" s="81">
        <v>5.75</v>
      </c>
      <c r="S414" s="80">
        <v>0</v>
      </c>
      <c r="T414" s="80">
        <v>0</v>
      </c>
      <c r="U414" t="s" s="79">
        <v>122</v>
      </c>
      <c r="V414" s="78"/>
      <c r="W414" s="78"/>
      <c r="X414" s="78"/>
      <c r="Y414" s="78"/>
      <c r="Z414" s="78"/>
      <c r="AA414" s="78"/>
      <c r="AB414" t="s" s="79">
        <v>124</v>
      </c>
      <c r="AC414" t="s" s="79">
        <v>124</v>
      </c>
      <c r="AD414" t="s" s="82">
        <v>125</v>
      </c>
      <c r="AE414" s="67"/>
    </row>
    <row r="415" ht="15" customHeight="1">
      <c r="A415" t="s" s="87">
        <v>32</v>
      </c>
      <c r="B415" s="69">
        <v>26.6</v>
      </c>
      <c r="C415" t="b" s="70">
        <v>0</v>
      </c>
      <c r="D415" t="s" s="84">
        <v>191</v>
      </c>
      <c r="E415" t="s" s="72">
        <v>915</v>
      </c>
      <c r="F415" t="s" s="72">
        <v>156</v>
      </c>
      <c r="G415" s="73">
        <v>14</v>
      </c>
      <c r="H415" t="s" s="72">
        <v>175</v>
      </c>
      <c r="I415" t="s" s="72">
        <v>408</v>
      </c>
      <c r="J415" s="73">
        <v>26</v>
      </c>
      <c r="K415" t="s" s="72">
        <v>466</v>
      </c>
      <c r="L415" t="s" s="72">
        <v>121</v>
      </c>
      <c r="M415" s="71"/>
      <c r="N415" s="71"/>
      <c r="O415" s="71"/>
      <c r="P415" s="73">
        <v>0</v>
      </c>
      <c r="Q415" s="74">
        <v>0</v>
      </c>
      <c r="R415" s="74">
        <v>0</v>
      </c>
      <c r="S415" s="73">
        <v>0</v>
      </c>
      <c r="T415" s="73">
        <v>0</v>
      </c>
      <c r="U415" t="s" s="72">
        <v>122</v>
      </c>
      <c r="V415" s="71"/>
      <c r="W415" s="71"/>
      <c r="X415" s="71"/>
      <c r="Y415" s="71"/>
      <c r="Z415" s="71"/>
      <c r="AA415" s="71"/>
      <c r="AB415" t="s" s="72">
        <v>124</v>
      </c>
      <c r="AC415" t="s" s="72">
        <v>124</v>
      </c>
      <c r="AD415" t="s" s="75">
        <v>125</v>
      </c>
      <c r="AE415" s="67"/>
    </row>
    <row r="416" ht="15" customHeight="1">
      <c r="A416" t="s" s="87">
        <v>32</v>
      </c>
      <c r="B416" s="76">
        <v>25.4</v>
      </c>
      <c r="C416" t="b" s="77">
        <v>0</v>
      </c>
      <c r="D416" s="78"/>
      <c r="E416" t="s" s="79">
        <v>916</v>
      </c>
      <c r="F416" t="s" s="79">
        <v>159</v>
      </c>
      <c r="G416" s="80">
        <v>13</v>
      </c>
      <c r="H416" t="s" s="79">
        <v>175</v>
      </c>
      <c r="I416" t="s" s="79">
        <v>175</v>
      </c>
      <c r="J416" s="80">
        <v>27</v>
      </c>
      <c r="K416" t="s" s="79">
        <v>136</v>
      </c>
      <c r="L416" t="s" s="79">
        <v>121</v>
      </c>
      <c r="M416" s="78"/>
      <c r="N416" s="78"/>
      <c r="O416" s="78"/>
      <c r="P416" s="80">
        <v>1</v>
      </c>
      <c r="Q416" s="81">
        <v>6</v>
      </c>
      <c r="R416" s="81">
        <v>6</v>
      </c>
      <c r="S416" s="80">
        <v>0</v>
      </c>
      <c r="T416" s="80">
        <v>0</v>
      </c>
      <c r="U416" t="s" s="79">
        <v>122</v>
      </c>
      <c r="V416" s="80">
        <v>13</v>
      </c>
      <c r="W416" s="81">
        <v>5.81</v>
      </c>
      <c r="X416" s="81">
        <v>5.77</v>
      </c>
      <c r="Y416" s="80">
        <v>0</v>
      </c>
      <c r="Z416" s="80">
        <v>0</v>
      </c>
      <c r="AA416" t="s" s="79">
        <v>123</v>
      </c>
      <c r="AB416" t="s" s="79">
        <v>124</v>
      </c>
      <c r="AC416" t="s" s="79">
        <v>124</v>
      </c>
      <c r="AD416" t="s" s="82">
        <v>125</v>
      </c>
      <c r="AE416" s="67"/>
    </row>
    <row r="417" ht="15" customHeight="1">
      <c r="A417" t="s" s="87">
        <v>32</v>
      </c>
      <c r="B417" s="69">
        <v>24.9</v>
      </c>
      <c r="C417" t="b" s="70">
        <v>0</v>
      </c>
      <c r="D417" s="71"/>
      <c r="E417" t="s" s="72">
        <v>917</v>
      </c>
      <c r="F417" t="s" s="72">
        <v>170</v>
      </c>
      <c r="G417" s="73">
        <v>13</v>
      </c>
      <c r="H417" t="s" s="72">
        <v>175</v>
      </c>
      <c r="I417" t="s" s="72">
        <v>175</v>
      </c>
      <c r="J417" s="73">
        <v>27</v>
      </c>
      <c r="K417" t="s" s="72">
        <v>128</v>
      </c>
      <c r="L417" t="s" s="72">
        <v>121</v>
      </c>
      <c r="M417" s="71"/>
      <c r="N417" s="71"/>
      <c r="O417" s="71"/>
      <c r="P417" s="71"/>
      <c r="Q417" s="71"/>
      <c r="R417" s="71"/>
      <c r="S417" s="71"/>
      <c r="T417" s="71"/>
      <c r="U417" s="71"/>
      <c r="V417" s="73">
        <v>21</v>
      </c>
      <c r="W417" s="74">
        <v>5.86</v>
      </c>
      <c r="X417" s="74">
        <v>6.07</v>
      </c>
      <c r="Y417" s="73">
        <v>1</v>
      </c>
      <c r="Z417" s="73">
        <v>2</v>
      </c>
      <c r="AA417" t="s" s="72">
        <v>123</v>
      </c>
      <c r="AB417" t="s" s="72">
        <v>125</v>
      </c>
      <c r="AC417" s="71"/>
      <c r="AD417" t="s" s="75">
        <v>125</v>
      </c>
      <c r="AE417" s="67"/>
    </row>
    <row r="418" ht="15" customHeight="1">
      <c r="A418" t="s" s="87">
        <v>32</v>
      </c>
      <c r="B418" s="76">
        <v>24.6</v>
      </c>
      <c r="C418" t="b" s="77">
        <v>0</v>
      </c>
      <c r="D418" s="78"/>
      <c r="E418" t="s" s="79">
        <v>918</v>
      </c>
      <c r="F418" t="s" s="79">
        <v>147</v>
      </c>
      <c r="G418" s="80">
        <v>14</v>
      </c>
      <c r="H418" t="s" s="79">
        <v>175</v>
      </c>
      <c r="I418" t="s" s="79">
        <v>445</v>
      </c>
      <c r="J418" s="80">
        <v>24</v>
      </c>
      <c r="K418" t="s" s="79">
        <v>128</v>
      </c>
      <c r="L418" t="s" s="79">
        <v>121</v>
      </c>
      <c r="M418" s="78"/>
      <c r="N418" s="78"/>
      <c r="O418" s="78"/>
      <c r="P418" s="80">
        <v>0</v>
      </c>
      <c r="Q418" s="81">
        <v>0</v>
      </c>
      <c r="R418" s="81">
        <v>0</v>
      </c>
      <c r="S418" s="80">
        <v>0</v>
      </c>
      <c r="T418" s="80">
        <v>0</v>
      </c>
      <c r="U418" t="s" s="79">
        <v>122</v>
      </c>
      <c r="V418" s="78"/>
      <c r="W418" s="78"/>
      <c r="X418" s="78"/>
      <c r="Y418" s="78"/>
      <c r="Z418" s="78"/>
      <c r="AA418" s="78"/>
      <c r="AB418" t="s" s="79">
        <v>124</v>
      </c>
      <c r="AC418" t="s" s="79">
        <v>124</v>
      </c>
      <c r="AD418" t="s" s="82">
        <v>125</v>
      </c>
      <c r="AE418" s="67"/>
    </row>
    <row r="419" ht="15" customHeight="1">
      <c r="A419" t="s" s="87">
        <v>32</v>
      </c>
      <c r="B419" s="69">
        <v>24.6</v>
      </c>
      <c r="C419" t="b" s="70">
        <v>0</v>
      </c>
      <c r="D419" s="71"/>
      <c r="E419" t="s" s="72">
        <v>919</v>
      </c>
      <c r="F419" t="s" s="72">
        <v>183</v>
      </c>
      <c r="G419" s="73">
        <v>14</v>
      </c>
      <c r="H419" t="s" s="72">
        <v>175</v>
      </c>
      <c r="I419" t="s" s="72">
        <v>493</v>
      </c>
      <c r="J419" s="73">
        <v>18</v>
      </c>
      <c r="K419" t="s" s="72">
        <v>136</v>
      </c>
      <c r="L419" t="s" s="72">
        <v>154</v>
      </c>
      <c r="M419" s="71"/>
      <c r="N419" s="71"/>
      <c r="O419" s="71"/>
      <c r="P419" s="73">
        <v>0</v>
      </c>
      <c r="Q419" s="74">
        <v>0</v>
      </c>
      <c r="R419" s="74">
        <v>0</v>
      </c>
      <c r="S419" s="73">
        <v>0</v>
      </c>
      <c r="T419" s="73">
        <v>0</v>
      </c>
      <c r="U419" t="s" s="72">
        <v>122</v>
      </c>
      <c r="V419" s="71"/>
      <c r="W419" s="71"/>
      <c r="X419" s="71"/>
      <c r="Y419" s="71"/>
      <c r="Z419" s="71"/>
      <c r="AA419" s="71"/>
      <c r="AB419" t="s" s="72">
        <v>124</v>
      </c>
      <c r="AC419" t="s" s="72">
        <v>124</v>
      </c>
      <c r="AD419" t="s" s="75">
        <v>125</v>
      </c>
      <c r="AE419" s="67"/>
    </row>
    <row r="420" ht="15" customHeight="1">
      <c r="A420" t="s" s="87">
        <v>32</v>
      </c>
      <c r="B420" s="76">
        <v>24.1</v>
      </c>
      <c r="C420" t="b" s="77">
        <v>0</v>
      </c>
      <c r="D420" s="78"/>
      <c r="E420" t="s" s="79">
        <v>920</v>
      </c>
      <c r="F420" t="s" s="79">
        <v>172</v>
      </c>
      <c r="G420" s="80">
        <v>13</v>
      </c>
      <c r="H420" t="s" s="79">
        <v>175</v>
      </c>
      <c r="I420" t="s" s="79">
        <v>175</v>
      </c>
      <c r="J420" s="80">
        <v>23</v>
      </c>
      <c r="K420" t="s" s="79">
        <v>621</v>
      </c>
      <c r="L420" t="s" s="79">
        <v>328</v>
      </c>
      <c r="M420" s="78"/>
      <c r="N420" s="78"/>
      <c r="O420" s="78"/>
      <c r="P420" s="80">
        <v>0</v>
      </c>
      <c r="Q420" s="81">
        <v>0</v>
      </c>
      <c r="R420" s="81">
        <v>0</v>
      </c>
      <c r="S420" s="80">
        <v>0</v>
      </c>
      <c r="T420" s="80">
        <v>0</v>
      </c>
      <c r="U420" t="s" s="79">
        <v>122</v>
      </c>
      <c r="V420" s="80">
        <v>18</v>
      </c>
      <c r="W420" s="81">
        <v>5.69</v>
      </c>
      <c r="X420" s="81">
        <v>5.78</v>
      </c>
      <c r="Y420" s="80">
        <v>1</v>
      </c>
      <c r="Z420" s="80">
        <v>0</v>
      </c>
      <c r="AA420" t="s" s="79">
        <v>123</v>
      </c>
      <c r="AB420" t="s" s="79">
        <v>124</v>
      </c>
      <c r="AC420" t="s" s="79">
        <v>124</v>
      </c>
      <c r="AD420" t="s" s="82">
        <v>125</v>
      </c>
      <c r="AE420" s="67"/>
    </row>
    <row r="421" ht="15" customHeight="1">
      <c r="A421" t="s" s="87">
        <v>32</v>
      </c>
      <c r="B421" s="69">
        <v>23.8</v>
      </c>
      <c r="C421" t="b" s="70">
        <v>0</v>
      </c>
      <c r="D421" s="71"/>
      <c r="E421" t="s" s="72">
        <v>921</v>
      </c>
      <c r="F421" t="s" s="72">
        <v>156</v>
      </c>
      <c r="G421" s="73">
        <v>15</v>
      </c>
      <c r="H421" t="s" s="72">
        <v>175</v>
      </c>
      <c r="I421" t="s" s="72">
        <v>559</v>
      </c>
      <c r="J421" s="73">
        <v>20</v>
      </c>
      <c r="K421" t="s" s="72">
        <v>128</v>
      </c>
      <c r="L421" t="s" s="72">
        <v>121</v>
      </c>
      <c r="M421" s="71"/>
      <c r="N421" s="71"/>
      <c r="O421" t="s" s="88">
        <v>268</v>
      </c>
      <c r="P421" s="73">
        <v>0</v>
      </c>
      <c r="Q421" s="74">
        <v>0</v>
      </c>
      <c r="R421" s="74">
        <v>0</v>
      </c>
      <c r="S421" s="73">
        <v>0</v>
      </c>
      <c r="T421" s="73">
        <v>0</v>
      </c>
      <c r="U421" t="s" s="72">
        <v>122</v>
      </c>
      <c r="V421" s="73">
        <v>7</v>
      </c>
      <c r="W421" s="74">
        <v>5.79</v>
      </c>
      <c r="X421" s="74">
        <v>5.79</v>
      </c>
      <c r="Y421" s="73">
        <v>0</v>
      </c>
      <c r="Z421" s="73">
        <v>0</v>
      </c>
      <c r="AA421" t="s" s="72">
        <v>123</v>
      </c>
      <c r="AB421" t="s" s="72">
        <v>124</v>
      </c>
      <c r="AC421" t="s" s="72">
        <v>124</v>
      </c>
      <c r="AD421" t="s" s="75">
        <v>125</v>
      </c>
      <c r="AE421" s="67"/>
    </row>
    <row r="422" ht="15" customHeight="1">
      <c r="A422" t="s" s="87">
        <v>32</v>
      </c>
      <c r="B422" s="76">
        <v>23</v>
      </c>
      <c r="C422" t="b" s="77">
        <v>0</v>
      </c>
      <c r="D422" t="s" s="85">
        <v>161</v>
      </c>
      <c r="E422" t="s" s="79">
        <v>922</v>
      </c>
      <c r="F422" t="s" s="79">
        <v>168</v>
      </c>
      <c r="G422" s="80">
        <v>10</v>
      </c>
      <c r="H422" t="s" s="79">
        <v>175</v>
      </c>
      <c r="I422" t="s" s="79">
        <v>218</v>
      </c>
      <c r="J422" s="80">
        <v>28</v>
      </c>
      <c r="K422" t="s" s="79">
        <v>560</v>
      </c>
      <c r="L422" t="s" s="79">
        <v>154</v>
      </c>
      <c r="M422" s="78"/>
      <c r="N422" s="78"/>
      <c r="O422" s="78"/>
      <c r="P422" s="80">
        <v>2</v>
      </c>
      <c r="Q422" s="81">
        <v>5.75</v>
      </c>
      <c r="R422" s="81">
        <v>5.75</v>
      </c>
      <c r="S422" s="80">
        <v>0</v>
      </c>
      <c r="T422" s="80">
        <v>0</v>
      </c>
      <c r="U422" t="s" s="79">
        <v>122</v>
      </c>
      <c r="V422" s="80">
        <v>21</v>
      </c>
      <c r="W422" s="81">
        <v>5.69</v>
      </c>
      <c r="X422" s="81">
        <v>5.71</v>
      </c>
      <c r="Y422" s="80">
        <v>1</v>
      </c>
      <c r="Z422" s="80">
        <v>0</v>
      </c>
      <c r="AA422" t="s" s="79">
        <v>123</v>
      </c>
      <c r="AB422" t="s" s="79">
        <v>124</v>
      </c>
      <c r="AC422" t="s" s="79">
        <v>124</v>
      </c>
      <c r="AD422" t="s" s="82">
        <v>125</v>
      </c>
      <c r="AE422" s="67"/>
    </row>
    <row r="423" ht="15" customHeight="1">
      <c r="A423" t="s" s="87">
        <v>32</v>
      </c>
      <c r="B423" s="69">
        <v>22.7</v>
      </c>
      <c r="C423" t="b" s="70">
        <v>0</v>
      </c>
      <c r="D423" s="71"/>
      <c r="E423" t="s" s="72">
        <v>923</v>
      </c>
      <c r="F423" t="s" s="72">
        <v>156</v>
      </c>
      <c r="G423" s="73">
        <v>12</v>
      </c>
      <c r="H423" t="s" s="72">
        <v>175</v>
      </c>
      <c r="I423" t="s" s="72">
        <v>175</v>
      </c>
      <c r="J423" s="73">
        <v>33</v>
      </c>
      <c r="K423" t="s" s="72">
        <v>924</v>
      </c>
      <c r="L423" t="s" s="72">
        <v>121</v>
      </c>
      <c r="M423" s="71"/>
      <c r="N423" s="71"/>
      <c r="O423" s="71"/>
      <c r="P423" s="73">
        <v>0</v>
      </c>
      <c r="Q423" s="74">
        <v>0</v>
      </c>
      <c r="R423" s="74">
        <v>0</v>
      </c>
      <c r="S423" s="73">
        <v>0</v>
      </c>
      <c r="T423" s="73">
        <v>0</v>
      </c>
      <c r="U423" t="s" s="72">
        <v>122</v>
      </c>
      <c r="V423" s="73">
        <v>18</v>
      </c>
      <c r="W423" s="74">
        <v>6.08</v>
      </c>
      <c r="X423" s="74">
        <v>6.28</v>
      </c>
      <c r="Y423" s="73">
        <v>1</v>
      </c>
      <c r="Z423" s="73">
        <v>2</v>
      </c>
      <c r="AA423" t="s" s="72">
        <v>123</v>
      </c>
      <c r="AB423" t="s" s="72">
        <v>124</v>
      </c>
      <c r="AC423" t="s" s="72">
        <v>124</v>
      </c>
      <c r="AD423" t="s" s="75">
        <v>125</v>
      </c>
      <c r="AE423" s="67"/>
    </row>
    <row r="424" ht="15" customHeight="1">
      <c r="A424" t="s" s="87">
        <v>32</v>
      </c>
      <c r="B424" s="76">
        <v>22.5</v>
      </c>
      <c r="C424" t="b" s="77">
        <v>0</v>
      </c>
      <c r="D424" s="78"/>
      <c r="E424" t="s" s="79">
        <v>925</v>
      </c>
      <c r="F424" t="s" s="79">
        <v>156</v>
      </c>
      <c r="G424" s="80">
        <v>11</v>
      </c>
      <c r="H424" t="s" s="79">
        <v>926</v>
      </c>
      <c r="I424" t="s" s="79">
        <v>927</v>
      </c>
      <c r="J424" s="80">
        <v>21</v>
      </c>
      <c r="K424" t="s" s="79">
        <v>277</v>
      </c>
      <c r="L424" t="s" s="79">
        <v>121</v>
      </c>
      <c r="M424" s="78"/>
      <c r="N424" s="78"/>
      <c r="O424" s="78"/>
      <c r="P424" s="80">
        <v>3</v>
      </c>
      <c r="Q424" s="81">
        <v>5.67</v>
      </c>
      <c r="R424" s="81">
        <v>5.5</v>
      </c>
      <c r="S424" s="80">
        <v>0</v>
      </c>
      <c r="T424" s="80">
        <v>0</v>
      </c>
      <c r="U424" t="s" s="79">
        <v>122</v>
      </c>
      <c r="V424" s="80">
        <v>9</v>
      </c>
      <c r="W424" s="81">
        <v>5.72</v>
      </c>
      <c r="X424" s="81">
        <v>5.67</v>
      </c>
      <c r="Y424" s="80">
        <v>0</v>
      </c>
      <c r="Z424" s="80">
        <v>0</v>
      </c>
      <c r="AA424" t="s" s="79">
        <v>123</v>
      </c>
      <c r="AB424" t="s" s="79">
        <v>124</v>
      </c>
      <c r="AC424" t="s" s="79">
        <v>124</v>
      </c>
      <c r="AD424" t="s" s="82">
        <v>125</v>
      </c>
      <c r="AE424" s="67"/>
    </row>
    <row r="425" ht="15" customHeight="1">
      <c r="A425" t="s" s="87">
        <v>32</v>
      </c>
      <c r="B425" s="69">
        <v>22.5</v>
      </c>
      <c r="C425" t="b" s="70">
        <v>0</v>
      </c>
      <c r="D425" s="71"/>
      <c r="E425" t="s" s="72">
        <v>928</v>
      </c>
      <c r="F425" t="s" s="72">
        <v>130</v>
      </c>
      <c r="G425" s="73">
        <v>12</v>
      </c>
      <c r="H425" t="s" s="72">
        <v>175</v>
      </c>
      <c r="I425" t="s" s="72">
        <v>203</v>
      </c>
      <c r="J425" s="73">
        <v>22</v>
      </c>
      <c r="K425" t="s" s="72">
        <v>288</v>
      </c>
      <c r="L425" t="s" s="72">
        <v>121</v>
      </c>
      <c r="M425" s="71"/>
      <c r="N425" s="71"/>
      <c r="O425" s="71"/>
      <c r="P425" s="71"/>
      <c r="Q425" s="71"/>
      <c r="R425" s="71"/>
      <c r="S425" s="71"/>
      <c r="T425" s="71"/>
      <c r="U425" s="71"/>
      <c r="V425" s="73">
        <v>27</v>
      </c>
      <c r="W425" s="74">
        <v>5.76</v>
      </c>
      <c r="X425" s="74">
        <v>5.67</v>
      </c>
      <c r="Y425" s="73">
        <v>0</v>
      </c>
      <c r="Z425" s="73">
        <v>0</v>
      </c>
      <c r="AA425" t="s" s="72">
        <v>123</v>
      </c>
      <c r="AB425" t="s" s="72">
        <v>125</v>
      </c>
      <c r="AC425" s="71"/>
      <c r="AD425" t="s" s="75">
        <v>125</v>
      </c>
      <c r="AE425" s="67"/>
    </row>
    <row r="426" ht="15" customHeight="1">
      <c r="A426" t="s" s="87">
        <v>32</v>
      </c>
      <c r="B426" s="76">
        <v>22.4</v>
      </c>
      <c r="C426" t="b" s="77">
        <v>0</v>
      </c>
      <c r="D426" t="s" s="85">
        <v>191</v>
      </c>
      <c r="E426" t="s" s="79">
        <v>929</v>
      </c>
      <c r="F426" t="s" s="79">
        <v>180</v>
      </c>
      <c r="G426" s="80">
        <v>6</v>
      </c>
      <c r="H426" t="s" s="79">
        <v>930</v>
      </c>
      <c r="I426" t="s" s="79">
        <v>931</v>
      </c>
      <c r="J426" s="80">
        <v>22</v>
      </c>
      <c r="K426" t="s" s="79">
        <v>932</v>
      </c>
      <c r="L426" t="s" s="79">
        <v>121</v>
      </c>
      <c r="M426" s="78"/>
      <c r="N426" s="78"/>
      <c r="O426" s="78"/>
      <c r="P426" s="80">
        <v>1</v>
      </c>
      <c r="Q426" s="81">
        <v>6</v>
      </c>
      <c r="R426" s="81">
        <v>6</v>
      </c>
      <c r="S426" s="80">
        <v>0</v>
      </c>
      <c r="T426" s="80">
        <v>0</v>
      </c>
      <c r="U426" t="s" s="79">
        <v>122</v>
      </c>
      <c r="V426" s="78"/>
      <c r="W426" s="78"/>
      <c r="X426" s="78"/>
      <c r="Y426" s="78"/>
      <c r="Z426" s="78"/>
      <c r="AA426" s="78"/>
      <c r="AB426" t="s" s="79">
        <v>124</v>
      </c>
      <c r="AC426" t="s" s="79">
        <v>124</v>
      </c>
      <c r="AD426" t="s" s="82">
        <v>125</v>
      </c>
      <c r="AE426" s="67"/>
    </row>
    <row r="427" ht="15" customHeight="1">
      <c r="A427" t="s" s="87">
        <v>32</v>
      </c>
      <c r="B427" s="69">
        <v>21.4</v>
      </c>
      <c r="C427" t="b" s="70">
        <v>0</v>
      </c>
      <c r="D427" t="s" s="84">
        <v>161</v>
      </c>
      <c r="E427" t="s" s="72">
        <v>933</v>
      </c>
      <c r="F427" t="s" s="72">
        <v>144</v>
      </c>
      <c r="G427" s="73">
        <v>11</v>
      </c>
      <c r="H427" t="s" s="72">
        <v>175</v>
      </c>
      <c r="I427" t="s" s="72">
        <v>490</v>
      </c>
      <c r="J427" s="73">
        <v>21</v>
      </c>
      <c r="K427" t="s" s="72">
        <v>316</v>
      </c>
      <c r="L427" t="s" s="72">
        <v>121</v>
      </c>
      <c r="M427" s="71"/>
      <c r="N427" s="71"/>
      <c r="O427" s="71"/>
      <c r="P427" s="73">
        <v>1</v>
      </c>
      <c r="Q427" s="74">
        <v>5.5</v>
      </c>
      <c r="R427" s="74">
        <v>5.5</v>
      </c>
      <c r="S427" s="73">
        <v>0</v>
      </c>
      <c r="T427" s="73">
        <v>0</v>
      </c>
      <c r="U427" t="s" s="72">
        <v>122</v>
      </c>
      <c r="V427" s="71"/>
      <c r="W427" s="71"/>
      <c r="X427" s="71"/>
      <c r="Y427" s="71"/>
      <c r="Z427" s="71"/>
      <c r="AA427" s="71"/>
      <c r="AB427" t="s" s="72">
        <v>124</v>
      </c>
      <c r="AC427" t="s" s="72">
        <v>124</v>
      </c>
      <c r="AD427" t="s" s="75">
        <v>125</v>
      </c>
      <c r="AE427" s="67"/>
    </row>
    <row r="428" ht="15" customHeight="1">
      <c r="A428" t="s" s="87">
        <v>32</v>
      </c>
      <c r="B428" s="76">
        <v>20.9</v>
      </c>
      <c r="C428" t="b" s="77">
        <v>0</v>
      </c>
      <c r="D428" s="78"/>
      <c r="E428" t="s" s="79">
        <v>934</v>
      </c>
      <c r="F428" t="s" s="79">
        <v>193</v>
      </c>
      <c r="G428" s="80">
        <v>11</v>
      </c>
      <c r="H428" t="s" s="79">
        <v>175</v>
      </c>
      <c r="I428" t="s" s="79">
        <v>203</v>
      </c>
      <c r="J428" s="80">
        <v>21</v>
      </c>
      <c r="K428" t="s" s="79">
        <v>935</v>
      </c>
      <c r="L428" t="s" s="79">
        <v>121</v>
      </c>
      <c r="M428" s="78"/>
      <c r="N428" s="78"/>
      <c r="O428" s="78"/>
      <c r="P428" s="80">
        <v>1</v>
      </c>
      <c r="Q428" s="81">
        <v>5.5</v>
      </c>
      <c r="R428" s="81">
        <v>5.5</v>
      </c>
      <c r="S428" s="80">
        <v>0</v>
      </c>
      <c r="T428" s="80">
        <v>0</v>
      </c>
      <c r="U428" t="s" s="79">
        <v>122</v>
      </c>
      <c r="V428" s="80">
        <v>2</v>
      </c>
      <c r="W428" s="81">
        <v>6</v>
      </c>
      <c r="X428" s="81">
        <v>6</v>
      </c>
      <c r="Y428" s="80">
        <v>0</v>
      </c>
      <c r="Z428" s="80">
        <v>0</v>
      </c>
      <c r="AA428" t="s" s="79">
        <v>123</v>
      </c>
      <c r="AB428" t="s" s="79">
        <v>124</v>
      </c>
      <c r="AC428" t="s" s="79">
        <v>124</v>
      </c>
      <c r="AD428" t="s" s="82">
        <v>125</v>
      </c>
      <c r="AE428" s="67"/>
    </row>
    <row r="429" ht="15" customHeight="1">
      <c r="A429" t="s" s="87">
        <v>32</v>
      </c>
      <c r="B429" s="69">
        <v>20.9</v>
      </c>
      <c r="C429" t="b" s="70">
        <v>0</v>
      </c>
      <c r="D429" s="71"/>
      <c r="E429" t="s" s="72">
        <v>936</v>
      </c>
      <c r="F429" t="s" s="72">
        <v>147</v>
      </c>
      <c r="G429" s="73">
        <v>11</v>
      </c>
      <c r="H429" t="s" s="72">
        <v>175</v>
      </c>
      <c r="I429" t="s" s="72">
        <v>175</v>
      </c>
      <c r="J429" s="73">
        <v>32</v>
      </c>
      <c r="K429" t="s" s="72">
        <v>128</v>
      </c>
      <c r="L429" t="s" s="72">
        <v>121</v>
      </c>
      <c r="M429" s="71"/>
      <c r="N429" s="71"/>
      <c r="O429" s="71"/>
      <c r="P429" s="73">
        <v>0</v>
      </c>
      <c r="Q429" s="74">
        <v>0</v>
      </c>
      <c r="R429" s="74">
        <v>0</v>
      </c>
      <c r="S429" s="73">
        <v>0</v>
      </c>
      <c r="T429" s="73">
        <v>0</v>
      </c>
      <c r="U429" t="s" s="72">
        <v>122</v>
      </c>
      <c r="V429" s="73">
        <v>29</v>
      </c>
      <c r="W429" s="74">
        <v>5.9</v>
      </c>
      <c r="X429" s="74">
        <v>5.83</v>
      </c>
      <c r="Y429" s="73">
        <v>1</v>
      </c>
      <c r="Z429" s="73">
        <v>0</v>
      </c>
      <c r="AA429" t="s" s="72">
        <v>123</v>
      </c>
      <c r="AB429" t="s" s="72">
        <v>124</v>
      </c>
      <c r="AC429" t="s" s="72">
        <v>124</v>
      </c>
      <c r="AD429" t="s" s="75">
        <v>125</v>
      </c>
      <c r="AE429" s="67"/>
    </row>
    <row r="430" ht="15" customHeight="1">
      <c r="A430" t="s" s="87">
        <v>32</v>
      </c>
      <c r="B430" s="76">
        <v>19.5</v>
      </c>
      <c r="C430" t="b" s="77">
        <v>0</v>
      </c>
      <c r="D430" s="78"/>
      <c r="E430" t="s" s="79">
        <v>937</v>
      </c>
      <c r="F430" t="s" s="79">
        <v>163</v>
      </c>
      <c r="G430" s="80">
        <v>11</v>
      </c>
      <c r="H430" t="s" s="79">
        <v>175</v>
      </c>
      <c r="I430" t="s" s="79">
        <v>175</v>
      </c>
      <c r="J430" s="80">
        <v>24</v>
      </c>
      <c r="K430" t="s" s="79">
        <v>938</v>
      </c>
      <c r="L430" t="s" s="79">
        <v>121</v>
      </c>
      <c r="M430" s="78"/>
      <c r="N430" s="78"/>
      <c r="O430" s="78"/>
      <c r="P430" s="80">
        <v>0</v>
      </c>
      <c r="Q430" s="81">
        <v>0</v>
      </c>
      <c r="R430" s="81">
        <v>0</v>
      </c>
      <c r="S430" s="80">
        <v>0</v>
      </c>
      <c r="T430" s="80">
        <v>0</v>
      </c>
      <c r="U430" t="s" s="79">
        <v>122</v>
      </c>
      <c r="V430" s="80">
        <v>9</v>
      </c>
      <c r="W430" s="81">
        <v>5.78</v>
      </c>
      <c r="X430" s="81">
        <v>5.72</v>
      </c>
      <c r="Y430" s="80">
        <v>0</v>
      </c>
      <c r="Z430" s="80">
        <v>0</v>
      </c>
      <c r="AA430" t="s" s="79">
        <v>123</v>
      </c>
      <c r="AB430" t="s" s="79">
        <v>124</v>
      </c>
      <c r="AC430" t="s" s="79">
        <v>124</v>
      </c>
      <c r="AD430" t="s" s="82">
        <v>125</v>
      </c>
      <c r="AE430" s="67"/>
    </row>
    <row r="431" ht="15" customHeight="1">
      <c r="A431" t="s" s="87">
        <v>32</v>
      </c>
      <c r="B431" s="69">
        <v>19</v>
      </c>
      <c r="C431" t="b" s="70">
        <v>0</v>
      </c>
      <c r="D431" t="s" s="84">
        <v>191</v>
      </c>
      <c r="E431" t="s" s="72">
        <v>939</v>
      </c>
      <c r="F431" t="s" s="72">
        <v>159</v>
      </c>
      <c r="G431" s="73">
        <v>13</v>
      </c>
      <c r="H431" t="s" s="72">
        <v>175</v>
      </c>
      <c r="I431" t="s" s="72">
        <v>940</v>
      </c>
      <c r="J431" s="73">
        <v>27</v>
      </c>
      <c r="K431" t="s" s="72">
        <v>523</v>
      </c>
      <c r="L431" t="s" s="72">
        <v>121</v>
      </c>
      <c r="M431" s="71"/>
      <c r="N431" s="71"/>
      <c r="O431" t="s" s="88">
        <v>834</v>
      </c>
      <c r="P431" s="73">
        <v>0</v>
      </c>
      <c r="Q431" s="74">
        <v>0</v>
      </c>
      <c r="R431" s="74">
        <v>0</v>
      </c>
      <c r="S431" s="73">
        <v>0</v>
      </c>
      <c r="T431" s="73">
        <v>0</v>
      </c>
      <c r="U431" t="s" s="72">
        <v>122</v>
      </c>
      <c r="V431" s="71"/>
      <c r="W431" s="71"/>
      <c r="X431" s="71"/>
      <c r="Y431" s="71"/>
      <c r="Z431" s="71"/>
      <c r="AA431" s="71"/>
      <c r="AB431" t="s" s="72">
        <v>124</v>
      </c>
      <c r="AC431" t="s" s="72">
        <v>124</v>
      </c>
      <c r="AD431" t="s" s="75">
        <v>125</v>
      </c>
      <c r="AE431" s="67"/>
    </row>
    <row r="432" ht="15" customHeight="1">
      <c r="A432" t="s" s="87">
        <v>32</v>
      </c>
      <c r="B432" s="76">
        <v>17.9</v>
      </c>
      <c r="C432" t="b" s="77">
        <v>0</v>
      </c>
      <c r="D432" s="78"/>
      <c r="E432" t="s" s="79">
        <v>941</v>
      </c>
      <c r="F432" t="s" s="79">
        <v>187</v>
      </c>
      <c r="G432" s="80">
        <v>11</v>
      </c>
      <c r="H432" t="s" s="79">
        <v>175</v>
      </c>
      <c r="I432" t="s" s="79">
        <v>493</v>
      </c>
      <c r="J432" s="80">
        <v>21</v>
      </c>
      <c r="K432" t="s" s="79">
        <v>128</v>
      </c>
      <c r="L432" t="s" s="79">
        <v>121</v>
      </c>
      <c r="M432" s="78"/>
      <c r="N432" s="78"/>
      <c r="O432" s="78"/>
      <c r="P432" s="80">
        <v>0</v>
      </c>
      <c r="Q432" s="81">
        <v>0</v>
      </c>
      <c r="R432" s="81">
        <v>0</v>
      </c>
      <c r="S432" s="80">
        <v>0</v>
      </c>
      <c r="T432" s="80">
        <v>0</v>
      </c>
      <c r="U432" t="s" s="79">
        <v>122</v>
      </c>
      <c r="V432" s="78"/>
      <c r="W432" s="78"/>
      <c r="X432" s="78"/>
      <c r="Y432" s="78"/>
      <c r="Z432" s="78"/>
      <c r="AA432" s="78"/>
      <c r="AB432" t="s" s="79">
        <v>124</v>
      </c>
      <c r="AC432" t="s" s="79">
        <v>124</v>
      </c>
      <c r="AD432" t="s" s="82">
        <v>125</v>
      </c>
      <c r="AE432" s="67"/>
    </row>
    <row r="433" ht="15" customHeight="1">
      <c r="A433" t="s" s="87">
        <v>32</v>
      </c>
      <c r="B433" s="69">
        <v>17.4</v>
      </c>
      <c r="C433" t="b" s="70">
        <v>0</v>
      </c>
      <c r="D433" s="71"/>
      <c r="E433" t="s" s="72">
        <v>942</v>
      </c>
      <c r="F433" t="s" s="72">
        <v>159</v>
      </c>
      <c r="G433" s="73">
        <v>10</v>
      </c>
      <c r="H433" t="s" s="72">
        <v>175</v>
      </c>
      <c r="I433" t="s" s="72">
        <v>175</v>
      </c>
      <c r="J433" s="73">
        <v>28</v>
      </c>
      <c r="K433" t="s" s="72">
        <v>647</v>
      </c>
      <c r="L433" s="71"/>
      <c r="M433" s="71"/>
      <c r="N433" s="71"/>
      <c r="O433" s="71"/>
      <c r="P433" s="71"/>
      <c r="Q433" s="71"/>
      <c r="R433" s="71"/>
      <c r="S433" s="71"/>
      <c r="T433" s="71"/>
      <c r="U433" s="71"/>
      <c r="V433" s="73">
        <v>11</v>
      </c>
      <c r="W433" s="74">
        <v>5.68</v>
      </c>
      <c r="X433" s="74">
        <v>5.68</v>
      </c>
      <c r="Y433" s="73">
        <v>0</v>
      </c>
      <c r="Z433" s="73">
        <v>1</v>
      </c>
      <c r="AA433" t="s" s="72">
        <v>123</v>
      </c>
      <c r="AB433" t="s" s="72">
        <v>125</v>
      </c>
      <c r="AC433" s="71"/>
      <c r="AD433" t="s" s="75">
        <v>125</v>
      </c>
      <c r="AE433" s="67"/>
    </row>
    <row r="434" ht="15" customHeight="1">
      <c r="A434" t="s" s="87">
        <v>32</v>
      </c>
      <c r="B434" s="76">
        <v>17.1</v>
      </c>
      <c r="C434" t="b" s="77">
        <v>0</v>
      </c>
      <c r="D434" s="78"/>
      <c r="E434" t="s" s="79">
        <v>943</v>
      </c>
      <c r="F434" t="s" s="79">
        <v>183</v>
      </c>
      <c r="G434" s="80">
        <v>10</v>
      </c>
      <c r="H434" t="s" s="79">
        <v>175</v>
      </c>
      <c r="I434" t="s" s="79">
        <v>175</v>
      </c>
      <c r="J434" s="80">
        <v>25</v>
      </c>
      <c r="K434" t="s" s="79">
        <v>727</v>
      </c>
      <c r="L434" t="s" s="79">
        <v>121</v>
      </c>
      <c r="M434" s="78"/>
      <c r="N434" s="78"/>
      <c r="O434" s="78"/>
      <c r="P434" s="80">
        <v>0</v>
      </c>
      <c r="Q434" s="81">
        <v>0</v>
      </c>
      <c r="R434" s="81">
        <v>0</v>
      </c>
      <c r="S434" s="80">
        <v>0</v>
      </c>
      <c r="T434" s="80">
        <v>0</v>
      </c>
      <c r="U434" t="s" s="79">
        <v>122</v>
      </c>
      <c r="V434" s="80">
        <v>4</v>
      </c>
      <c r="W434" s="81">
        <v>5.62</v>
      </c>
      <c r="X434" s="81">
        <v>5.62</v>
      </c>
      <c r="Y434" s="80">
        <v>0</v>
      </c>
      <c r="Z434" s="80">
        <v>0</v>
      </c>
      <c r="AA434" t="s" s="79">
        <v>123</v>
      </c>
      <c r="AB434" t="s" s="79">
        <v>124</v>
      </c>
      <c r="AC434" t="s" s="79">
        <v>124</v>
      </c>
      <c r="AD434" t="s" s="82">
        <v>125</v>
      </c>
      <c r="AE434" s="67"/>
    </row>
    <row r="435" ht="15" customHeight="1">
      <c r="A435" t="s" s="87">
        <v>32</v>
      </c>
      <c r="B435" s="69">
        <v>16.5</v>
      </c>
      <c r="C435" t="b" s="70">
        <v>0</v>
      </c>
      <c r="D435" s="71"/>
      <c r="E435" t="s" s="72">
        <v>944</v>
      </c>
      <c r="F435" t="s" s="72">
        <v>153</v>
      </c>
      <c r="G435" s="73">
        <v>9</v>
      </c>
      <c r="H435" t="s" s="72">
        <v>175</v>
      </c>
      <c r="I435" t="s" s="72">
        <v>175</v>
      </c>
      <c r="J435" s="73">
        <v>25</v>
      </c>
      <c r="K435" t="s" s="72">
        <v>484</v>
      </c>
      <c r="L435" t="s" s="72">
        <v>121</v>
      </c>
      <c r="M435" s="71"/>
      <c r="N435" s="71"/>
      <c r="O435" s="71"/>
      <c r="P435" s="73">
        <v>0</v>
      </c>
      <c r="Q435" s="74">
        <v>0</v>
      </c>
      <c r="R435" s="74">
        <v>0</v>
      </c>
      <c r="S435" s="73">
        <v>0</v>
      </c>
      <c r="T435" s="73">
        <v>0</v>
      </c>
      <c r="U435" t="s" s="72">
        <v>122</v>
      </c>
      <c r="V435" s="73">
        <v>14</v>
      </c>
      <c r="W435" s="74">
        <v>6.07</v>
      </c>
      <c r="X435" s="74">
        <v>6.25</v>
      </c>
      <c r="Y435" s="73">
        <v>1</v>
      </c>
      <c r="Z435" s="73">
        <v>0</v>
      </c>
      <c r="AA435" t="s" s="72">
        <v>123</v>
      </c>
      <c r="AB435" t="s" s="72">
        <v>124</v>
      </c>
      <c r="AC435" t="s" s="72">
        <v>124</v>
      </c>
      <c r="AD435" t="s" s="75">
        <v>125</v>
      </c>
      <c r="AE435" s="67"/>
    </row>
    <row r="436" ht="15" customHeight="1">
      <c r="A436" t="s" s="87">
        <v>32</v>
      </c>
      <c r="B436" s="76">
        <v>16.3</v>
      </c>
      <c r="C436" t="b" s="77">
        <v>0</v>
      </c>
      <c r="D436" s="78"/>
      <c r="E436" t="s" s="79">
        <v>945</v>
      </c>
      <c r="F436" t="s" s="79">
        <v>130</v>
      </c>
      <c r="G436" s="80">
        <v>8</v>
      </c>
      <c r="H436" t="s" s="79">
        <v>175</v>
      </c>
      <c r="I436" t="s" s="79">
        <v>493</v>
      </c>
      <c r="J436" s="80">
        <v>19</v>
      </c>
      <c r="K436" t="s" s="79">
        <v>946</v>
      </c>
      <c r="L436" t="s" s="79">
        <v>121</v>
      </c>
      <c r="M436" s="78"/>
      <c r="N436" s="78"/>
      <c r="O436" s="78"/>
      <c r="P436" s="80">
        <v>2</v>
      </c>
      <c r="Q436" s="81">
        <v>6.5</v>
      </c>
      <c r="R436" s="81">
        <v>8</v>
      </c>
      <c r="S436" s="80">
        <v>1</v>
      </c>
      <c r="T436" s="80">
        <v>0</v>
      </c>
      <c r="U436" t="s" s="79">
        <v>122</v>
      </c>
      <c r="V436" s="80">
        <v>0</v>
      </c>
      <c r="W436" s="81">
        <v>0</v>
      </c>
      <c r="X436" s="81">
        <v>0</v>
      </c>
      <c r="Y436" s="80">
        <v>0</v>
      </c>
      <c r="Z436" s="80">
        <v>0</v>
      </c>
      <c r="AA436" t="s" s="79">
        <v>123</v>
      </c>
      <c r="AB436" t="s" s="79">
        <v>124</v>
      </c>
      <c r="AC436" t="s" s="79">
        <v>124</v>
      </c>
      <c r="AD436" t="s" s="82">
        <v>125</v>
      </c>
      <c r="AE436" s="67"/>
    </row>
    <row r="437" ht="15" customHeight="1">
      <c r="A437" t="s" s="87">
        <v>32</v>
      </c>
      <c r="B437" s="69">
        <v>15.7</v>
      </c>
      <c r="C437" t="b" s="70">
        <v>0</v>
      </c>
      <c r="D437" s="71"/>
      <c r="E437" t="s" s="72">
        <v>947</v>
      </c>
      <c r="F437" t="s" s="72">
        <v>183</v>
      </c>
      <c r="G437" s="73">
        <v>10</v>
      </c>
      <c r="H437" t="s" s="72">
        <v>175</v>
      </c>
      <c r="I437" t="s" s="72">
        <v>445</v>
      </c>
      <c r="J437" s="73">
        <v>33</v>
      </c>
      <c r="K437" t="s" s="72">
        <v>621</v>
      </c>
      <c r="L437" t="s" s="72">
        <v>154</v>
      </c>
      <c r="M437" s="71"/>
      <c r="N437" s="71"/>
      <c r="O437" s="71"/>
      <c r="P437" s="73">
        <v>0</v>
      </c>
      <c r="Q437" s="74">
        <v>0</v>
      </c>
      <c r="R437" s="74">
        <v>0</v>
      </c>
      <c r="S437" s="73">
        <v>0</v>
      </c>
      <c r="T437" s="73">
        <v>0</v>
      </c>
      <c r="U437" t="s" s="72">
        <v>122</v>
      </c>
      <c r="V437" s="71"/>
      <c r="W437" s="71"/>
      <c r="X437" s="71"/>
      <c r="Y437" s="71"/>
      <c r="Z437" s="71"/>
      <c r="AA437" s="71"/>
      <c r="AB437" t="s" s="72">
        <v>124</v>
      </c>
      <c r="AC437" t="s" s="72">
        <v>124</v>
      </c>
      <c r="AD437" t="s" s="75">
        <v>125</v>
      </c>
      <c r="AE437" s="67"/>
    </row>
    <row r="438" ht="15" customHeight="1">
      <c r="A438" t="s" s="87">
        <v>32</v>
      </c>
      <c r="B438" s="76">
        <v>15.7</v>
      </c>
      <c r="C438" t="b" s="77">
        <v>0</v>
      </c>
      <c r="D438" s="78"/>
      <c r="E438" t="s" s="79">
        <v>948</v>
      </c>
      <c r="F438" t="s" s="79">
        <v>180</v>
      </c>
      <c r="G438" s="80">
        <v>10</v>
      </c>
      <c r="H438" t="s" s="79">
        <v>175</v>
      </c>
      <c r="I438" t="s" s="79">
        <v>445</v>
      </c>
      <c r="J438" s="80">
        <v>29</v>
      </c>
      <c r="K438" t="s" s="79">
        <v>128</v>
      </c>
      <c r="L438" t="s" s="79">
        <v>121</v>
      </c>
      <c r="M438" s="78"/>
      <c r="N438" s="78"/>
      <c r="O438" s="78"/>
      <c r="P438" s="80">
        <v>0</v>
      </c>
      <c r="Q438" s="81">
        <v>0</v>
      </c>
      <c r="R438" s="81">
        <v>0</v>
      </c>
      <c r="S438" s="80">
        <v>0</v>
      </c>
      <c r="T438" s="80">
        <v>0</v>
      </c>
      <c r="U438" t="s" s="79">
        <v>122</v>
      </c>
      <c r="V438" s="78"/>
      <c r="W438" s="78"/>
      <c r="X438" s="78"/>
      <c r="Y438" s="78"/>
      <c r="Z438" s="78"/>
      <c r="AA438" s="78"/>
      <c r="AB438" t="s" s="79">
        <v>124</v>
      </c>
      <c r="AC438" t="s" s="79">
        <v>124</v>
      </c>
      <c r="AD438" t="s" s="82">
        <v>125</v>
      </c>
      <c r="AE438" s="67"/>
    </row>
    <row r="439" ht="15" customHeight="1">
      <c r="A439" t="s" s="87">
        <v>32</v>
      </c>
      <c r="B439" s="69">
        <v>14.4</v>
      </c>
      <c r="C439" t="b" s="70">
        <v>0</v>
      </c>
      <c r="D439" s="71"/>
      <c r="E439" t="s" s="72">
        <v>949</v>
      </c>
      <c r="F439" t="s" s="72">
        <v>180</v>
      </c>
      <c r="G439" s="73">
        <v>9</v>
      </c>
      <c r="H439" t="s" s="72">
        <v>175</v>
      </c>
      <c r="I439" t="s" s="72">
        <v>445</v>
      </c>
      <c r="J439" s="73">
        <v>26</v>
      </c>
      <c r="K439" t="s" s="72">
        <v>466</v>
      </c>
      <c r="L439" t="s" s="72">
        <v>154</v>
      </c>
      <c r="M439" s="71"/>
      <c r="N439" s="71"/>
      <c r="O439" s="71"/>
      <c r="P439" s="73">
        <v>0</v>
      </c>
      <c r="Q439" s="74">
        <v>0</v>
      </c>
      <c r="R439" s="74">
        <v>0</v>
      </c>
      <c r="S439" s="73">
        <v>0</v>
      </c>
      <c r="T439" s="73">
        <v>0</v>
      </c>
      <c r="U439" t="s" s="72">
        <v>122</v>
      </c>
      <c r="V439" s="71"/>
      <c r="W439" s="71"/>
      <c r="X439" s="71"/>
      <c r="Y439" s="71"/>
      <c r="Z439" s="71"/>
      <c r="AA439" s="71"/>
      <c r="AB439" t="s" s="72">
        <v>124</v>
      </c>
      <c r="AC439" t="s" s="72">
        <v>124</v>
      </c>
      <c r="AD439" t="s" s="75">
        <v>125</v>
      </c>
      <c r="AE439" s="67"/>
    </row>
    <row r="440" ht="15" customHeight="1">
      <c r="A440" t="s" s="87">
        <v>32</v>
      </c>
      <c r="B440" s="76">
        <v>14</v>
      </c>
      <c r="C440" t="b" s="77">
        <v>0</v>
      </c>
      <c r="D440" s="78"/>
      <c r="E440" t="s" s="79">
        <v>950</v>
      </c>
      <c r="F440" t="s" s="79">
        <v>168</v>
      </c>
      <c r="G440" s="80">
        <v>5</v>
      </c>
      <c r="H440" t="s" s="79">
        <v>175</v>
      </c>
      <c r="I440" t="s" s="79">
        <v>203</v>
      </c>
      <c r="J440" s="80">
        <v>21</v>
      </c>
      <c r="K440" t="s" s="79">
        <v>157</v>
      </c>
      <c r="L440" t="s" s="79">
        <v>121</v>
      </c>
      <c r="M440" s="78"/>
      <c r="N440" s="78"/>
      <c r="O440" s="78"/>
      <c r="P440" s="80">
        <v>2</v>
      </c>
      <c r="Q440" s="81">
        <v>5.75</v>
      </c>
      <c r="R440" s="81">
        <v>7.25</v>
      </c>
      <c r="S440" s="80">
        <v>1</v>
      </c>
      <c r="T440" s="80">
        <v>0</v>
      </c>
      <c r="U440" t="s" s="79">
        <v>122</v>
      </c>
      <c r="V440" s="80">
        <v>1</v>
      </c>
      <c r="W440" s="81">
        <v>5.5</v>
      </c>
      <c r="X440" s="81">
        <v>5.5</v>
      </c>
      <c r="Y440" s="80">
        <v>0</v>
      </c>
      <c r="Z440" s="80">
        <v>0</v>
      </c>
      <c r="AA440" t="s" s="79">
        <v>123</v>
      </c>
      <c r="AB440" t="s" s="79">
        <v>124</v>
      </c>
      <c r="AC440" t="s" s="79">
        <v>124</v>
      </c>
      <c r="AD440" t="s" s="82">
        <v>125</v>
      </c>
      <c r="AE440" s="67"/>
    </row>
    <row r="441" ht="15" customHeight="1">
      <c r="A441" t="s" s="87">
        <v>32</v>
      </c>
      <c r="B441" s="69">
        <v>13.3</v>
      </c>
      <c r="C441" t="b" s="70">
        <v>0</v>
      </c>
      <c r="D441" s="71"/>
      <c r="E441" t="s" s="72">
        <v>951</v>
      </c>
      <c r="F441" t="s" s="72">
        <v>159</v>
      </c>
      <c r="G441" s="73">
        <v>8</v>
      </c>
      <c r="H441" t="s" s="72">
        <v>175</v>
      </c>
      <c r="I441" t="s" s="72">
        <v>493</v>
      </c>
      <c r="J441" s="73">
        <v>19</v>
      </c>
      <c r="K441" t="s" s="72">
        <v>184</v>
      </c>
      <c r="L441" t="s" s="72">
        <v>121</v>
      </c>
      <c r="M441" s="71"/>
      <c r="N441" s="71"/>
      <c r="O441" s="71"/>
      <c r="P441" s="73">
        <v>0</v>
      </c>
      <c r="Q441" s="74">
        <v>0</v>
      </c>
      <c r="R441" s="74">
        <v>0</v>
      </c>
      <c r="S441" s="73">
        <v>0</v>
      </c>
      <c r="T441" s="73">
        <v>0</v>
      </c>
      <c r="U441" t="s" s="72">
        <v>122</v>
      </c>
      <c r="V441" s="71"/>
      <c r="W441" s="71"/>
      <c r="X441" s="71"/>
      <c r="Y441" s="71"/>
      <c r="Z441" s="71"/>
      <c r="AA441" s="71"/>
      <c r="AB441" t="s" s="72">
        <v>124</v>
      </c>
      <c r="AC441" t="s" s="72">
        <v>124</v>
      </c>
      <c r="AD441" t="s" s="75">
        <v>125</v>
      </c>
      <c r="AE441" s="67"/>
    </row>
    <row r="442" ht="15" customHeight="1">
      <c r="A442" t="s" s="87">
        <v>32</v>
      </c>
      <c r="B442" s="76">
        <v>13.2</v>
      </c>
      <c r="C442" t="b" s="77">
        <v>0</v>
      </c>
      <c r="D442" t="s" s="85">
        <v>161</v>
      </c>
      <c r="E442" t="s" s="79">
        <v>952</v>
      </c>
      <c r="F442" t="s" s="79">
        <v>163</v>
      </c>
      <c r="G442" s="80">
        <v>4</v>
      </c>
      <c r="H442" t="s" s="79">
        <v>953</v>
      </c>
      <c r="I442" t="s" s="79">
        <v>954</v>
      </c>
      <c r="J442" s="80">
        <v>19</v>
      </c>
      <c r="K442" t="s" s="79">
        <v>128</v>
      </c>
      <c r="L442" t="s" s="79">
        <v>121</v>
      </c>
      <c r="M442" s="78"/>
      <c r="N442" s="78"/>
      <c r="O442" s="78"/>
      <c r="P442" s="80">
        <v>2</v>
      </c>
      <c r="Q442" s="81">
        <v>6</v>
      </c>
      <c r="R442" s="81">
        <v>6.5</v>
      </c>
      <c r="S442" s="80">
        <v>0</v>
      </c>
      <c r="T442" s="80">
        <v>1</v>
      </c>
      <c r="U442" t="s" s="79">
        <v>122</v>
      </c>
      <c r="V442" s="78"/>
      <c r="W442" s="78"/>
      <c r="X442" s="78"/>
      <c r="Y442" s="78"/>
      <c r="Z442" s="78"/>
      <c r="AA442" s="78"/>
      <c r="AB442" t="s" s="79">
        <v>124</v>
      </c>
      <c r="AC442" t="s" s="79">
        <v>124</v>
      </c>
      <c r="AD442" t="s" s="82">
        <v>125</v>
      </c>
      <c r="AE442" s="67"/>
    </row>
    <row r="443" ht="15" customHeight="1">
      <c r="A443" t="s" s="87">
        <v>32</v>
      </c>
      <c r="B443" s="69">
        <v>12.9</v>
      </c>
      <c r="C443" t="b" s="70">
        <v>0</v>
      </c>
      <c r="D443" s="71"/>
      <c r="E443" t="s" s="72">
        <v>955</v>
      </c>
      <c r="F443" t="s" s="72">
        <v>187</v>
      </c>
      <c r="G443" s="73">
        <v>11</v>
      </c>
      <c r="H443" t="s" s="72">
        <v>175</v>
      </c>
      <c r="I443" t="s" s="72">
        <v>569</v>
      </c>
      <c r="J443" s="73">
        <v>31</v>
      </c>
      <c r="K443" t="s" s="72">
        <v>128</v>
      </c>
      <c r="L443" t="s" s="72">
        <v>328</v>
      </c>
      <c r="M443" s="71"/>
      <c r="N443" s="71"/>
      <c r="O443" t="s" s="88">
        <v>834</v>
      </c>
      <c r="P443" s="73">
        <v>0</v>
      </c>
      <c r="Q443" s="74">
        <v>0</v>
      </c>
      <c r="R443" s="74">
        <v>0</v>
      </c>
      <c r="S443" s="73">
        <v>0</v>
      </c>
      <c r="T443" s="73">
        <v>0</v>
      </c>
      <c r="U443" t="s" s="72">
        <v>122</v>
      </c>
      <c r="V443" s="71"/>
      <c r="W443" s="71"/>
      <c r="X443" s="71"/>
      <c r="Y443" s="71"/>
      <c r="Z443" s="71"/>
      <c r="AA443" s="71"/>
      <c r="AB443" t="s" s="72">
        <v>124</v>
      </c>
      <c r="AC443" t="s" s="72">
        <v>124</v>
      </c>
      <c r="AD443" t="s" s="75">
        <v>125</v>
      </c>
      <c r="AE443" s="67"/>
    </row>
    <row r="444" ht="15" customHeight="1">
      <c r="A444" t="s" s="87">
        <v>32</v>
      </c>
      <c r="B444" s="76">
        <v>12.6</v>
      </c>
      <c r="C444" t="b" s="77">
        <v>0</v>
      </c>
      <c r="D444" s="78"/>
      <c r="E444" t="s" s="79">
        <v>956</v>
      </c>
      <c r="F444" t="s" s="79">
        <v>168</v>
      </c>
      <c r="G444" s="80">
        <v>6</v>
      </c>
      <c r="H444" t="s" s="79">
        <v>175</v>
      </c>
      <c r="I444" t="s" s="79">
        <v>175</v>
      </c>
      <c r="J444" s="80">
        <v>24</v>
      </c>
      <c r="K444" t="s" s="79">
        <v>957</v>
      </c>
      <c r="L444" t="s" s="79">
        <v>121</v>
      </c>
      <c r="M444" s="78"/>
      <c r="N444" s="78"/>
      <c r="O444" s="78"/>
      <c r="P444" s="80">
        <v>0</v>
      </c>
      <c r="Q444" s="81">
        <v>0</v>
      </c>
      <c r="R444" s="81">
        <v>0</v>
      </c>
      <c r="S444" s="80">
        <v>0</v>
      </c>
      <c r="T444" s="80">
        <v>0</v>
      </c>
      <c r="U444" t="s" s="79">
        <v>122</v>
      </c>
      <c r="V444" s="80">
        <v>11</v>
      </c>
      <c r="W444" s="81">
        <v>5.68</v>
      </c>
      <c r="X444" s="81">
        <v>5.64</v>
      </c>
      <c r="Y444" s="80">
        <v>0</v>
      </c>
      <c r="Z444" s="80">
        <v>0</v>
      </c>
      <c r="AA444" t="s" s="79">
        <v>123</v>
      </c>
      <c r="AB444" t="s" s="79">
        <v>124</v>
      </c>
      <c r="AC444" t="s" s="79">
        <v>124</v>
      </c>
      <c r="AD444" t="s" s="82">
        <v>125</v>
      </c>
      <c r="AE444" s="67"/>
    </row>
    <row r="445" ht="15" customHeight="1">
      <c r="A445" t="s" s="87">
        <v>32</v>
      </c>
      <c r="B445" s="69">
        <v>12.4</v>
      </c>
      <c r="C445" t="b" s="70">
        <v>0</v>
      </c>
      <c r="D445" s="71"/>
      <c r="E445" t="s" s="72">
        <v>958</v>
      </c>
      <c r="F445" t="s" s="72">
        <v>187</v>
      </c>
      <c r="G445" s="73">
        <v>6</v>
      </c>
      <c r="H445" t="s" s="72">
        <v>175</v>
      </c>
      <c r="I445" t="s" s="72">
        <v>493</v>
      </c>
      <c r="J445" s="73">
        <v>20</v>
      </c>
      <c r="K445" t="s" s="72">
        <v>285</v>
      </c>
      <c r="L445" t="s" s="72">
        <v>121</v>
      </c>
      <c r="M445" s="71"/>
      <c r="N445" s="71"/>
      <c r="O445" s="71"/>
      <c r="P445" s="73">
        <v>1</v>
      </c>
      <c r="Q445" s="74">
        <v>5</v>
      </c>
      <c r="R445" s="74">
        <v>5</v>
      </c>
      <c r="S445" s="73">
        <v>0</v>
      </c>
      <c r="T445" s="73">
        <v>0</v>
      </c>
      <c r="U445" t="s" s="72">
        <v>122</v>
      </c>
      <c r="V445" s="71"/>
      <c r="W445" s="71"/>
      <c r="X445" s="71"/>
      <c r="Y445" s="71"/>
      <c r="Z445" s="71"/>
      <c r="AA445" s="71"/>
      <c r="AB445" t="s" s="72">
        <v>124</v>
      </c>
      <c r="AC445" t="s" s="72">
        <v>124</v>
      </c>
      <c r="AD445" t="s" s="75">
        <v>125</v>
      </c>
      <c r="AE445" s="67"/>
    </row>
    <row r="446" ht="15" customHeight="1">
      <c r="A446" t="s" s="87">
        <v>32</v>
      </c>
      <c r="B446" s="76">
        <v>12.4</v>
      </c>
      <c r="C446" t="b" s="77">
        <v>0</v>
      </c>
      <c r="D446" s="78"/>
      <c r="E446" t="s" s="79">
        <v>959</v>
      </c>
      <c r="F446" t="s" s="79">
        <v>183</v>
      </c>
      <c r="G446" s="80">
        <v>6</v>
      </c>
      <c r="H446" t="s" s="79">
        <v>175</v>
      </c>
      <c r="I446" t="s" s="79">
        <v>493</v>
      </c>
      <c r="J446" s="80">
        <v>22</v>
      </c>
      <c r="K446" t="s" s="79">
        <v>128</v>
      </c>
      <c r="L446" t="s" s="79">
        <v>154</v>
      </c>
      <c r="M446" s="78"/>
      <c r="N446" s="78"/>
      <c r="O446" s="78"/>
      <c r="P446" s="80">
        <v>1</v>
      </c>
      <c r="Q446" s="81">
        <v>5.5</v>
      </c>
      <c r="R446" s="81">
        <v>5</v>
      </c>
      <c r="S446" s="80">
        <v>0</v>
      </c>
      <c r="T446" s="80">
        <v>0</v>
      </c>
      <c r="U446" t="s" s="79">
        <v>122</v>
      </c>
      <c r="V446" s="78"/>
      <c r="W446" s="78"/>
      <c r="X446" s="78"/>
      <c r="Y446" s="78"/>
      <c r="Z446" s="78"/>
      <c r="AA446" s="78"/>
      <c r="AB446" t="s" s="79">
        <v>124</v>
      </c>
      <c r="AC446" t="s" s="79">
        <v>124</v>
      </c>
      <c r="AD446" t="s" s="82">
        <v>125</v>
      </c>
      <c r="AE446" s="67"/>
    </row>
    <row r="447" ht="15" customHeight="1">
      <c r="A447" t="s" s="87">
        <v>32</v>
      </c>
      <c r="B447" s="69">
        <v>12.3</v>
      </c>
      <c r="C447" t="b" s="70">
        <v>0</v>
      </c>
      <c r="D447" s="71"/>
      <c r="E447" t="s" s="72">
        <v>960</v>
      </c>
      <c r="F447" t="s" s="72">
        <v>149</v>
      </c>
      <c r="G447" s="73">
        <v>7</v>
      </c>
      <c r="H447" t="s" s="72">
        <v>175</v>
      </c>
      <c r="I447" t="s" s="72">
        <v>493</v>
      </c>
      <c r="J447" s="73">
        <v>19</v>
      </c>
      <c r="K447" t="s" s="72">
        <v>145</v>
      </c>
      <c r="L447" t="s" s="72">
        <v>121</v>
      </c>
      <c r="M447" s="71"/>
      <c r="N447" s="71"/>
      <c r="O447" s="71"/>
      <c r="P447" s="73">
        <v>0</v>
      </c>
      <c r="Q447" s="74">
        <v>0</v>
      </c>
      <c r="R447" s="74">
        <v>0</v>
      </c>
      <c r="S447" s="73">
        <v>0</v>
      </c>
      <c r="T447" s="73">
        <v>0</v>
      </c>
      <c r="U447" t="s" s="72">
        <v>122</v>
      </c>
      <c r="V447" s="73">
        <v>0</v>
      </c>
      <c r="W447" s="74">
        <v>0</v>
      </c>
      <c r="X447" s="74">
        <v>0</v>
      </c>
      <c r="Y447" s="73">
        <v>0</v>
      </c>
      <c r="Z447" s="73">
        <v>0</v>
      </c>
      <c r="AA447" t="s" s="72">
        <v>123</v>
      </c>
      <c r="AB447" t="s" s="72">
        <v>124</v>
      </c>
      <c r="AC447" t="s" s="72">
        <v>124</v>
      </c>
      <c r="AD447" t="s" s="75">
        <v>125</v>
      </c>
      <c r="AE447" s="67"/>
    </row>
    <row r="448" ht="15" customHeight="1">
      <c r="A448" t="s" s="87">
        <v>32</v>
      </c>
      <c r="B448" s="76">
        <v>10.9</v>
      </c>
      <c r="C448" t="b" s="77">
        <v>0</v>
      </c>
      <c r="D448" s="78"/>
      <c r="E448" t="s" s="79">
        <v>961</v>
      </c>
      <c r="F448" t="s" s="79">
        <v>193</v>
      </c>
      <c r="G448" s="80">
        <v>6</v>
      </c>
      <c r="H448" t="s" s="79">
        <v>175</v>
      </c>
      <c r="I448" t="s" s="79">
        <v>445</v>
      </c>
      <c r="J448" s="80">
        <v>30</v>
      </c>
      <c r="K448" t="s" s="79">
        <v>550</v>
      </c>
      <c r="L448" t="s" s="79">
        <v>121</v>
      </c>
      <c r="M448" s="78"/>
      <c r="N448" s="78"/>
      <c r="O448" s="78"/>
      <c r="P448" s="80">
        <v>0</v>
      </c>
      <c r="Q448" s="81">
        <v>0</v>
      </c>
      <c r="R448" s="81">
        <v>0</v>
      </c>
      <c r="S448" s="80">
        <v>0</v>
      </c>
      <c r="T448" s="80">
        <v>0</v>
      </c>
      <c r="U448" t="s" s="79">
        <v>122</v>
      </c>
      <c r="V448" s="78"/>
      <c r="W448" s="78"/>
      <c r="X448" s="78"/>
      <c r="Y448" s="78"/>
      <c r="Z448" s="78"/>
      <c r="AA448" s="78"/>
      <c r="AB448" t="s" s="79">
        <v>124</v>
      </c>
      <c r="AC448" t="s" s="79">
        <v>124</v>
      </c>
      <c r="AD448" t="s" s="82">
        <v>125</v>
      </c>
      <c r="AE448" s="67"/>
    </row>
    <row r="449" ht="15" customHeight="1">
      <c r="A449" t="s" s="87">
        <v>32</v>
      </c>
      <c r="B449" s="69">
        <v>9.699999999999999</v>
      </c>
      <c r="C449" t="b" s="70">
        <v>0</v>
      </c>
      <c r="D449" s="71"/>
      <c r="E449" t="s" s="72">
        <v>962</v>
      </c>
      <c r="F449" t="s" s="72">
        <v>156</v>
      </c>
      <c r="G449" s="73">
        <v>5</v>
      </c>
      <c r="H449" t="s" s="72">
        <v>175</v>
      </c>
      <c r="I449" t="s" s="72">
        <v>493</v>
      </c>
      <c r="J449" s="73">
        <v>20</v>
      </c>
      <c r="K449" t="s" s="72">
        <v>963</v>
      </c>
      <c r="L449" t="s" s="72">
        <v>642</v>
      </c>
      <c r="M449" s="71"/>
      <c r="N449" s="71"/>
      <c r="O449" s="71"/>
      <c r="P449" s="71"/>
      <c r="Q449" s="71"/>
      <c r="R449" s="71"/>
      <c r="S449" s="71"/>
      <c r="T449" s="71"/>
      <c r="U449" s="71"/>
      <c r="V449" s="71"/>
      <c r="W449" s="71"/>
      <c r="X449" s="71"/>
      <c r="Y449" s="71"/>
      <c r="Z449" s="71"/>
      <c r="AA449" s="71"/>
      <c r="AB449" t="s" s="72">
        <v>125</v>
      </c>
      <c r="AC449" s="71"/>
      <c r="AD449" t="s" s="75">
        <v>125</v>
      </c>
      <c r="AE449" s="67"/>
    </row>
    <row r="450" ht="15" customHeight="1">
      <c r="A450" t="s" s="87">
        <v>32</v>
      </c>
      <c r="B450" s="76">
        <v>9.6</v>
      </c>
      <c r="C450" t="b" s="77">
        <v>0</v>
      </c>
      <c r="D450" s="78"/>
      <c r="E450" t="s" s="79">
        <v>964</v>
      </c>
      <c r="F450" t="s" s="79">
        <v>147</v>
      </c>
      <c r="G450" s="80">
        <v>4</v>
      </c>
      <c r="H450" t="s" s="79">
        <v>175</v>
      </c>
      <c r="I450" t="s" s="79">
        <v>203</v>
      </c>
      <c r="J450" s="80">
        <v>20</v>
      </c>
      <c r="K450" t="s" s="79">
        <v>965</v>
      </c>
      <c r="L450" t="s" s="79">
        <v>121</v>
      </c>
      <c r="M450" s="78"/>
      <c r="N450" s="78"/>
      <c r="O450" s="78"/>
      <c r="P450" s="80">
        <v>0</v>
      </c>
      <c r="Q450" s="81">
        <v>0</v>
      </c>
      <c r="R450" s="81">
        <v>0</v>
      </c>
      <c r="S450" s="80">
        <v>0</v>
      </c>
      <c r="T450" s="80">
        <v>0</v>
      </c>
      <c r="U450" t="s" s="79">
        <v>122</v>
      </c>
      <c r="V450" s="80">
        <v>4</v>
      </c>
      <c r="W450" s="81">
        <v>5.75</v>
      </c>
      <c r="X450" s="81">
        <v>5.75</v>
      </c>
      <c r="Y450" s="80">
        <v>0</v>
      </c>
      <c r="Z450" s="80">
        <v>0</v>
      </c>
      <c r="AA450" t="s" s="79">
        <v>123</v>
      </c>
      <c r="AB450" t="s" s="79">
        <v>124</v>
      </c>
      <c r="AC450" t="s" s="79">
        <v>124</v>
      </c>
      <c r="AD450" t="s" s="82">
        <v>125</v>
      </c>
      <c r="AE450" s="67"/>
    </row>
    <row r="451" ht="15" customHeight="1">
      <c r="A451" t="s" s="87">
        <v>32</v>
      </c>
      <c r="B451" s="69">
        <v>9.4</v>
      </c>
      <c r="C451" t="b" s="70">
        <v>0</v>
      </c>
      <c r="D451" s="71"/>
      <c r="E451" t="s" s="72">
        <v>966</v>
      </c>
      <c r="F451" t="s" s="72">
        <v>168</v>
      </c>
      <c r="G451" s="73">
        <v>4</v>
      </c>
      <c r="H451" t="s" s="72">
        <v>175</v>
      </c>
      <c r="I451" t="s" s="72">
        <v>175</v>
      </c>
      <c r="J451" s="73">
        <v>23</v>
      </c>
      <c r="K451" t="s" s="72">
        <v>967</v>
      </c>
      <c r="L451" t="s" s="72">
        <v>121</v>
      </c>
      <c r="M451" s="71"/>
      <c r="N451" s="71"/>
      <c r="O451" s="71"/>
      <c r="P451" s="73">
        <v>0</v>
      </c>
      <c r="Q451" s="74">
        <v>0</v>
      </c>
      <c r="R451" s="74">
        <v>0</v>
      </c>
      <c r="S451" s="73">
        <v>0</v>
      </c>
      <c r="T451" s="73">
        <v>0</v>
      </c>
      <c r="U451" t="s" s="72">
        <v>122</v>
      </c>
      <c r="V451" s="73">
        <v>2</v>
      </c>
      <c r="W451" s="74">
        <v>5.25</v>
      </c>
      <c r="X451" s="74">
        <v>5.25</v>
      </c>
      <c r="Y451" s="73">
        <v>0</v>
      </c>
      <c r="Z451" s="73">
        <v>0</v>
      </c>
      <c r="AA451" t="s" s="72">
        <v>123</v>
      </c>
      <c r="AB451" t="s" s="72">
        <v>124</v>
      </c>
      <c r="AC451" t="s" s="72">
        <v>124</v>
      </c>
      <c r="AD451" t="s" s="75">
        <v>125</v>
      </c>
      <c r="AE451" s="67"/>
    </row>
    <row r="452" ht="15" customHeight="1">
      <c r="A452" t="s" s="87">
        <v>32</v>
      </c>
      <c r="B452" s="76">
        <v>9.199999999999999</v>
      </c>
      <c r="C452" t="b" s="77">
        <v>0</v>
      </c>
      <c r="D452" s="78"/>
      <c r="E452" t="s" s="79">
        <v>968</v>
      </c>
      <c r="F452" t="s" s="79">
        <v>172</v>
      </c>
      <c r="G452" s="80">
        <v>2</v>
      </c>
      <c r="H452" t="s" s="79">
        <v>175</v>
      </c>
      <c r="I452" t="s" s="79">
        <v>203</v>
      </c>
      <c r="J452" s="80">
        <v>22</v>
      </c>
      <c r="K452" t="s" s="79">
        <v>969</v>
      </c>
      <c r="L452" t="s" s="79">
        <v>121</v>
      </c>
      <c r="M452" s="78"/>
      <c r="N452" s="78"/>
      <c r="O452" s="78"/>
      <c r="P452" s="80">
        <v>2</v>
      </c>
      <c r="Q452" s="81">
        <v>5.75</v>
      </c>
      <c r="R452" s="81">
        <v>5.75</v>
      </c>
      <c r="S452" s="80">
        <v>0</v>
      </c>
      <c r="T452" s="80">
        <v>0</v>
      </c>
      <c r="U452" t="s" s="79">
        <v>122</v>
      </c>
      <c r="V452" s="78"/>
      <c r="W452" s="78"/>
      <c r="X452" s="78"/>
      <c r="Y452" s="78"/>
      <c r="Z452" s="78"/>
      <c r="AA452" s="78"/>
      <c r="AB452" t="s" s="79">
        <v>124</v>
      </c>
      <c r="AC452" t="s" s="79">
        <v>124</v>
      </c>
      <c r="AD452" t="s" s="82">
        <v>125</v>
      </c>
      <c r="AE452" s="67"/>
    </row>
    <row r="453" ht="15" customHeight="1">
      <c r="A453" t="s" s="87">
        <v>32</v>
      </c>
      <c r="B453" s="69">
        <v>9</v>
      </c>
      <c r="C453" t="b" s="70">
        <v>0</v>
      </c>
      <c r="D453" s="71"/>
      <c r="E453" t="s" s="72">
        <v>970</v>
      </c>
      <c r="F453" t="s" s="72">
        <v>183</v>
      </c>
      <c r="G453" s="73">
        <v>1</v>
      </c>
      <c r="H453" t="s" s="72">
        <v>175</v>
      </c>
      <c r="I453" t="s" s="72">
        <v>971</v>
      </c>
      <c r="J453" s="73">
        <v>20</v>
      </c>
      <c r="K453" t="s" s="72">
        <v>204</v>
      </c>
      <c r="L453" s="71"/>
      <c r="M453" s="71"/>
      <c r="N453" s="71"/>
      <c r="O453" s="71"/>
      <c r="P453" s="71"/>
      <c r="Q453" s="71"/>
      <c r="R453" s="71"/>
      <c r="S453" s="71"/>
      <c r="T453" s="71"/>
      <c r="U453" s="71"/>
      <c r="V453" s="73">
        <v>26</v>
      </c>
      <c r="W453" s="74">
        <v>6.21</v>
      </c>
      <c r="X453" s="74">
        <v>7.1</v>
      </c>
      <c r="Y453" s="73">
        <v>8</v>
      </c>
      <c r="Z453" s="73">
        <v>4</v>
      </c>
      <c r="AA453" t="s" s="72">
        <v>972</v>
      </c>
      <c r="AB453" t="s" s="72">
        <v>125</v>
      </c>
      <c r="AC453" s="71"/>
      <c r="AD453" t="s" s="75">
        <v>125</v>
      </c>
      <c r="AE453" s="67"/>
    </row>
    <row r="454" ht="15" customHeight="1">
      <c r="A454" t="s" s="87">
        <v>32</v>
      </c>
      <c r="B454" s="76">
        <v>8.800000000000001</v>
      </c>
      <c r="C454" t="b" s="77">
        <v>0</v>
      </c>
      <c r="D454" s="78"/>
      <c r="E454" t="s" s="79">
        <v>973</v>
      </c>
      <c r="F454" t="s" s="79">
        <v>144</v>
      </c>
      <c r="G454" s="80">
        <v>7</v>
      </c>
      <c r="H454" t="s" s="79">
        <v>175</v>
      </c>
      <c r="I454" t="s" s="79">
        <v>569</v>
      </c>
      <c r="J454" s="80">
        <v>25</v>
      </c>
      <c r="K454" t="s" s="79">
        <v>619</v>
      </c>
      <c r="L454" t="s" s="79">
        <v>121</v>
      </c>
      <c r="M454" s="78"/>
      <c r="N454" s="78"/>
      <c r="O454" t="s" s="88">
        <v>834</v>
      </c>
      <c r="P454" s="80">
        <v>1</v>
      </c>
      <c r="Q454" s="81">
        <v>5</v>
      </c>
      <c r="R454" s="81">
        <v>4.5</v>
      </c>
      <c r="S454" s="80">
        <v>0</v>
      </c>
      <c r="T454" s="80">
        <v>0</v>
      </c>
      <c r="U454" t="s" s="79">
        <v>122</v>
      </c>
      <c r="V454" s="80">
        <v>0</v>
      </c>
      <c r="W454" s="81">
        <v>0</v>
      </c>
      <c r="X454" s="81">
        <v>0</v>
      </c>
      <c r="Y454" s="80">
        <v>0</v>
      </c>
      <c r="Z454" s="80">
        <v>0</v>
      </c>
      <c r="AA454" t="s" s="79">
        <v>123</v>
      </c>
      <c r="AB454" t="s" s="79">
        <v>124</v>
      </c>
      <c r="AC454" t="s" s="79">
        <v>124</v>
      </c>
      <c r="AD454" t="s" s="82">
        <v>125</v>
      </c>
      <c r="AE454" s="67"/>
    </row>
    <row r="455" ht="15" customHeight="1">
      <c r="A455" t="s" s="87">
        <v>32</v>
      </c>
      <c r="B455" s="69">
        <v>8.6</v>
      </c>
      <c r="C455" t="b" s="70">
        <v>0</v>
      </c>
      <c r="D455" s="71"/>
      <c r="E455" t="s" s="72">
        <v>974</v>
      </c>
      <c r="F455" t="s" s="72">
        <v>172</v>
      </c>
      <c r="G455" s="73">
        <v>7</v>
      </c>
      <c r="H455" t="s" s="72">
        <v>175</v>
      </c>
      <c r="I455" t="s" s="72">
        <v>266</v>
      </c>
      <c r="J455" s="73">
        <v>27</v>
      </c>
      <c r="K455" t="s" s="72">
        <v>975</v>
      </c>
      <c r="L455" t="s" s="72">
        <v>121</v>
      </c>
      <c r="M455" s="71"/>
      <c r="N455" s="71"/>
      <c r="O455" t="s" s="88">
        <v>268</v>
      </c>
      <c r="P455" s="73">
        <v>0</v>
      </c>
      <c r="Q455" s="74">
        <v>0</v>
      </c>
      <c r="R455" s="74">
        <v>0</v>
      </c>
      <c r="S455" s="73">
        <v>0</v>
      </c>
      <c r="T455" s="73">
        <v>0</v>
      </c>
      <c r="U455" t="s" s="72">
        <v>122</v>
      </c>
      <c r="V455" s="73">
        <v>2</v>
      </c>
      <c r="W455" s="74">
        <v>5.75</v>
      </c>
      <c r="X455" s="74">
        <v>5.75</v>
      </c>
      <c r="Y455" s="73">
        <v>0</v>
      </c>
      <c r="Z455" s="73">
        <v>0</v>
      </c>
      <c r="AA455" t="s" s="72">
        <v>123</v>
      </c>
      <c r="AB455" t="s" s="72">
        <v>124</v>
      </c>
      <c r="AC455" t="s" s="72">
        <v>124</v>
      </c>
      <c r="AD455" t="s" s="75">
        <v>125</v>
      </c>
      <c r="AE455" s="67"/>
    </row>
    <row r="456" ht="15" customHeight="1">
      <c r="A456" t="s" s="87">
        <v>32</v>
      </c>
      <c r="B456" s="76">
        <v>8.4</v>
      </c>
      <c r="C456" t="b" s="77">
        <v>0</v>
      </c>
      <c r="D456" s="78"/>
      <c r="E456" t="s" s="79">
        <v>976</v>
      </c>
      <c r="F456" t="s" s="79">
        <v>159</v>
      </c>
      <c r="G456" s="80">
        <v>1</v>
      </c>
      <c r="H456" t="s" s="79">
        <v>175</v>
      </c>
      <c r="I456" t="s" s="79">
        <v>971</v>
      </c>
      <c r="J456" s="80">
        <v>19</v>
      </c>
      <c r="K456" t="s" s="79">
        <v>647</v>
      </c>
      <c r="L456" s="78"/>
      <c r="M456" s="78"/>
      <c r="N456" s="78"/>
      <c r="O456" s="78"/>
      <c r="P456" s="78"/>
      <c r="Q456" s="78"/>
      <c r="R456" s="78"/>
      <c r="S456" s="78"/>
      <c r="T456" s="78"/>
      <c r="U456" s="78"/>
      <c r="V456" s="80">
        <v>30</v>
      </c>
      <c r="W456" s="81">
        <v>5.7</v>
      </c>
      <c r="X456" s="81">
        <v>6.27</v>
      </c>
      <c r="Y456" s="80">
        <v>6</v>
      </c>
      <c r="Z456" s="80">
        <v>2</v>
      </c>
      <c r="AA456" t="s" s="79">
        <v>670</v>
      </c>
      <c r="AB456" t="s" s="79">
        <v>125</v>
      </c>
      <c r="AC456" s="78"/>
      <c r="AD456" t="s" s="82">
        <v>125</v>
      </c>
      <c r="AE456" s="67"/>
    </row>
    <row r="457" ht="15" customHeight="1">
      <c r="A457" t="s" s="87">
        <v>32</v>
      </c>
      <c r="B457" s="69">
        <v>8.300000000000001</v>
      </c>
      <c r="C457" t="b" s="70">
        <v>0</v>
      </c>
      <c r="D457" s="71"/>
      <c r="E457" t="s" s="72">
        <v>977</v>
      </c>
      <c r="F457" t="s" s="72">
        <v>187</v>
      </c>
      <c r="G457" s="73">
        <v>3</v>
      </c>
      <c r="H457" t="s" s="72">
        <v>175</v>
      </c>
      <c r="I457" t="s" s="72">
        <v>203</v>
      </c>
      <c r="J457" s="73">
        <v>19</v>
      </c>
      <c r="K457" t="s" s="72">
        <v>219</v>
      </c>
      <c r="L457" t="s" s="72">
        <v>154</v>
      </c>
      <c r="M457" s="71"/>
      <c r="N457" s="71"/>
      <c r="O457" s="71"/>
      <c r="P457" s="73">
        <v>1</v>
      </c>
      <c r="Q457" s="74">
        <v>5</v>
      </c>
      <c r="R457" s="74">
        <v>5</v>
      </c>
      <c r="S457" s="73">
        <v>0</v>
      </c>
      <c r="T457" s="73">
        <v>0</v>
      </c>
      <c r="U457" t="s" s="72">
        <v>122</v>
      </c>
      <c r="V457" s="71"/>
      <c r="W457" s="71"/>
      <c r="X457" s="71"/>
      <c r="Y457" s="71"/>
      <c r="Z457" s="71"/>
      <c r="AA457" s="71"/>
      <c r="AB457" t="s" s="72">
        <v>124</v>
      </c>
      <c r="AC457" t="s" s="72">
        <v>124</v>
      </c>
      <c r="AD457" t="s" s="75">
        <v>125</v>
      </c>
      <c r="AE457" s="67"/>
    </row>
    <row r="458" ht="15" customHeight="1">
      <c r="A458" t="s" s="87">
        <v>32</v>
      </c>
      <c r="B458" s="76">
        <v>8.199999999999999</v>
      </c>
      <c r="C458" t="b" s="77">
        <v>0</v>
      </c>
      <c r="D458" s="78"/>
      <c r="E458" t="s" s="79">
        <v>978</v>
      </c>
      <c r="F458" t="s" s="79">
        <v>193</v>
      </c>
      <c r="G458" s="80">
        <v>4</v>
      </c>
      <c r="H458" t="s" s="79">
        <v>979</v>
      </c>
      <c r="I458" t="s" s="79">
        <v>980</v>
      </c>
      <c r="J458" s="80">
        <v>19</v>
      </c>
      <c r="K458" t="s" s="79">
        <v>190</v>
      </c>
      <c r="L458" s="78"/>
      <c r="M458" s="78"/>
      <c r="N458" s="78"/>
      <c r="O458" s="78"/>
      <c r="P458" s="78"/>
      <c r="Q458" s="78"/>
      <c r="R458" s="78"/>
      <c r="S458" s="78"/>
      <c r="T458" s="78"/>
      <c r="U458" s="78"/>
      <c r="V458" s="78"/>
      <c r="W458" s="78"/>
      <c r="X458" s="78"/>
      <c r="Y458" s="78"/>
      <c r="Z458" s="78"/>
      <c r="AA458" s="78"/>
      <c r="AB458" t="s" s="79">
        <v>125</v>
      </c>
      <c r="AC458" s="78"/>
      <c r="AD458" t="s" s="82">
        <v>125</v>
      </c>
      <c r="AE458" s="67"/>
    </row>
    <row r="459" ht="15" customHeight="1">
      <c r="A459" t="s" s="87">
        <v>32</v>
      </c>
      <c r="B459" s="69">
        <v>8.199999999999999</v>
      </c>
      <c r="C459" t="b" s="70">
        <v>0</v>
      </c>
      <c r="D459" s="71"/>
      <c r="E459" t="s" s="72">
        <v>981</v>
      </c>
      <c r="F459" t="s" s="72">
        <v>147</v>
      </c>
      <c r="G459" s="73">
        <v>4</v>
      </c>
      <c r="H459" t="s" s="72">
        <v>175</v>
      </c>
      <c r="I459" t="s" s="72">
        <v>493</v>
      </c>
      <c r="J459" s="73">
        <v>18</v>
      </c>
      <c r="K459" t="s" s="72">
        <v>982</v>
      </c>
      <c r="L459" s="71"/>
      <c r="M459" s="71"/>
      <c r="N459" s="71"/>
      <c r="O459" s="71"/>
      <c r="P459" s="71"/>
      <c r="Q459" s="71"/>
      <c r="R459" s="71"/>
      <c r="S459" s="71"/>
      <c r="T459" s="71"/>
      <c r="U459" s="71"/>
      <c r="V459" s="71"/>
      <c r="W459" s="71"/>
      <c r="X459" s="71"/>
      <c r="Y459" s="71"/>
      <c r="Z459" s="71"/>
      <c r="AA459" s="71"/>
      <c r="AB459" t="s" s="72">
        <v>125</v>
      </c>
      <c r="AC459" s="71"/>
      <c r="AD459" t="s" s="75">
        <v>125</v>
      </c>
      <c r="AE459" s="67"/>
    </row>
    <row r="460" ht="15" customHeight="1">
      <c r="A460" t="s" s="87">
        <v>32</v>
      </c>
      <c r="B460" s="76">
        <v>8.199999999999999</v>
      </c>
      <c r="C460" t="b" s="77">
        <v>0</v>
      </c>
      <c r="D460" s="78"/>
      <c r="E460" t="s" s="79">
        <v>983</v>
      </c>
      <c r="F460" t="s" s="79">
        <v>156</v>
      </c>
      <c r="G460" s="80">
        <v>4</v>
      </c>
      <c r="H460" t="s" s="79">
        <v>175</v>
      </c>
      <c r="I460" t="s" s="79">
        <v>493</v>
      </c>
      <c r="J460" s="80">
        <v>18</v>
      </c>
      <c r="K460" t="s" s="79">
        <v>204</v>
      </c>
      <c r="L460" s="78"/>
      <c r="M460" s="78"/>
      <c r="N460" s="78"/>
      <c r="O460" s="78"/>
      <c r="P460" s="78"/>
      <c r="Q460" s="78"/>
      <c r="R460" s="78"/>
      <c r="S460" s="78"/>
      <c r="T460" s="78"/>
      <c r="U460" s="78"/>
      <c r="V460" s="78"/>
      <c r="W460" s="78"/>
      <c r="X460" s="78"/>
      <c r="Y460" s="78"/>
      <c r="Z460" s="78"/>
      <c r="AA460" s="78"/>
      <c r="AB460" t="s" s="79">
        <v>125</v>
      </c>
      <c r="AC460" s="78"/>
      <c r="AD460" t="s" s="82">
        <v>125</v>
      </c>
      <c r="AE460" s="67"/>
    </row>
    <row r="461" ht="15" customHeight="1">
      <c r="A461" t="s" s="87">
        <v>32</v>
      </c>
      <c r="B461" s="69">
        <v>8.199999999999999</v>
      </c>
      <c r="C461" t="b" s="70">
        <v>0</v>
      </c>
      <c r="D461" s="71"/>
      <c r="E461" t="s" s="72">
        <v>984</v>
      </c>
      <c r="F461" t="s" s="72">
        <v>147</v>
      </c>
      <c r="G461" s="73">
        <v>4</v>
      </c>
      <c r="H461" t="s" s="72">
        <v>175</v>
      </c>
      <c r="I461" t="s" s="72">
        <v>445</v>
      </c>
      <c r="J461" s="73">
        <v>23</v>
      </c>
      <c r="K461" t="s" s="72">
        <v>985</v>
      </c>
      <c r="L461" t="s" s="72">
        <v>154</v>
      </c>
      <c r="M461" s="71"/>
      <c r="N461" s="71"/>
      <c r="O461" s="71"/>
      <c r="P461" s="73">
        <v>0</v>
      </c>
      <c r="Q461" s="74">
        <v>0</v>
      </c>
      <c r="R461" s="74">
        <v>0</v>
      </c>
      <c r="S461" s="73">
        <v>0</v>
      </c>
      <c r="T461" s="73">
        <v>0</v>
      </c>
      <c r="U461" t="s" s="72">
        <v>122</v>
      </c>
      <c r="V461" s="71"/>
      <c r="W461" s="71"/>
      <c r="X461" s="71"/>
      <c r="Y461" s="71"/>
      <c r="Z461" s="71"/>
      <c r="AA461" s="71"/>
      <c r="AB461" t="s" s="72">
        <v>124</v>
      </c>
      <c r="AC461" t="s" s="72">
        <v>124</v>
      </c>
      <c r="AD461" t="s" s="75">
        <v>125</v>
      </c>
      <c r="AE461" s="67"/>
    </row>
    <row r="462" ht="15" customHeight="1">
      <c r="A462" t="s" s="87">
        <v>32</v>
      </c>
      <c r="B462" s="76">
        <v>7.3</v>
      </c>
      <c r="C462" t="b" s="77">
        <v>0</v>
      </c>
      <c r="D462" s="78"/>
      <c r="E462" t="s" s="79">
        <v>986</v>
      </c>
      <c r="F462" t="s" s="79">
        <v>149</v>
      </c>
      <c r="G462" s="80">
        <v>1</v>
      </c>
      <c r="H462" t="s" s="79">
        <v>175</v>
      </c>
      <c r="I462" t="s" s="79">
        <v>393</v>
      </c>
      <c r="J462" s="80">
        <v>20</v>
      </c>
      <c r="K462" t="s" s="79">
        <v>204</v>
      </c>
      <c r="L462" s="78"/>
      <c r="M462" s="78"/>
      <c r="N462" s="78"/>
      <c r="O462" s="78"/>
      <c r="P462" s="78"/>
      <c r="Q462" s="78"/>
      <c r="R462" s="78"/>
      <c r="S462" s="78"/>
      <c r="T462" s="78"/>
      <c r="U462" s="78"/>
      <c r="V462" s="80">
        <v>34</v>
      </c>
      <c r="W462" s="81">
        <v>6.1</v>
      </c>
      <c r="X462" s="81">
        <v>6.13</v>
      </c>
      <c r="Y462" s="80">
        <v>0</v>
      </c>
      <c r="Z462" s="80">
        <v>2</v>
      </c>
      <c r="AA462" t="s" s="79">
        <v>123</v>
      </c>
      <c r="AB462" t="s" s="79">
        <v>125</v>
      </c>
      <c r="AC462" s="78"/>
      <c r="AD462" t="s" s="82">
        <v>125</v>
      </c>
      <c r="AE462" s="67"/>
    </row>
    <row r="463" ht="15" customHeight="1">
      <c r="A463" t="s" s="87">
        <v>32</v>
      </c>
      <c r="B463" s="69">
        <v>6.2</v>
      </c>
      <c r="C463" t="b" s="70">
        <v>0</v>
      </c>
      <c r="D463" s="71"/>
      <c r="E463" t="s" s="72">
        <v>987</v>
      </c>
      <c r="F463" t="s" s="72">
        <v>141</v>
      </c>
      <c r="G463" s="73">
        <v>2</v>
      </c>
      <c r="H463" t="s" s="72">
        <v>175</v>
      </c>
      <c r="I463" t="s" s="72">
        <v>203</v>
      </c>
      <c r="J463" s="73">
        <v>18</v>
      </c>
      <c r="K463" t="s" s="72">
        <v>988</v>
      </c>
      <c r="L463" t="s" s="72">
        <v>121</v>
      </c>
      <c r="M463" s="71"/>
      <c r="N463" s="71"/>
      <c r="O463" s="71"/>
      <c r="P463" s="73">
        <v>0</v>
      </c>
      <c r="Q463" s="74">
        <v>0</v>
      </c>
      <c r="R463" s="74">
        <v>0</v>
      </c>
      <c r="S463" s="73">
        <v>0</v>
      </c>
      <c r="T463" s="73">
        <v>0</v>
      </c>
      <c r="U463" t="s" s="72">
        <v>122</v>
      </c>
      <c r="V463" s="73">
        <v>0</v>
      </c>
      <c r="W463" s="74">
        <v>0</v>
      </c>
      <c r="X463" s="74">
        <v>0</v>
      </c>
      <c r="Y463" s="73">
        <v>0</v>
      </c>
      <c r="Z463" s="73">
        <v>0</v>
      </c>
      <c r="AA463" t="s" s="72">
        <v>123</v>
      </c>
      <c r="AB463" t="s" s="72">
        <v>124</v>
      </c>
      <c r="AC463" t="s" s="72">
        <v>124</v>
      </c>
      <c r="AD463" t="s" s="75">
        <v>125</v>
      </c>
      <c r="AE463" s="67"/>
    </row>
    <row r="464" ht="15" customHeight="1">
      <c r="A464" t="s" s="87">
        <v>32</v>
      </c>
      <c r="B464" s="76">
        <v>6.2</v>
      </c>
      <c r="C464" t="b" s="77">
        <v>0</v>
      </c>
      <c r="D464" s="78"/>
      <c r="E464" t="s" s="79">
        <v>989</v>
      </c>
      <c r="F464" t="s" s="79">
        <v>172</v>
      </c>
      <c r="G464" s="80">
        <v>2</v>
      </c>
      <c r="H464" t="s" s="79">
        <v>175</v>
      </c>
      <c r="I464" t="s" s="79">
        <v>175</v>
      </c>
      <c r="J464" s="80">
        <v>26</v>
      </c>
      <c r="K464" t="s" s="79">
        <v>204</v>
      </c>
      <c r="L464" s="78"/>
      <c r="M464" s="78"/>
      <c r="N464" s="78"/>
      <c r="O464" s="78"/>
      <c r="P464" s="78"/>
      <c r="Q464" s="78"/>
      <c r="R464" s="78"/>
      <c r="S464" s="78"/>
      <c r="T464" s="78"/>
      <c r="U464" s="78"/>
      <c r="V464" s="80">
        <v>0</v>
      </c>
      <c r="W464" s="81">
        <v>0</v>
      </c>
      <c r="X464" s="81">
        <v>0</v>
      </c>
      <c r="Y464" s="80">
        <v>0</v>
      </c>
      <c r="Z464" s="80">
        <v>0</v>
      </c>
      <c r="AA464" t="s" s="79">
        <v>123</v>
      </c>
      <c r="AB464" t="s" s="79">
        <v>125</v>
      </c>
      <c r="AC464" s="78"/>
      <c r="AD464" t="s" s="82">
        <v>125</v>
      </c>
      <c r="AE464" s="67"/>
    </row>
    <row r="465" ht="15" customHeight="1">
      <c r="A465" t="s" s="87">
        <v>32</v>
      </c>
      <c r="B465" s="69">
        <v>3.4</v>
      </c>
      <c r="C465" t="b" s="70">
        <v>0</v>
      </c>
      <c r="D465" s="71"/>
      <c r="E465" t="s" s="72">
        <v>990</v>
      </c>
      <c r="F465" t="s" s="72">
        <v>127</v>
      </c>
      <c r="G465" s="73">
        <v>1</v>
      </c>
      <c r="H465" t="s" s="72">
        <v>175</v>
      </c>
      <c r="I465" t="s" s="72">
        <v>203</v>
      </c>
      <c r="J465" s="73">
        <v>21</v>
      </c>
      <c r="K465" t="s" s="72">
        <v>204</v>
      </c>
      <c r="L465" s="71"/>
      <c r="M465" s="71"/>
      <c r="N465" s="71"/>
      <c r="O465" s="71"/>
      <c r="P465" s="71"/>
      <c r="Q465" s="71"/>
      <c r="R465" s="71"/>
      <c r="S465" s="71"/>
      <c r="T465" s="71"/>
      <c r="U465" s="71"/>
      <c r="V465" s="71"/>
      <c r="W465" s="71"/>
      <c r="X465" s="71"/>
      <c r="Y465" s="71"/>
      <c r="Z465" s="71"/>
      <c r="AA465" s="71"/>
      <c r="AB465" t="s" s="72">
        <v>125</v>
      </c>
      <c r="AC465" s="71"/>
      <c r="AD465" t="s" s="75">
        <v>125</v>
      </c>
      <c r="AE465" s="67"/>
    </row>
    <row r="466" ht="15" customHeight="1">
      <c r="A466" t="s" s="87">
        <v>32</v>
      </c>
      <c r="B466" s="76">
        <v>3.4</v>
      </c>
      <c r="C466" t="b" s="77">
        <v>0</v>
      </c>
      <c r="D466" s="78"/>
      <c r="E466" t="s" s="79">
        <v>991</v>
      </c>
      <c r="F466" t="s" s="79">
        <v>163</v>
      </c>
      <c r="G466" s="80">
        <v>1</v>
      </c>
      <c r="H466" t="s" s="79">
        <v>175</v>
      </c>
      <c r="I466" t="s" s="79">
        <v>203</v>
      </c>
      <c r="J466" s="80">
        <v>18</v>
      </c>
      <c r="K466" t="s" s="79">
        <v>204</v>
      </c>
      <c r="L466" s="78"/>
      <c r="M466" s="78"/>
      <c r="N466" s="78"/>
      <c r="O466" s="78"/>
      <c r="P466" s="78"/>
      <c r="Q466" s="78"/>
      <c r="R466" s="78"/>
      <c r="S466" s="78"/>
      <c r="T466" s="78"/>
      <c r="U466" s="78"/>
      <c r="V466" s="78"/>
      <c r="W466" s="78"/>
      <c r="X466" s="78"/>
      <c r="Y466" s="78"/>
      <c r="Z466" s="78"/>
      <c r="AA466" s="78"/>
      <c r="AB466" t="s" s="79">
        <v>125</v>
      </c>
      <c r="AC466" s="78"/>
      <c r="AD466" t="s" s="82">
        <v>125</v>
      </c>
      <c r="AE466" s="67"/>
    </row>
    <row r="467" ht="15" customHeight="1">
      <c r="A467" t="s" s="87">
        <v>32</v>
      </c>
      <c r="B467" s="69">
        <v>3.4</v>
      </c>
      <c r="C467" t="b" s="70">
        <v>0</v>
      </c>
      <c r="D467" s="71"/>
      <c r="E467" t="s" s="72">
        <v>992</v>
      </c>
      <c r="F467" t="s" s="72">
        <v>130</v>
      </c>
      <c r="G467" s="73">
        <v>1</v>
      </c>
      <c r="H467" t="s" s="72">
        <v>175</v>
      </c>
      <c r="I467" t="s" s="72">
        <v>203</v>
      </c>
      <c r="J467" s="73">
        <v>18</v>
      </c>
      <c r="K467" t="s" s="72">
        <v>128</v>
      </c>
      <c r="L467" t="s" s="72">
        <v>121</v>
      </c>
      <c r="M467" s="71"/>
      <c r="N467" s="71"/>
      <c r="O467" s="71"/>
      <c r="P467" s="73">
        <v>0</v>
      </c>
      <c r="Q467" s="74">
        <v>0</v>
      </c>
      <c r="R467" s="74">
        <v>0</v>
      </c>
      <c r="S467" s="73">
        <v>0</v>
      </c>
      <c r="T467" s="73">
        <v>0</v>
      </c>
      <c r="U467" t="s" s="72">
        <v>122</v>
      </c>
      <c r="V467" s="71"/>
      <c r="W467" s="71"/>
      <c r="X467" s="71"/>
      <c r="Y467" s="71"/>
      <c r="Z467" s="71"/>
      <c r="AA467" s="71"/>
      <c r="AB467" t="s" s="72">
        <v>124</v>
      </c>
      <c r="AC467" t="s" s="72">
        <v>124</v>
      </c>
      <c r="AD467" t="s" s="75">
        <v>125</v>
      </c>
      <c r="AE467" s="67"/>
    </row>
    <row r="468" ht="15" customHeight="1">
      <c r="A468" t="s" s="87">
        <v>32</v>
      </c>
      <c r="B468" s="76">
        <v>3.4</v>
      </c>
      <c r="C468" t="b" s="77">
        <v>0</v>
      </c>
      <c r="D468" s="78"/>
      <c r="E468" t="s" s="79">
        <v>993</v>
      </c>
      <c r="F468" t="s" s="79">
        <v>183</v>
      </c>
      <c r="G468" s="80">
        <v>1</v>
      </c>
      <c r="H468" t="s" s="79">
        <v>175</v>
      </c>
      <c r="I468" t="s" s="79">
        <v>203</v>
      </c>
      <c r="J468" s="80">
        <v>22</v>
      </c>
      <c r="K468" t="s" s="79">
        <v>994</v>
      </c>
      <c r="L468" s="78"/>
      <c r="M468" s="78"/>
      <c r="N468" s="78"/>
      <c r="O468" s="78"/>
      <c r="P468" s="78"/>
      <c r="Q468" s="78"/>
      <c r="R468" s="78"/>
      <c r="S468" s="78"/>
      <c r="T468" s="78"/>
      <c r="U468" s="78"/>
      <c r="V468" s="78"/>
      <c r="W468" s="78"/>
      <c r="X468" s="78"/>
      <c r="Y468" s="78"/>
      <c r="Z468" s="78"/>
      <c r="AA468" s="78"/>
      <c r="AB468" t="s" s="79">
        <v>125</v>
      </c>
      <c r="AC468" s="78"/>
      <c r="AD468" t="s" s="82">
        <v>125</v>
      </c>
      <c r="AE468" s="67"/>
    </row>
    <row r="469" ht="15" customHeight="1">
      <c r="A469" t="s" s="87">
        <v>32</v>
      </c>
      <c r="B469" s="69">
        <v>3.4</v>
      </c>
      <c r="C469" t="b" s="70">
        <v>0</v>
      </c>
      <c r="D469" s="71"/>
      <c r="E469" t="s" s="72">
        <v>995</v>
      </c>
      <c r="F469" t="s" s="72">
        <v>147</v>
      </c>
      <c r="G469" s="73">
        <v>1</v>
      </c>
      <c r="H469" t="s" s="72">
        <v>175</v>
      </c>
      <c r="I469" t="s" s="72">
        <v>203</v>
      </c>
      <c r="J469" s="73">
        <v>20</v>
      </c>
      <c r="K469" t="s" s="72">
        <v>204</v>
      </c>
      <c r="L469" s="71"/>
      <c r="M469" s="71"/>
      <c r="N469" s="71"/>
      <c r="O469" s="71"/>
      <c r="P469" s="71"/>
      <c r="Q469" s="71"/>
      <c r="R469" s="71"/>
      <c r="S469" s="71"/>
      <c r="T469" s="71"/>
      <c r="U469" s="71"/>
      <c r="V469" s="71"/>
      <c r="W469" s="71"/>
      <c r="X469" s="71"/>
      <c r="Y469" s="71"/>
      <c r="Z469" s="71"/>
      <c r="AA469" s="71"/>
      <c r="AB469" t="s" s="72">
        <v>125</v>
      </c>
      <c r="AC469" s="71"/>
      <c r="AD469" t="s" s="75">
        <v>125</v>
      </c>
      <c r="AE469" s="67"/>
    </row>
    <row r="470" ht="15" customHeight="1">
      <c r="A470" t="s" s="87">
        <v>32</v>
      </c>
      <c r="B470" s="76">
        <v>3.4</v>
      </c>
      <c r="C470" t="b" s="77">
        <v>0</v>
      </c>
      <c r="D470" s="78"/>
      <c r="E470" t="s" s="79">
        <v>996</v>
      </c>
      <c r="F470" t="s" s="79">
        <v>187</v>
      </c>
      <c r="G470" s="80">
        <v>1</v>
      </c>
      <c r="H470" t="s" s="79">
        <v>175</v>
      </c>
      <c r="I470" t="s" s="79">
        <v>203</v>
      </c>
      <c r="J470" s="80">
        <v>18</v>
      </c>
      <c r="K470" t="s" s="79">
        <v>639</v>
      </c>
      <c r="L470" t="s" s="79">
        <v>258</v>
      </c>
      <c r="M470" s="78"/>
      <c r="N470" s="78"/>
      <c r="O470" s="78"/>
      <c r="P470" s="78"/>
      <c r="Q470" s="78"/>
      <c r="R470" s="78"/>
      <c r="S470" s="78"/>
      <c r="T470" s="78"/>
      <c r="U470" s="78"/>
      <c r="V470" s="78"/>
      <c r="W470" s="78"/>
      <c r="X470" s="78"/>
      <c r="Y470" s="78"/>
      <c r="Z470" s="78"/>
      <c r="AA470" s="78"/>
      <c r="AB470" t="s" s="79">
        <v>125</v>
      </c>
      <c r="AC470" s="78"/>
      <c r="AD470" t="s" s="82">
        <v>125</v>
      </c>
      <c r="AE470" s="67"/>
    </row>
    <row r="471" ht="15" customHeight="1">
      <c r="A471" t="s" s="87">
        <v>32</v>
      </c>
      <c r="B471" s="69">
        <v>3.4</v>
      </c>
      <c r="C471" t="b" s="70">
        <v>0</v>
      </c>
      <c r="D471" s="71"/>
      <c r="E471" t="s" s="72">
        <v>997</v>
      </c>
      <c r="F471" t="s" s="72">
        <v>168</v>
      </c>
      <c r="G471" s="73">
        <v>1</v>
      </c>
      <c r="H471" t="s" s="72">
        <v>175</v>
      </c>
      <c r="I471" t="s" s="72">
        <v>203</v>
      </c>
      <c r="J471" s="73">
        <v>21</v>
      </c>
      <c r="K471" t="s" s="72">
        <v>998</v>
      </c>
      <c r="L471" s="71"/>
      <c r="M471" s="71"/>
      <c r="N471" s="71"/>
      <c r="O471" s="71"/>
      <c r="P471" s="71"/>
      <c r="Q471" s="71"/>
      <c r="R471" s="71"/>
      <c r="S471" s="71"/>
      <c r="T471" s="71"/>
      <c r="U471" s="71"/>
      <c r="V471" s="71"/>
      <c r="W471" s="71"/>
      <c r="X471" s="71"/>
      <c r="Y471" s="71"/>
      <c r="Z471" s="71"/>
      <c r="AA471" s="71"/>
      <c r="AB471" t="s" s="72">
        <v>125</v>
      </c>
      <c r="AC471" s="71"/>
      <c r="AD471" t="s" s="75">
        <v>125</v>
      </c>
      <c r="AE471" s="67"/>
    </row>
    <row r="472" ht="15" customHeight="1">
      <c r="A472" t="s" s="87">
        <v>32</v>
      </c>
      <c r="B472" s="76">
        <v>3.4</v>
      </c>
      <c r="C472" t="b" s="77">
        <v>0</v>
      </c>
      <c r="D472" s="78"/>
      <c r="E472" t="s" s="79">
        <v>999</v>
      </c>
      <c r="F472" t="s" s="79">
        <v>141</v>
      </c>
      <c r="G472" s="80">
        <v>1</v>
      </c>
      <c r="H472" t="s" s="79">
        <v>175</v>
      </c>
      <c r="I472" t="s" s="79">
        <v>203</v>
      </c>
      <c r="J472" s="80">
        <v>17</v>
      </c>
      <c r="K472" t="s" s="79">
        <v>204</v>
      </c>
      <c r="L472" s="78"/>
      <c r="M472" s="78"/>
      <c r="N472" s="78"/>
      <c r="O472" s="78"/>
      <c r="P472" s="78"/>
      <c r="Q472" s="78"/>
      <c r="R472" s="78"/>
      <c r="S472" s="78"/>
      <c r="T472" s="78"/>
      <c r="U472" s="78"/>
      <c r="V472" s="78"/>
      <c r="W472" s="78"/>
      <c r="X472" s="78"/>
      <c r="Y472" s="78"/>
      <c r="Z472" s="78"/>
      <c r="AA472" s="78"/>
      <c r="AB472" t="s" s="79">
        <v>125</v>
      </c>
      <c r="AC472" s="78"/>
      <c r="AD472" t="s" s="82">
        <v>125</v>
      </c>
      <c r="AE472" s="67"/>
    </row>
    <row r="473" ht="15" customHeight="1">
      <c r="A473" t="s" s="87">
        <v>32</v>
      </c>
      <c r="B473" s="69">
        <v>3.4</v>
      </c>
      <c r="C473" t="b" s="70">
        <v>0</v>
      </c>
      <c r="D473" s="71"/>
      <c r="E473" t="s" s="72">
        <v>1000</v>
      </c>
      <c r="F473" t="s" s="72">
        <v>183</v>
      </c>
      <c r="G473" s="73">
        <v>1</v>
      </c>
      <c r="H473" t="s" s="72">
        <v>175</v>
      </c>
      <c r="I473" t="s" s="72">
        <v>203</v>
      </c>
      <c r="J473" s="73">
        <v>21</v>
      </c>
      <c r="K473" t="s" s="72">
        <v>632</v>
      </c>
      <c r="L473" s="71"/>
      <c r="M473" s="71"/>
      <c r="N473" s="71"/>
      <c r="O473" s="71"/>
      <c r="P473" s="71"/>
      <c r="Q473" s="71"/>
      <c r="R473" s="71"/>
      <c r="S473" s="71"/>
      <c r="T473" s="71"/>
      <c r="U473" s="71"/>
      <c r="V473" s="71"/>
      <c r="W473" s="71"/>
      <c r="X473" s="71"/>
      <c r="Y473" s="71"/>
      <c r="Z473" s="71"/>
      <c r="AA473" s="71"/>
      <c r="AB473" t="s" s="72">
        <v>125</v>
      </c>
      <c r="AC473" s="71"/>
      <c r="AD473" t="s" s="75">
        <v>125</v>
      </c>
      <c r="AE473" s="67"/>
    </row>
    <row r="474" ht="15" customHeight="1">
      <c r="A474" t="s" s="87">
        <v>32</v>
      </c>
      <c r="B474" s="76">
        <v>3.4</v>
      </c>
      <c r="C474" t="b" s="77">
        <v>0</v>
      </c>
      <c r="D474" s="78"/>
      <c r="E474" t="s" s="79">
        <v>1001</v>
      </c>
      <c r="F474" t="s" s="79">
        <v>183</v>
      </c>
      <c r="G474" s="80">
        <v>1</v>
      </c>
      <c r="H474" t="s" s="79">
        <v>175</v>
      </c>
      <c r="I474" t="s" s="79">
        <v>175</v>
      </c>
      <c r="J474" s="80">
        <v>24</v>
      </c>
      <c r="K474" t="s" s="79">
        <v>204</v>
      </c>
      <c r="L474" s="78"/>
      <c r="M474" s="78"/>
      <c r="N474" s="78"/>
      <c r="O474" s="78"/>
      <c r="P474" s="78"/>
      <c r="Q474" s="78"/>
      <c r="R474" s="78"/>
      <c r="S474" s="78"/>
      <c r="T474" s="78"/>
      <c r="U474" s="78"/>
      <c r="V474" s="78"/>
      <c r="W474" s="78"/>
      <c r="X474" s="78"/>
      <c r="Y474" s="78"/>
      <c r="Z474" s="78"/>
      <c r="AA474" s="78"/>
      <c r="AB474" t="s" s="79">
        <v>125</v>
      </c>
      <c r="AC474" s="78"/>
      <c r="AD474" t="s" s="82">
        <v>125</v>
      </c>
      <c r="AE474" s="67"/>
    </row>
    <row r="475" ht="15" customHeight="1">
      <c r="A475" t="s" s="68">
        <v>26</v>
      </c>
      <c r="B475" s="69">
        <v>91.5</v>
      </c>
      <c r="C475" t="b" s="70">
        <v>0</v>
      </c>
      <c r="D475" s="71"/>
      <c r="E475" t="s" s="72">
        <v>1002</v>
      </c>
      <c r="F475" t="s" s="72">
        <v>117</v>
      </c>
      <c r="G475" s="73">
        <v>98</v>
      </c>
      <c r="H475" t="s" s="72">
        <v>118</v>
      </c>
      <c r="I475" t="s" s="72">
        <v>276</v>
      </c>
      <c r="J475" s="73">
        <v>27</v>
      </c>
      <c r="K475" t="s" s="72">
        <v>416</v>
      </c>
      <c r="L475" t="s" s="72">
        <v>121</v>
      </c>
      <c r="M475" s="71"/>
      <c r="N475" s="71"/>
      <c r="O475" s="71"/>
      <c r="P475" s="73">
        <v>2</v>
      </c>
      <c r="Q475" s="74">
        <v>8.25</v>
      </c>
      <c r="R475" s="74">
        <v>15.5</v>
      </c>
      <c r="S475" s="73">
        <v>5</v>
      </c>
      <c r="T475" s="73">
        <v>0</v>
      </c>
      <c r="U475" t="s" s="72">
        <v>122</v>
      </c>
      <c r="V475" s="73">
        <v>18</v>
      </c>
      <c r="W475" s="74">
        <v>6.78</v>
      </c>
      <c r="X475" s="74">
        <v>9.029999999999999</v>
      </c>
      <c r="Y475" s="73">
        <v>14</v>
      </c>
      <c r="Z475" s="73">
        <v>2</v>
      </c>
      <c r="AA475" t="s" s="72">
        <v>1003</v>
      </c>
      <c r="AB475" t="s" s="72">
        <v>124</v>
      </c>
      <c r="AC475" t="s" s="72">
        <v>124</v>
      </c>
      <c r="AD475" t="s" s="75">
        <v>125</v>
      </c>
      <c r="AE475" s="67"/>
    </row>
    <row r="476" ht="15" customHeight="1">
      <c r="A476" t="s" s="68">
        <v>26</v>
      </c>
      <c r="B476" s="76">
        <v>91.09999999999999</v>
      </c>
      <c r="C476" t="b" s="77">
        <v>0</v>
      </c>
      <c r="D476" s="78"/>
      <c r="E476" t="s" s="79">
        <v>1004</v>
      </c>
      <c r="F476" t="s" s="79">
        <v>134</v>
      </c>
      <c r="G476" s="80">
        <v>83</v>
      </c>
      <c r="H476" t="s" s="79">
        <v>118</v>
      </c>
      <c r="I476" t="s" s="79">
        <v>287</v>
      </c>
      <c r="J476" s="80">
        <v>29</v>
      </c>
      <c r="K476" t="s" s="79">
        <v>316</v>
      </c>
      <c r="L476" t="s" s="79">
        <v>121</v>
      </c>
      <c r="M476" s="78"/>
      <c r="N476" s="78"/>
      <c r="O476" s="78"/>
      <c r="P476" s="80">
        <v>2</v>
      </c>
      <c r="Q476" s="81">
        <v>5.75</v>
      </c>
      <c r="R476" s="81">
        <v>5.5</v>
      </c>
      <c r="S476" s="80">
        <v>0</v>
      </c>
      <c r="T476" s="80">
        <v>0</v>
      </c>
      <c r="U476" t="s" s="79">
        <v>122</v>
      </c>
      <c r="V476" s="80">
        <v>30</v>
      </c>
      <c r="W476" s="81">
        <v>6.42</v>
      </c>
      <c r="X476" s="81">
        <v>8.25</v>
      </c>
      <c r="Y476" s="80">
        <v>17</v>
      </c>
      <c r="Z476" s="80">
        <v>6</v>
      </c>
      <c r="AA476" t="s" s="79">
        <v>123</v>
      </c>
      <c r="AB476" t="s" s="79">
        <v>124</v>
      </c>
      <c r="AC476" t="s" s="79">
        <v>124</v>
      </c>
      <c r="AD476" t="s" s="82">
        <v>125</v>
      </c>
      <c r="AE476" s="67"/>
    </row>
    <row r="477" ht="15" customHeight="1">
      <c r="A477" t="s" s="68">
        <v>26</v>
      </c>
      <c r="B477" s="69">
        <v>89.8</v>
      </c>
      <c r="C477" t="b" s="70">
        <v>0</v>
      </c>
      <c r="D477" s="71"/>
      <c r="E477" t="s" s="72">
        <v>1005</v>
      </c>
      <c r="F477" t="s" s="72">
        <v>153</v>
      </c>
      <c r="G477" s="73">
        <v>77</v>
      </c>
      <c r="H477" t="s" s="72">
        <v>118</v>
      </c>
      <c r="I477" t="s" s="72">
        <v>287</v>
      </c>
      <c r="J477" s="73">
        <v>23</v>
      </c>
      <c r="K477" t="s" s="72">
        <v>206</v>
      </c>
      <c r="L477" t="s" s="72">
        <v>154</v>
      </c>
      <c r="M477" s="71"/>
      <c r="N477" s="71"/>
      <c r="O477" s="71"/>
      <c r="P477" s="73">
        <v>2</v>
      </c>
      <c r="Q477" s="74">
        <v>6.25</v>
      </c>
      <c r="R477" s="74">
        <v>7.75</v>
      </c>
      <c r="S477" s="73">
        <v>1</v>
      </c>
      <c r="T477" s="73">
        <v>0</v>
      </c>
      <c r="U477" t="s" s="72">
        <v>122</v>
      </c>
      <c r="V477" s="73">
        <v>33</v>
      </c>
      <c r="W477" s="74">
        <v>6.21</v>
      </c>
      <c r="X477" s="74">
        <v>7.44</v>
      </c>
      <c r="Y477" s="73">
        <v>12</v>
      </c>
      <c r="Z477" s="73">
        <v>5</v>
      </c>
      <c r="AA477" t="s" s="72">
        <v>291</v>
      </c>
      <c r="AB477" t="s" s="72">
        <v>124</v>
      </c>
      <c r="AC477" t="s" s="72">
        <v>124</v>
      </c>
      <c r="AD477" t="s" s="75">
        <v>125</v>
      </c>
      <c r="AE477" s="67"/>
    </row>
    <row r="478" ht="15" customHeight="1">
      <c r="A478" t="s" s="68">
        <v>26</v>
      </c>
      <c r="B478" s="76">
        <v>87.5</v>
      </c>
      <c r="C478" t="b" s="77">
        <v>0</v>
      </c>
      <c r="D478" s="78"/>
      <c r="E478" t="s" s="79">
        <v>1006</v>
      </c>
      <c r="F478" t="s" s="79">
        <v>134</v>
      </c>
      <c r="G478" s="80">
        <v>71</v>
      </c>
      <c r="H478" t="s" s="79">
        <v>164</v>
      </c>
      <c r="I478" t="s" s="79">
        <v>1007</v>
      </c>
      <c r="J478" s="80">
        <v>29</v>
      </c>
      <c r="K478" t="s" s="79">
        <v>1008</v>
      </c>
      <c r="L478" t="s" s="79">
        <v>121</v>
      </c>
      <c r="M478" s="78"/>
      <c r="N478" s="78"/>
      <c r="O478" s="78"/>
      <c r="P478" s="80">
        <v>1</v>
      </c>
      <c r="Q478" s="81">
        <v>6</v>
      </c>
      <c r="R478" s="81">
        <v>6</v>
      </c>
      <c r="S478" s="80">
        <v>0</v>
      </c>
      <c r="T478" s="80">
        <v>0</v>
      </c>
      <c r="U478" t="s" s="79">
        <v>122</v>
      </c>
      <c r="V478" s="80">
        <v>29</v>
      </c>
      <c r="W478" s="81">
        <v>6.4</v>
      </c>
      <c r="X478" s="81">
        <v>7.91</v>
      </c>
      <c r="Y478" s="80">
        <v>13</v>
      </c>
      <c r="Z478" s="80">
        <v>6</v>
      </c>
      <c r="AA478" t="s" s="79">
        <v>123</v>
      </c>
      <c r="AB478" t="s" s="79">
        <v>124</v>
      </c>
      <c r="AC478" t="s" s="79">
        <v>124</v>
      </c>
      <c r="AD478" t="s" s="82">
        <v>125</v>
      </c>
      <c r="AE478" s="67"/>
    </row>
    <row r="479" ht="15" customHeight="1">
      <c r="A479" t="s" s="68">
        <v>26</v>
      </c>
      <c r="B479" s="69">
        <v>87</v>
      </c>
      <c r="C479" t="b" s="70">
        <v>0</v>
      </c>
      <c r="D479" t="s" s="84">
        <v>161</v>
      </c>
      <c r="E479" t="s" s="72">
        <v>1009</v>
      </c>
      <c r="F479" t="s" s="72">
        <v>130</v>
      </c>
      <c r="G479" s="73">
        <v>79</v>
      </c>
      <c r="H479" t="s" s="72">
        <v>118</v>
      </c>
      <c r="I479" t="s" s="72">
        <v>1010</v>
      </c>
      <c r="J479" s="73">
        <v>25</v>
      </c>
      <c r="K479" t="s" s="72">
        <v>325</v>
      </c>
      <c r="L479" t="s" s="72">
        <v>121</v>
      </c>
      <c r="M479" s="71"/>
      <c r="N479" s="71"/>
      <c r="O479" s="71"/>
      <c r="P479" s="73">
        <v>2</v>
      </c>
      <c r="Q479" s="74">
        <v>6.5</v>
      </c>
      <c r="R479" s="74">
        <v>8</v>
      </c>
      <c r="S479" s="73">
        <v>1</v>
      </c>
      <c r="T479" s="73">
        <v>0</v>
      </c>
      <c r="U479" t="s" s="72">
        <v>122</v>
      </c>
      <c r="V479" s="71"/>
      <c r="W479" s="71"/>
      <c r="X479" s="71"/>
      <c r="Y479" s="71"/>
      <c r="Z479" s="71"/>
      <c r="AA479" s="71"/>
      <c r="AB479" t="s" s="72">
        <v>124</v>
      </c>
      <c r="AC479" t="s" s="72">
        <v>124</v>
      </c>
      <c r="AD479" t="s" s="75">
        <v>125</v>
      </c>
      <c r="AE479" s="67"/>
    </row>
    <row r="480" ht="15" customHeight="1">
      <c r="A480" t="s" s="68">
        <v>26</v>
      </c>
      <c r="B480" s="76">
        <v>86.59999999999999</v>
      </c>
      <c r="C480" t="b" s="77">
        <v>0</v>
      </c>
      <c r="D480" t="s" s="85">
        <v>161</v>
      </c>
      <c r="E480" t="s" s="79">
        <v>1011</v>
      </c>
      <c r="F480" t="s" s="79">
        <v>159</v>
      </c>
      <c r="G480" s="80">
        <v>59</v>
      </c>
      <c r="H480" t="s" s="79">
        <v>164</v>
      </c>
      <c r="I480" t="s" s="79">
        <v>1012</v>
      </c>
      <c r="J480" s="80">
        <v>28</v>
      </c>
      <c r="K480" t="s" s="79">
        <v>304</v>
      </c>
      <c r="L480" t="s" s="79">
        <v>121</v>
      </c>
      <c r="M480" s="78"/>
      <c r="N480" s="78"/>
      <c r="O480" s="78"/>
      <c r="P480" s="80">
        <v>1</v>
      </c>
      <c r="Q480" s="81">
        <v>6.5</v>
      </c>
      <c r="R480" s="81">
        <v>6.5</v>
      </c>
      <c r="S480" s="80">
        <v>0</v>
      </c>
      <c r="T480" s="80">
        <v>0</v>
      </c>
      <c r="U480" t="s" s="79">
        <v>122</v>
      </c>
      <c r="V480" s="80">
        <v>30</v>
      </c>
      <c r="W480" s="81">
        <v>6.23</v>
      </c>
      <c r="X480" s="81">
        <v>7.28</v>
      </c>
      <c r="Y480" s="80">
        <v>10</v>
      </c>
      <c r="Z480" s="80">
        <v>4</v>
      </c>
      <c r="AA480" t="s" s="79">
        <v>687</v>
      </c>
      <c r="AB480" t="s" s="79">
        <v>124</v>
      </c>
      <c r="AC480" t="s" s="79">
        <v>124</v>
      </c>
      <c r="AD480" t="s" s="82">
        <v>125</v>
      </c>
      <c r="AE480" s="67"/>
    </row>
    <row r="481" ht="15" customHeight="1">
      <c r="A481" t="s" s="68">
        <v>26</v>
      </c>
      <c r="B481" s="69">
        <v>86</v>
      </c>
      <c r="C481" t="b" s="70">
        <v>0</v>
      </c>
      <c r="D481" s="71"/>
      <c r="E481" t="s" s="72">
        <v>1013</v>
      </c>
      <c r="F481" t="s" s="72">
        <v>141</v>
      </c>
      <c r="G481" s="73">
        <v>62</v>
      </c>
      <c r="H481" t="s" s="72">
        <v>118</v>
      </c>
      <c r="I481" t="s" s="72">
        <v>135</v>
      </c>
      <c r="J481" s="73">
        <v>26</v>
      </c>
      <c r="K481" t="s" s="72">
        <v>597</v>
      </c>
      <c r="L481" t="s" s="72">
        <v>121</v>
      </c>
      <c r="M481" s="71"/>
      <c r="N481" s="71"/>
      <c r="O481" s="71"/>
      <c r="P481" s="73">
        <v>2</v>
      </c>
      <c r="Q481" s="74">
        <v>6.25</v>
      </c>
      <c r="R481" s="74">
        <v>6.75</v>
      </c>
      <c r="S481" s="73">
        <v>0</v>
      </c>
      <c r="T481" s="73">
        <v>1</v>
      </c>
      <c r="U481" t="s" s="72">
        <v>122</v>
      </c>
      <c r="V481" s="73">
        <v>26</v>
      </c>
      <c r="W481" s="74">
        <v>5.87</v>
      </c>
      <c r="X481" s="74">
        <v>6.75</v>
      </c>
      <c r="Y481" s="73">
        <v>8</v>
      </c>
      <c r="Z481" s="73">
        <v>1</v>
      </c>
      <c r="AA481" t="s" s="72">
        <v>750</v>
      </c>
      <c r="AB481" t="s" s="72">
        <v>124</v>
      </c>
      <c r="AC481" t="s" s="72">
        <v>124</v>
      </c>
      <c r="AD481" t="s" s="75">
        <v>125</v>
      </c>
      <c r="AE481" s="67"/>
    </row>
    <row r="482" ht="15" customHeight="1">
      <c r="A482" t="s" s="68">
        <v>26</v>
      </c>
      <c r="B482" s="76">
        <v>85.59999999999999</v>
      </c>
      <c r="C482" t="b" s="77">
        <v>0</v>
      </c>
      <c r="D482" t="s" s="85">
        <v>161</v>
      </c>
      <c r="E482" t="s" s="79">
        <v>1014</v>
      </c>
      <c r="F482" t="s" s="79">
        <v>138</v>
      </c>
      <c r="G482" s="80">
        <v>71</v>
      </c>
      <c r="H482" t="s" s="79">
        <v>118</v>
      </c>
      <c r="I482" t="s" s="79">
        <v>1010</v>
      </c>
      <c r="J482" s="80">
        <v>27</v>
      </c>
      <c r="K482" t="s" s="79">
        <v>288</v>
      </c>
      <c r="L482" t="s" s="79">
        <v>121</v>
      </c>
      <c r="M482" s="78"/>
      <c r="N482" s="78"/>
      <c r="O482" s="78"/>
      <c r="P482" s="80">
        <v>2</v>
      </c>
      <c r="Q482" s="81">
        <v>5.5</v>
      </c>
      <c r="R482" s="81">
        <v>5.5</v>
      </c>
      <c r="S482" s="80">
        <v>0</v>
      </c>
      <c r="T482" s="80">
        <v>0</v>
      </c>
      <c r="U482" t="s" s="79">
        <v>122</v>
      </c>
      <c r="V482" s="78"/>
      <c r="W482" s="78"/>
      <c r="X482" s="78"/>
      <c r="Y482" s="78"/>
      <c r="Z482" s="78"/>
      <c r="AA482" s="78"/>
      <c r="AB482" t="s" s="79">
        <v>124</v>
      </c>
      <c r="AC482" t="s" s="79">
        <v>124</v>
      </c>
      <c r="AD482" t="s" s="82">
        <v>125</v>
      </c>
      <c r="AE482" s="67"/>
    </row>
    <row r="483" ht="15" customHeight="1">
      <c r="A483" t="s" s="68">
        <v>26</v>
      </c>
      <c r="B483" s="69">
        <v>85.2</v>
      </c>
      <c r="C483" t="b" s="70">
        <v>0</v>
      </c>
      <c r="D483" s="71"/>
      <c r="E483" t="s" s="72">
        <v>1015</v>
      </c>
      <c r="F483" t="s" s="72">
        <v>127</v>
      </c>
      <c r="G483" s="73">
        <v>58</v>
      </c>
      <c r="H483" t="s" s="72">
        <v>118</v>
      </c>
      <c r="I483" t="s" s="72">
        <v>135</v>
      </c>
      <c r="J483" s="73">
        <v>27</v>
      </c>
      <c r="K483" t="s" s="72">
        <v>128</v>
      </c>
      <c r="L483" t="s" s="72">
        <v>328</v>
      </c>
      <c r="M483" s="71"/>
      <c r="N483" s="71"/>
      <c r="O483" s="71"/>
      <c r="P483" s="73">
        <v>2</v>
      </c>
      <c r="Q483" s="74">
        <v>5.75</v>
      </c>
      <c r="R483" s="74">
        <v>5.75</v>
      </c>
      <c r="S483" s="73">
        <v>0</v>
      </c>
      <c r="T483" s="73">
        <v>0</v>
      </c>
      <c r="U483" t="s" s="72">
        <v>122</v>
      </c>
      <c r="V483" s="73">
        <v>23</v>
      </c>
      <c r="W483" s="74">
        <v>6.2</v>
      </c>
      <c r="X483" s="74">
        <v>7.5</v>
      </c>
      <c r="Y483" s="73">
        <v>10</v>
      </c>
      <c r="Z483" s="73">
        <v>1</v>
      </c>
      <c r="AA483" t="s" s="72">
        <v>750</v>
      </c>
      <c r="AB483" t="s" s="72">
        <v>124</v>
      </c>
      <c r="AC483" t="s" s="72">
        <v>124</v>
      </c>
      <c r="AD483" t="s" s="75">
        <v>125</v>
      </c>
      <c r="AE483" s="67"/>
    </row>
    <row r="484" ht="15" customHeight="1">
      <c r="A484" t="s" s="68">
        <v>26</v>
      </c>
      <c r="B484" s="76">
        <v>83.5</v>
      </c>
      <c r="C484" t="b" s="77">
        <v>0</v>
      </c>
      <c r="D484" s="78"/>
      <c r="E484" t="s" s="79">
        <v>1016</v>
      </c>
      <c r="F484" t="s" s="79">
        <v>117</v>
      </c>
      <c r="G484" s="80">
        <v>54</v>
      </c>
      <c r="H484" t="s" s="79">
        <v>1017</v>
      </c>
      <c r="I484" t="s" s="79">
        <v>1018</v>
      </c>
      <c r="J484" s="80">
        <v>32</v>
      </c>
      <c r="K484" t="s" s="79">
        <v>593</v>
      </c>
      <c r="L484" t="s" s="79">
        <v>154</v>
      </c>
      <c r="M484" s="78"/>
      <c r="N484" t="s" s="79">
        <v>655</v>
      </c>
      <c r="O484" s="78"/>
      <c r="P484" s="80">
        <v>2</v>
      </c>
      <c r="Q484" s="81">
        <v>7.5</v>
      </c>
      <c r="R484" s="81">
        <v>9</v>
      </c>
      <c r="S484" s="80">
        <v>0</v>
      </c>
      <c r="T484" s="80">
        <v>3</v>
      </c>
      <c r="U484" t="s" s="79">
        <v>122</v>
      </c>
      <c r="V484" s="80">
        <v>21</v>
      </c>
      <c r="W484" s="81">
        <v>6.21</v>
      </c>
      <c r="X484" s="81">
        <v>6.69</v>
      </c>
      <c r="Y484" s="80">
        <v>2</v>
      </c>
      <c r="Z484" s="80">
        <v>7</v>
      </c>
      <c r="AA484" t="s" s="79">
        <v>670</v>
      </c>
      <c r="AB484" t="s" s="79">
        <v>124</v>
      </c>
      <c r="AC484" t="s" s="79">
        <v>124</v>
      </c>
      <c r="AD484" t="s" s="82">
        <v>125</v>
      </c>
      <c r="AE484" s="67"/>
    </row>
    <row r="485" ht="15" customHeight="1">
      <c r="A485" t="s" s="68">
        <v>26</v>
      </c>
      <c r="B485" s="69">
        <v>82.7</v>
      </c>
      <c r="C485" t="b" s="70">
        <v>0</v>
      </c>
      <c r="D485" s="71"/>
      <c r="E485" t="s" s="72">
        <v>1019</v>
      </c>
      <c r="F485" t="s" s="72">
        <v>163</v>
      </c>
      <c r="G485" s="73">
        <v>54</v>
      </c>
      <c r="H485" t="s" s="72">
        <v>118</v>
      </c>
      <c r="I485" t="s" s="72">
        <v>119</v>
      </c>
      <c r="J485" s="73">
        <v>31</v>
      </c>
      <c r="K485" t="s" s="72">
        <v>659</v>
      </c>
      <c r="L485" t="s" s="72">
        <v>121</v>
      </c>
      <c r="M485" s="71"/>
      <c r="N485" s="71"/>
      <c r="O485" s="71"/>
      <c r="P485" s="73">
        <v>2</v>
      </c>
      <c r="Q485" s="74">
        <v>5.5</v>
      </c>
      <c r="R485" s="74">
        <v>5.5</v>
      </c>
      <c r="S485" s="73">
        <v>0</v>
      </c>
      <c r="T485" s="73">
        <v>0</v>
      </c>
      <c r="U485" t="s" s="72">
        <v>122</v>
      </c>
      <c r="V485" s="73">
        <v>32</v>
      </c>
      <c r="W485" s="74">
        <v>6.22</v>
      </c>
      <c r="X485" s="74">
        <v>7.23</v>
      </c>
      <c r="Y485" s="73">
        <v>11</v>
      </c>
      <c r="Z485" s="73">
        <v>0</v>
      </c>
      <c r="AA485" t="s" s="72">
        <v>123</v>
      </c>
      <c r="AB485" t="s" s="72">
        <v>124</v>
      </c>
      <c r="AC485" t="s" s="72">
        <v>124</v>
      </c>
      <c r="AD485" t="s" s="75">
        <v>125</v>
      </c>
      <c r="AE485" s="67"/>
    </row>
    <row r="486" ht="15" customHeight="1">
      <c r="A486" t="s" s="68">
        <v>26</v>
      </c>
      <c r="B486" s="76">
        <v>80.7</v>
      </c>
      <c r="C486" t="b" s="77">
        <v>0</v>
      </c>
      <c r="D486" s="78"/>
      <c r="E486" t="s" s="79">
        <v>1020</v>
      </c>
      <c r="F486" t="s" s="79">
        <v>172</v>
      </c>
      <c r="G486" s="80">
        <v>45</v>
      </c>
      <c r="H486" t="s" s="79">
        <v>118</v>
      </c>
      <c r="I486" t="s" s="79">
        <v>662</v>
      </c>
      <c r="J486" s="80">
        <v>27</v>
      </c>
      <c r="K486" t="s" s="79">
        <v>800</v>
      </c>
      <c r="L486" t="s" s="79">
        <v>121</v>
      </c>
      <c r="M486" s="78"/>
      <c r="N486" t="s" s="79">
        <v>272</v>
      </c>
      <c r="O486" s="78"/>
      <c r="P486" s="80">
        <v>2</v>
      </c>
      <c r="Q486" s="81">
        <v>6.25</v>
      </c>
      <c r="R486" s="81">
        <v>6</v>
      </c>
      <c r="S486" s="80">
        <v>0</v>
      </c>
      <c r="T486" s="80">
        <v>0</v>
      </c>
      <c r="U486" t="s" s="79">
        <v>122</v>
      </c>
      <c r="V486" s="80">
        <v>37</v>
      </c>
      <c r="W486" s="81">
        <v>6.11</v>
      </c>
      <c r="X486" s="81">
        <v>6.86</v>
      </c>
      <c r="Y486" s="80">
        <v>7</v>
      </c>
      <c r="Z486" s="80">
        <v>9</v>
      </c>
      <c r="AA486" t="s" s="79">
        <v>123</v>
      </c>
      <c r="AB486" t="s" s="79">
        <v>124</v>
      </c>
      <c r="AC486" t="s" s="79">
        <v>124</v>
      </c>
      <c r="AD486" t="s" s="82">
        <v>125</v>
      </c>
      <c r="AE486" s="67"/>
    </row>
    <row r="487" ht="15" customHeight="1">
      <c r="A487" t="s" s="83">
        <v>28</v>
      </c>
      <c r="B487" s="69">
        <v>80.5</v>
      </c>
      <c r="C487" t="b" s="70">
        <v>0</v>
      </c>
      <c r="D487" s="71"/>
      <c r="E487" t="s" s="72">
        <v>1021</v>
      </c>
      <c r="F487" t="s" s="72">
        <v>172</v>
      </c>
      <c r="G487" s="73">
        <v>51</v>
      </c>
      <c r="H487" t="s" s="72">
        <v>1022</v>
      </c>
      <c r="I487" t="s" s="72">
        <v>1023</v>
      </c>
      <c r="J487" s="73">
        <v>32</v>
      </c>
      <c r="K487" t="s" s="72">
        <v>128</v>
      </c>
      <c r="L487" t="s" s="72">
        <v>154</v>
      </c>
      <c r="M487" s="71"/>
      <c r="N487" t="s" s="72">
        <v>655</v>
      </c>
      <c r="O487" s="71"/>
      <c r="P487" s="73">
        <v>1</v>
      </c>
      <c r="Q487" s="74">
        <v>7</v>
      </c>
      <c r="R487" s="74">
        <v>10</v>
      </c>
      <c r="S487" s="73">
        <v>1</v>
      </c>
      <c r="T487" s="73">
        <v>0</v>
      </c>
      <c r="U487" t="s" s="72">
        <v>122</v>
      </c>
      <c r="V487" s="73">
        <v>26</v>
      </c>
      <c r="W487" s="74">
        <v>6.21</v>
      </c>
      <c r="X487" s="74">
        <v>7.1</v>
      </c>
      <c r="Y487" s="73">
        <v>8</v>
      </c>
      <c r="Z487" s="73">
        <v>4</v>
      </c>
      <c r="AA487" t="s" s="72">
        <v>972</v>
      </c>
      <c r="AB487" t="s" s="72">
        <v>124</v>
      </c>
      <c r="AC487" t="s" s="72">
        <v>124</v>
      </c>
      <c r="AD487" t="s" s="75">
        <v>125</v>
      </c>
      <c r="AE487" s="67"/>
    </row>
    <row r="488" ht="15" customHeight="1">
      <c r="A488" t="s" s="83">
        <v>28</v>
      </c>
      <c r="B488" s="76">
        <v>78.90000000000001</v>
      </c>
      <c r="C488" t="b" s="77">
        <v>0</v>
      </c>
      <c r="D488" t="s" s="85">
        <v>161</v>
      </c>
      <c r="E488" t="s" s="79">
        <v>1024</v>
      </c>
      <c r="F488" t="s" s="79">
        <v>138</v>
      </c>
      <c r="G488" s="80">
        <v>67</v>
      </c>
      <c r="H488" t="s" s="79">
        <v>164</v>
      </c>
      <c r="I488" t="s" s="79">
        <v>1025</v>
      </c>
      <c r="J488" s="80">
        <v>21</v>
      </c>
      <c r="K488" t="s" s="79">
        <v>654</v>
      </c>
      <c r="L488" t="s" s="79">
        <v>328</v>
      </c>
      <c r="M488" s="78"/>
      <c r="N488" t="s" s="79">
        <v>655</v>
      </c>
      <c r="O488" t="s" s="88">
        <v>1026</v>
      </c>
      <c r="P488" s="80">
        <v>1</v>
      </c>
      <c r="Q488" s="81">
        <v>5.5</v>
      </c>
      <c r="R488" s="81">
        <v>5.5</v>
      </c>
      <c r="S488" s="80">
        <v>0</v>
      </c>
      <c r="T488" s="80">
        <v>0</v>
      </c>
      <c r="U488" t="s" s="79">
        <v>122</v>
      </c>
      <c r="V488" s="80">
        <v>35</v>
      </c>
      <c r="W488" s="81">
        <v>6.46</v>
      </c>
      <c r="X488" s="81">
        <v>7.37</v>
      </c>
      <c r="Y488" s="80">
        <v>10</v>
      </c>
      <c r="Z488" s="80">
        <v>6</v>
      </c>
      <c r="AA488" t="s" s="79">
        <v>1027</v>
      </c>
      <c r="AB488" t="s" s="79">
        <v>124</v>
      </c>
      <c r="AC488" t="s" s="79">
        <v>124</v>
      </c>
      <c r="AD488" t="s" s="82">
        <v>125</v>
      </c>
      <c r="AE488" s="67"/>
    </row>
    <row r="489" ht="15" customHeight="1">
      <c r="A489" t="s" s="83">
        <v>28</v>
      </c>
      <c r="B489" s="69">
        <v>78.2</v>
      </c>
      <c r="C489" t="b" s="70">
        <v>0</v>
      </c>
      <c r="D489" s="71"/>
      <c r="E489" t="s" s="72">
        <v>1028</v>
      </c>
      <c r="F489" t="s" s="72">
        <v>141</v>
      </c>
      <c r="G489" s="73">
        <v>70</v>
      </c>
      <c r="H489" t="s" s="72">
        <v>175</v>
      </c>
      <c r="I489" t="s" s="72">
        <v>1029</v>
      </c>
      <c r="J489" s="73">
        <v>27</v>
      </c>
      <c r="K489" t="s" s="72">
        <v>151</v>
      </c>
      <c r="L489" t="s" s="72">
        <v>121</v>
      </c>
      <c r="M489" s="71"/>
      <c r="N489" s="71"/>
      <c r="O489" s="71"/>
      <c r="P489" s="73">
        <v>3</v>
      </c>
      <c r="Q489" s="74">
        <v>6.33</v>
      </c>
      <c r="R489" s="74">
        <v>8.33</v>
      </c>
      <c r="S489" s="73">
        <v>2</v>
      </c>
      <c r="T489" s="73">
        <v>0</v>
      </c>
      <c r="U489" t="s" s="72">
        <v>122</v>
      </c>
      <c r="V489" s="73">
        <v>36</v>
      </c>
      <c r="W489" s="74">
        <v>6.19</v>
      </c>
      <c r="X489" s="74">
        <v>7.39</v>
      </c>
      <c r="Y489" s="73">
        <v>14</v>
      </c>
      <c r="Z489" s="73">
        <v>1</v>
      </c>
      <c r="AA489" t="s" s="72">
        <v>291</v>
      </c>
      <c r="AB489" t="s" s="72">
        <v>124</v>
      </c>
      <c r="AC489" t="s" s="72">
        <v>124</v>
      </c>
      <c r="AD489" t="s" s="75">
        <v>125</v>
      </c>
      <c r="AE489" s="67"/>
    </row>
    <row r="490" ht="15" customHeight="1">
      <c r="A490" t="s" s="83">
        <v>28</v>
      </c>
      <c r="B490" s="76">
        <v>78.09999999999999</v>
      </c>
      <c r="C490" t="b" s="77">
        <v>0</v>
      </c>
      <c r="D490" s="78"/>
      <c r="E490" t="s" s="79">
        <v>1030</v>
      </c>
      <c r="F490" t="s" s="79">
        <v>149</v>
      </c>
      <c r="G490" s="80">
        <v>52</v>
      </c>
      <c r="H490" t="s" s="79">
        <v>164</v>
      </c>
      <c r="I490" t="s" s="79">
        <v>1031</v>
      </c>
      <c r="J490" s="80">
        <v>27</v>
      </c>
      <c r="K490" t="s" s="79">
        <v>128</v>
      </c>
      <c r="L490" t="s" s="79">
        <v>121</v>
      </c>
      <c r="M490" s="78"/>
      <c r="N490" s="78"/>
      <c r="O490" s="78"/>
      <c r="P490" s="80">
        <v>0</v>
      </c>
      <c r="Q490" s="81">
        <v>0</v>
      </c>
      <c r="R490" s="81">
        <v>0</v>
      </c>
      <c r="S490" s="80">
        <v>0</v>
      </c>
      <c r="T490" s="80">
        <v>0</v>
      </c>
      <c r="U490" t="s" s="79">
        <v>122</v>
      </c>
      <c r="V490" s="80">
        <v>35</v>
      </c>
      <c r="W490" s="81">
        <v>5.93</v>
      </c>
      <c r="X490" s="81">
        <v>6.64</v>
      </c>
      <c r="Y490" s="80">
        <v>9</v>
      </c>
      <c r="Z490" s="80">
        <v>3</v>
      </c>
      <c r="AA490" t="s" s="79">
        <v>670</v>
      </c>
      <c r="AB490" t="s" s="79">
        <v>124</v>
      </c>
      <c r="AC490" t="s" s="79">
        <v>124</v>
      </c>
      <c r="AD490" t="s" s="82">
        <v>125</v>
      </c>
      <c r="AE490" s="67"/>
    </row>
    <row r="491" ht="15" customHeight="1">
      <c r="A491" t="s" s="83">
        <v>28</v>
      </c>
      <c r="B491" s="69">
        <v>76.7</v>
      </c>
      <c r="C491" t="b" s="70">
        <v>0</v>
      </c>
      <c r="D491" s="71"/>
      <c r="E491" t="s" s="72">
        <v>1032</v>
      </c>
      <c r="F491" t="s" s="72">
        <v>163</v>
      </c>
      <c r="G491" s="73">
        <v>52</v>
      </c>
      <c r="H491" t="s" s="72">
        <v>118</v>
      </c>
      <c r="I491" t="s" s="72">
        <v>131</v>
      </c>
      <c r="J491" s="73">
        <v>30</v>
      </c>
      <c r="K491" t="s" s="72">
        <v>677</v>
      </c>
      <c r="L491" t="s" s="72">
        <v>121</v>
      </c>
      <c r="M491" s="71"/>
      <c r="N491" s="71"/>
      <c r="O491" s="71"/>
      <c r="P491" s="73">
        <v>2</v>
      </c>
      <c r="Q491" s="74">
        <v>6.5</v>
      </c>
      <c r="R491" s="74">
        <v>8</v>
      </c>
      <c r="S491" s="73">
        <v>1</v>
      </c>
      <c r="T491" s="73">
        <v>0</v>
      </c>
      <c r="U491" t="s" s="72">
        <v>122</v>
      </c>
      <c r="V491" s="73">
        <v>32</v>
      </c>
      <c r="W491" s="74">
        <v>6.06</v>
      </c>
      <c r="X491" s="74">
        <v>6.72</v>
      </c>
      <c r="Y491" s="73">
        <v>6</v>
      </c>
      <c r="Z491" s="73">
        <v>3</v>
      </c>
      <c r="AA491" t="s" s="72">
        <v>123</v>
      </c>
      <c r="AB491" t="s" s="72">
        <v>124</v>
      </c>
      <c r="AC491" t="s" s="72">
        <v>124</v>
      </c>
      <c r="AD491" t="s" s="75">
        <v>125</v>
      </c>
      <c r="AE491" s="67"/>
    </row>
    <row r="492" ht="15" customHeight="1">
      <c r="A492" t="s" s="83">
        <v>28</v>
      </c>
      <c r="B492" s="76">
        <v>74.5</v>
      </c>
      <c r="C492" t="b" s="77">
        <v>0</v>
      </c>
      <c r="D492" s="78"/>
      <c r="E492" t="s" s="79">
        <v>1033</v>
      </c>
      <c r="F492" t="s" s="79">
        <v>127</v>
      </c>
      <c r="G492" s="80">
        <v>57</v>
      </c>
      <c r="H492" t="s" s="79">
        <v>175</v>
      </c>
      <c r="I492" t="s" s="79">
        <v>1029</v>
      </c>
      <c r="J492" s="80">
        <v>26</v>
      </c>
      <c r="K492" t="s" s="79">
        <v>1034</v>
      </c>
      <c r="L492" t="s" s="79">
        <v>121</v>
      </c>
      <c r="M492" s="78"/>
      <c r="N492" s="78"/>
      <c r="O492" s="78"/>
      <c r="P492" s="80">
        <v>2</v>
      </c>
      <c r="Q492" s="81">
        <v>6.5</v>
      </c>
      <c r="R492" s="81">
        <v>7.75</v>
      </c>
      <c r="S492" s="80">
        <v>1</v>
      </c>
      <c r="T492" s="80">
        <v>0</v>
      </c>
      <c r="U492" t="s" s="79">
        <v>122</v>
      </c>
      <c r="V492" s="80">
        <v>32</v>
      </c>
      <c r="W492" s="81">
        <v>6.12</v>
      </c>
      <c r="X492" s="81">
        <v>7.16</v>
      </c>
      <c r="Y492" s="80">
        <v>10</v>
      </c>
      <c r="Z492" s="80">
        <v>5</v>
      </c>
      <c r="AA492" t="s" s="79">
        <v>123</v>
      </c>
      <c r="AB492" t="s" s="79">
        <v>124</v>
      </c>
      <c r="AC492" t="s" s="79">
        <v>124</v>
      </c>
      <c r="AD492" t="s" s="82">
        <v>125</v>
      </c>
      <c r="AE492" s="67"/>
    </row>
    <row r="493" ht="15" customHeight="1">
      <c r="A493" t="s" s="83">
        <v>28</v>
      </c>
      <c r="B493" s="69">
        <v>74.3</v>
      </c>
      <c r="C493" t="b" s="70">
        <v>0</v>
      </c>
      <c r="D493" t="s" s="84">
        <v>178</v>
      </c>
      <c r="E493" t="s" s="72">
        <v>1035</v>
      </c>
      <c r="F493" t="s" s="72">
        <v>138</v>
      </c>
      <c r="G493" s="73">
        <v>57</v>
      </c>
      <c r="H493" t="s" s="72">
        <v>164</v>
      </c>
      <c r="I493" t="s" s="72">
        <v>165</v>
      </c>
      <c r="J493" s="73">
        <v>24</v>
      </c>
      <c r="K493" t="s" s="72">
        <v>356</v>
      </c>
      <c r="L493" t="s" s="72">
        <v>121</v>
      </c>
      <c r="M493" s="71"/>
      <c r="N493" s="71"/>
      <c r="O493" s="71"/>
      <c r="P493" s="73">
        <v>0</v>
      </c>
      <c r="Q493" s="74">
        <v>0</v>
      </c>
      <c r="R493" s="74">
        <v>0</v>
      </c>
      <c r="S493" s="73">
        <v>0</v>
      </c>
      <c r="T493" s="73">
        <v>0</v>
      </c>
      <c r="U493" t="s" s="72">
        <v>122</v>
      </c>
      <c r="V493" s="71"/>
      <c r="W493" s="71"/>
      <c r="X493" s="71"/>
      <c r="Y493" s="71"/>
      <c r="Z493" s="71"/>
      <c r="AA493" s="71"/>
      <c r="AB493" t="s" s="72">
        <v>124</v>
      </c>
      <c r="AC493" t="s" s="72">
        <v>124</v>
      </c>
      <c r="AD493" t="s" s="75">
        <v>125</v>
      </c>
      <c r="AE493" s="67"/>
    </row>
    <row r="494" ht="15" customHeight="1">
      <c r="A494" t="s" s="83">
        <v>28</v>
      </c>
      <c r="B494" s="76">
        <v>72.5</v>
      </c>
      <c r="C494" t="b" s="77">
        <v>0</v>
      </c>
      <c r="D494" s="78"/>
      <c r="E494" t="s" s="79">
        <v>941</v>
      </c>
      <c r="F494" t="s" s="79">
        <v>156</v>
      </c>
      <c r="G494" s="80">
        <v>34</v>
      </c>
      <c r="H494" t="s" s="79">
        <v>118</v>
      </c>
      <c r="I494" t="s" s="79">
        <v>119</v>
      </c>
      <c r="J494" s="80">
        <v>24</v>
      </c>
      <c r="K494" t="s" s="79">
        <v>128</v>
      </c>
      <c r="L494" t="s" s="79">
        <v>154</v>
      </c>
      <c r="M494" s="78"/>
      <c r="N494" s="78"/>
      <c r="O494" s="78"/>
      <c r="P494" s="80">
        <v>3</v>
      </c>
      <c r="Q494" s="81">
        <v>5.67</v>
      </c>
      <c r="R494" s="81">
        <v>6</v>
      </c>
      <c r="S494" s="80">
        <v>0</v>
      </c>
      <c r="T494" s="80">
        <v>1</v>
      </c>
      <c r="U494" t="s" s="79">
        <v>122</v>
      </c>
      <c r="V494" s="80">
        <v>37</v>
      </c>
      <c r="W494" s="81">
        <v>5.91</v>
      </c>
      <c r="X494" s="81">
        <v>6.39</v>
      </c>
      <c r="Y494" s="80">
        <v>7</v>
      </c>
      <c r="Z494" s="80">
        <v>1</v>
      </c>
      <c r="AA494" t="s" s="79">
        <v>1027</v>
      </c>
      <c r="AB494" t="s" s="79">
        <v>124</v>
      </c>
      <c r="AC494" t="s" s="79">
        <v>124</v>
      </c>
      <c r="AD494" t="s" s="82">
        <v>125</v>
      </c>
      <c r="AE494" s="67"/>
    </row>
    <row r="495" ht="15" customHeight="1">
      <c r="A495" t="s" s="83">
        <v>28</v>
      </c>
      <c r="B495" s="69">
        <v>72.2</v>
      </c>
      <c r="C495" t="b" s="70">
        <v>0</v>
      </c>
      <c r="D495" s="71"/>
      <c r="E495" t="s" s="72">
        <v>1036</v>
      </c>
      <c r="F495" t="s" s="72">
        <v>117</v>
      </c>
      <c r="G495" s="73">
        <v>54</v>
      </c>
      <c r="H495" t="s" s="72">
        <v>175</v>
      </c>
      <c r="I495" t="s" s="72">
        <v>1037</v>
      </c>
      <c r="J495" s="73">
        <v>21</v>
      </c>
      <c r="K495" t="s" s="72">
        <v>316</v>
      </c>
      <c r="L495" t="s" s="72">
        <v>121</v>
      </c>
      <c r="M495" s="71"/>
      <c r="N495" s="71"/>
      <c r="O495" s="71"/>
      <c r="P495" s="73">
        <v>2</v>
      </c>
      <c r="Q495" s="74">
        <v>6</v>
      </c>
      <c r="R495" s="74">
        <v>6</v>
      </c>
      <c r="S495" s="73">
        <v>0</v>
      </c>
      <c r="T495" s="73">
        <v>0</v>
      </c>
      <c r="U495" t="s" s="72">
        <v>122</v>
      </c>
      <c r="V495" s="73">
        <v>35</v>
      </c>
      <c r="W495" s="74">
        <v>6.04</v>
      </c>
      <c r="X495" s="74">
        <v>6.63</v>
      </c>
      <c r="Y495" s="73">
        <v>7</v>
      </c>
      <c r="Z495" s="73">
        <v>1</v>
      </c>
      <c r="AA495" t="s" s="72">
        <v>123</v>
      </c>
      <c r="AB495" t="s" s="72">
        <v>124</v>
      </c>
      <c r="AC495" t="s" s="72">
        <v>124</v>
      </c>
      <c r="AD495" t="s" s="75">
        <v>125</v>
      </c>
      <c r="AE495" s="67"/>
    </row>
    <row r="496" ht="15" customHeight="1">
      <c r="A496" t="s" s="83">
        <v>28</v>
      </c>
      <c r="B496" s="76">
        <v>71.59999999999999</v>
      </c>
      <c r="C496" t="b" s="77">
        <v>0</v>
      </c>
      <c r="D496" s="78"/>
      <c r="E496" t="s" s="79">
        <v>1038</v>
      </c>
      <c r="F496" t="s" s="79">
        <v>127</v>
      </c>
      <c r="G496" s="80">
        <v>38</v>
      </c>
      <c r="H496" t="s" s="79">
        <v>118</v>
      </c>
      <c r="I496" t="s" s="79">
        <v>695</v>
      </c>
      <c r="J496" s="80">
        <v>25</v>
      </c>
      <c r="K496" t="s" s="79">
        <v>399</v>
      </c>
      <c r="L496" t="s" s="79">
        <v>154</v>
      </c>
      <c r="M496" s="78"/>
      <c r="N496" t="s" s="79">
        <v>655</v>
      </c>
      <c r="O496" s="78"/>
      <c r="P496" s="80">
        <v>2</v>
      </c>
      <c r="Q496" s="81">
        <v>5.75</v>
      </c>
      <c r="R496" s="81">
        <v>5.75</v>
      </c>
      <c r="S496" s="80">
        <v>0</v>
      </c>
      <c r="T496" s="80">
        <v>0</v>
      </c>
      <c r="U496" t="s" s="79">
        <v>122</v>
      </c>
      <c r="V496" s="80">
        <v>31</v>
      </c>
      <c r="W496" s="81">
        <v>6.11</v>
      </c>
      <c r="X496" s="81">
        <v>6.5</v>
      </c>
      <c r="Y496" s="80">
        <v>3</v>
      </c>
      <c r="Z496" s="80">
        <v>5</v>
      </c>
      <c r="AA496" t="s" s="79">
        <v>123</v>
      </c>
      <c r="AB496" t="s" s="79">
        <v>124</v>
      </c>
      <c r="AC496" t="s" s="79">
        <v>124</v>
      </c>
      <c r="AD496" t="s" s="82">
        <v>125</v>
      </c>
      <c r="AE496" s="67"/>
    </row>
    <row r="497" ht="15" customHeight="1">
      <c r="A497" t="s" s="83">
        <v>28</v>
      </c>
      <c r="B497" s="69">
        <v>71</v>
      </c>
      <c r="C497" t="b" s="70">
        <v>0</v>
      </c>
      <c r="D497" s="71"/>
      <c r="E497" t="s" s="72">
        <v>1039</v>
      </c>
      <c r="F497" t="s" s="72">
        <v>117</v>
      </c>
      <c r="G497" s="73">
        <v>57</v>
      </c>
      <c r="H497" t="s" s="72">
        <v>1040</v>
      </c>
      <c r="I497" t="s" s="72">
        <v>1041</v>
      </c>
      <c r="J497" s="73">
        <v>23</v>
      </c>
      <c r="K497" t="s" s="72">
        <v>593</v>
      </c>
      <c r="L497" t="s" s="72">
        <v>154</v>
      </c>
      <c r="M497" s="71"/>
      <c r="N497" t="s" s="72">
        <v>311</v>
      </c>
      <c r="O497" s="71"/>
      <c r="P497" s="73">
        <v>2</v>
      </c>
      <c r="Q497" s="74">
        <v>6.25</v>
      </c>
      <c r="R497" s="74">
        <v>7.75</v>
      </c>
      <c r="S497" s="73">
        <v>1</v>
      </c>
      <c r="T497" s="73">
        <v>0</v>
      </c>
      <c r="U497" t="s" s="72">
        <v>122</v>
      </c>
      <c r="V497" s="73">
        <v>32</v>
      </c>
      <c r="W497" s="74">
        <v>6.11</v>
      </c>
      <c r="X497" s="74">
        <v>6.81</v>
      </c>
      <c r="Y497" s="73">
        <v>6</v>
      </c>
      <c r="Z497" s="73">
        <v>5</v>
      </c>
      <c r="AA497" t="s" s="72">
        <v>123</v>
      </c>
      <c r="AB497" t="s" s="72">
        <v>124</v>
      </c>
      <c r="AC497" t="s" s="72">
        <v>124</v>
      </c>
      <c r="AD497" t="s" s="75">
        <v>125</v>
      </c>
      <c r="AE497" s="67"/>
    </row>
    <row r="498" ht="15" customHeight="1">
      <c r="A498" t="s" s="83">
        <v>28</v>
      </c>
      <c r="B498" s="76">
        <v>70.5</v>
      </c>
      <c r="C498" t="b" s="77">
        <v>0</v>
      </c>
      <c r="D498" t="s" s="85">
        <v>178</v>
      </c>
      <c r="E498" t="s" s="79">
        <v>1042</v>
      </c>
      <c r="F498" t="s" s="79">
        <v>172</v>
      </c>
      <c r="G498" s="80">
        <v>39</v>
      </c>
      <c r="H498" t="s" s="79">
        <v>1043</v>
      </c>
      <c r="I498" t="s" s="79">
        <v>1044</v>
      </c>
      <c r="J498" s="80">
        <v>24</v>
      </c>
      <c r="K498" t="s" s="79">
        <v>128</v>
      </c>
      <c r="L498" t="s" s="79">
        <v>121</v>
      </c>
      <c r="M498" s="78"/>
      <c r="N498" s="78"/>
      <c r="O498" s="78"/>
      <c r="P498" s="80">
        <v>0</v>
      </c>
      <c r="Q498" s="81">
        <v>0</v>
      </c>
      <c r="R498" s="81">
        <v>0</v>
      </c>
      <c r="S498" s="80">
        <v>0</v>
      </c>
      <c r="T498" s="80">
        <v>0</v>
      </c>
      <c r="U498" t="s" s="79">
        <v>122</v>
      </c>
      <c r="V498" s="80">
        <v>36</v>
      </c>
      <c r="W498" s="81">
        <v>6.19</v>
      </c>
      <c r="X498" s="81">
        <v>6.81</v>
      </c>
      <c r="Y498" s="80">
        <v>7</v>
      </c>
      <c r="Z498" s="80">
        <v>4</v>
      </c>
      <c r="AA498" t="s" s="79">
        <v>291</v>
      </c>
      <c r="AB498" t="s" s="79">
        <v>124</v>
      </c>
      <c r="AC498" t="s" s="79">
        <v>124</v>
      </c>
      <c r="AD498" t="s" s="82">
        <v>125</v>
      </c>
      <c r="AE498" s="67"/>
    </row>
    <row r="499" ht="15" customHeight="1">
      <c r="A499" t="s" s="83">
        <v>28</v>
      </c>
      <c r="B499" s="69">
        <v>70.40000000000001</v>
      </c>
      <c r="C499" t="b" s="70">
        <v>0</v>
      </c>
      <c r="D499" t="s" s="84">
        <v>161</v>
      </c>
      <c r="E499" t="s" s="72">
        <v>1045</v>
      </c>
      <c r="F499" t="s" s="72">
        <v>170</v>
      </c>
      <c r="G499" s="73">
        <v>40</v>
      </c>
      <c r="H499" t="s" s="72">
        <v>164</v>
      </c>
      <c r="I499" t="s" s="72">
        <v>1046</v>
      </c>
      <c r="J499" s="73">
        <v>28</v>
      </c>
      <c r="K499" t="s" s="72">
        <v>1047</v>
      </c>
      <c r="L499" t="s" s="72">
        <v>121</v>
      </c>
      <c r="M499" s="71"/>
      <c r="N499" s="71"/>
      <c r="O499" s="71"/>
      <c r="P499" s="73">
        <v>0</v>
      </c>
      <c r="Q499" s="74">
        <v>0</v>
      </c>
      <c r="R499" s="74">
        <v>0</v>
      </c>
      <c r="S499" s="73">
        <v>0</v>
      </c>
      <c r="T499" s="73">
        <v>0</v>
      </c>
      <c r="U499" t="s" s="72">
        <v>122</v>
      </c>
      <c r="V499" s="71"/>
      <c r="W499" s="71"/>
      <c r="X499" s="71"/>
      <c r="Y499" s="71"/>
      <c r="Z499" s="71"/>
      <c r="AA499" s="71"/>
      <c r="AB499" t="s" s="72">
        <v>124</v>
      </c>
      <c r="AC499" t="s" s="72">
        <v>124</v>
      </c>
      <c r="AD499" t="s" s="75">
        <v>125</v>
      </c>
      <c r="AE499" s="67"/>
    </row>
    <row r="500" ht="15" customHeight="1">
      <c r="A500" t="s" s="83">
        <v>28</v>
      </c>
      <c r="B500" s="76">
        <v>69</v>
      </c>
      <c r="C500" t="b" s="77">
        <v>0</v>
      </c>
      <c r="D500" s="78"/>
      <c r="E500" t="s" s="79">
        <v>1048</v>
      </c>
      <c r="F500" t="s" s="79">
        <v>127</v>
      </c>
      <c r="G500" s="80">
        <v>39</v>
      </c>
      <c r="H500" t="s" s="79">
        <v>1049</v>
      </c>
      <c r="I500" t="s" s="79">
        <v>1049</v>
      </c>
      <c r="J500" s="80">
        <v>23</v>
      </c>
      <c r="K500" t="s" s="79">
        <v>304</v>
      </c>
      <c r="L500" t="s" s="79">
        <v>121</v>
      </c>
      <c r="M500" s="78"/>
      <c r="N500" s="78"/>
      <c r="O500" s="78"/>
      <c r="P500" s="80">
        <v>1</v>
      </c>
      <c r="Q500" s="81">
        <v>5.5</v>
      </c>
      <c r="R500" s="81">
        <v>5.5</v>
      </c>
      <c r="S500" s="80">
        <v>0</v>
      </c>
      <c r="T500" s="80">
        <v>0</v>
      </c>
      <c r="U500" t="s" s="79">
        <v>122</v>
      </c>
      <c r="V500" s="80">
        <v>28</v>
      </c>
      <c r="W500" s="81">
        <v>6.09</v>
      </c>
      <c r="X500" s="81">
        <v>6.48</v>
      </c>
      <c r="Y500" s="80">
        <v>3</v>
      </c>
      <c r="Z500" s="80">
        <v>3</v>
      </c>
      <c r="AA500" t="s" s="79">
        <v>123</v>
      </c>
      <c r="AB500" t="s" s="79">
        <v>124</v>
      </c>
      <c r="AC500" t="s" s="79">
        <v>124</v>
      </c>
      <c r="AD500" t="s" s="82">
        <v>125</v>
      </c>
      <c r="AE500" s="67"/>
    </row>
    <row r="501" ht="15" customHeight="1">
      <c r="A501" t="s" s="83">
        <v>28</v>
      </c>
      <c r="B501" s="69">
        <v>68</v>
      </c>
      <c r="C501" t="b" s="70">
        <v>0</v>
      </c>
      <c r="D501" t="s" s="84">
        <v>161</v>
      </c>
      <c r="E501" t="s" s="72">
        <v>1050</v>
      </c>
      <c r="F501" t="s" s="72">
        <v>156</v>
      </c>
      <c r="G501" s="73">
        <v>30</v>
      </c>
      <c r="H501" t="s" s="72">
        <v>1051</v>
      </c>
      <c r="I501" t="s" s="72">
        <v>1052</v>
      </c>
      <c r="J501" s="73">
        <v>26</v>
      </c>
      <c r="K501" t="s" s="72">
        <v>325</v>
      </c>
      <c r="L501" t="s" s="72">
        <v>121</v>
      </c>
      <c r="M501" s="71"/>
      <c r="N501" t="s" s="72">
        <v>272</v>
      </c>
      <c r="O501" s="71"/>
      <c r="P501" s="73">
        <v>3</v>
      </c>
      <c r="Q501" s="74">
        <v>5.5</v>
      </c>
      <c r="R501" s="74">
        <v>5.5</v>
      </c>
      <c r="S501" s="73">
        <v>0</v>
      </c>
      <c r="T501" s="73">
        <v>0</v>
      </c>
      <c r="U501" t="s" s="72">
        <v>122</v>
      </c>
      <c r="V501" s="73">
        <v>32</v>
      </c>
      <c r="W501" s="74">
        <v>5.97</v>
      </c>
      <c r="X501" s="74">
        <v>6.39</v>
      </c>
      <c r="Y501" s="73">
        <v>5</v>
      </c>
      <c r="Z501" s="73">
        <v>1</v>
      </c>
      <c r="AA501" t="s" s="72">
        <v>123</v>
      </c>
      <c r="AB501" t="s" s="72">
        <v>124</v>
      </c>
      <c r="AC501" t="s" s="72">
        <v>124</v>
      </c>
      <c r="AD501" t="s" s="75">
        <v>125</v>
      </c>
      <c r="AE501" s="67"/>
    </row>
    <row r="502" ht="15" customHeight="1">
      <c r="A502" t="s" s="83">
        <v>28</v>
      </c>
      <c r="B502" s="76">
        <v>67.40000000000001</v>
      </c>
      <c r="C502" t="b" s="77">
        <v>0</v>
      </c>
      <c r="D502" t="s" s="85">
        <v>178</v>
      </c>
      <c r="E502" t="s" s="79">
        <v>1053</v>
      </c>
      <c r="F502" t="s" s="79">
        <v>141</v>
      </c>
      <c r="G502" s="80">
        <v>32</v>
      </c>
      <c r="H502" t="s" s="79">
        <v>118</v>
      </c>
      <c r="I502" t="s" s="79">
        <v>1054</v>
      </c>
      <c r="J502" s="80">
        <v>20</v>
      </c>
      <c r="K502" t="s" s="79">
        <v>1055</v>
      </c>
      <c r="L502" t="s" s="79">
        <v>121</v>
      </c>
      <c r="M502" s="78"/>
      <c r="N502" s="78"/>
      <c r="O502" s="78"/>
      <c r="P502" s="80">
        <v>3</v>
      </c>
      <c r="Q502" s="81">
        <v>6.67</v>
      </c>
      <c r="R502" s="81">
        <v>9</v>
      </c>
      <c r="S502" s="80">
        <v>2</v>
      </c>
      <c r="T502" s="80">
        <v>1</v>
      </c>
      <c r="U502" t="s" s="79">
        <v>122</v>
      </c>
      <c r="V502" s="80">
        <v>16</v>
      </c>
      <c r="W502" s="81">
        <v>5.94</v>
      </c>
      <c r="X502" s="81">
        <v>6.31</v>
      </c>
      <c r="Y502" s="80">
        <v>2</v>
      </c>
      <c r="Z502" s="80">
        <v>1</v>
      </c>
      <c r="AA502" t="s" s="79">
        <v>123</v>
      </c>
      <c r="AB502" t="s" s="79">
        <v>124</v>
      </c>
      <c r="AC502" t="s" s="79">
        <v>124</v>
      </c>
      <c r="AD502" t="s" s="82">
        <v>125</v>
      </c>
      <c r="AE502" s="67"/>
    </row>
    <row r="503" ht="15" customHeight="1">
      <c r="A503" t="s" s="83">
        <v>28</v>
      </c>
      <c r="B503" s="69">
        <v>67.3</v>
      </c>
      <c r="C503" t="b" s="70">
        <v>0</v>
      </c>
      <c r="D503" t="s" s="84">
        <v>161</v>
      </c>
      <c r="E503" t="s" s="72">
        <v>1056</v>
      </c>
      <c r="F503" t="s" s="72">
        <v>134</v>
      </c>
      <c r="G503" s="73">
        <v>45</v>
      </c>
      <c r="H503" t="s" s="72">
        <v>175</v>
      </c>
      <c r="I503" t="s" s="72">
        <v>1057</v>
      </c>
      <c r="J503" s="73">
        <v>21</v>
      </c>
      <c r="K503" t="s" s="72">
        <v>128</v>
      </c>
      <c r="L503" t="s" s="72">
        <v>121</v>
      </c>
      <c r="M503" s="71"/>
      <c r="N503" s="71"/>
      <c r="O503" s="71"/>
      <c r="P503" s="73">
        <v>2</v>
      </c>
      <c r="Q503" s="74">
        <v>6.75</v>
      </c>
      <c r="R503" s="74">
        <v>8.75</v>
      </c>
      <c r="S503" s="73">
        <v>1</v>
      </c>
      <c r="T503" s="73">
        <v>1</v>
      </c>
      <c r="U503" t="s" s="72">
        <v>122</v>
      </c>
      <c r="V503" s="73">
        <v>32</v>
      </c>
      <c r="W503" s="74">
        <v>6.27</v>
      </c>
      <c r="X503" s="74">
        <v>7</v>
      </c>
      <c r="Y503" s="73">
        <v>7</v>
      </c>
      <c r="Z503" s="73">
        <v>3</v>
      </c>
      <c r="AA503" t="s" s="72">
        <v>123</v>
      </c>
      <c r="AB503" t="s" s="72">
        <v>124</v>
      </c>
      <c r="AC503" t="s" s="72">
        <v>124</v>
      </c>
      <c r="AD503" t="s" s="75">
        <v>125</v>
      </c>
      <c r="AE503" s="67"/>
    </row>
    <row r="504" ht="15" customHeight="1">
      <c r="A504" t="s" s="83">
        <v>28</v>
      </c>
      <c r="B504" s="76">
        <v>66.5</v>
      </c>
      <c r="C504" t="b" s="77">
        <v>0</v>
      </c>
      <c r="D504" t="s" s="85">
        <v>161</v>
      </c>
      <c r="E504" t="s" s="79">
        <v>1058</v>
      </c>
      <c r="F504" t="s" s="79">
        <v>170</v>
      </c>
      <c r="G504" s="80">
        <v>44</v>
      </c>
      <c r="H504" t="s" s="79">
        <v>175</v>
      </c>
      <c r="I504" t="s" s="79">
        <v>218</v>
      </c>
      <c r="J504" s="80">
        <v>24</v>
      </c>
      <c r="K504" t="s" s="79">
        <v>659</v>
      </c>
      <c r="L504" t="s" s="79">
        <v>154</v>
      </c>
      <c r="M504" s="78"/>
      <c r="N504" s="78"/>
      <c r="O504" s="78"/>
      <c r="P504" s="80">
        <v>2</v>
      </c>
      <c r="Q504" s="81">
        <v>4.75</v>
      </c>
      <c r="R504" s="81">
        <v>4.5</v>
      </c>
      <c r="S504" s="80">
        <v>0</v>
      </c>
      <c r="T504" s="80">
        <v>0</v>
      </c>
      <c r="U504" t="s" s="79">
        <v>122</v>
      </c>
      <c r="V504" s="80">
        <v>37</v>
      </c>
      <c r="W504" s="81">
        <v>5.85</v>
      </c>
      <c r="X504" s="81">
        <v>6.51</v>
      </c>
      <c r="Y504" s="80">
        <v>9</v>
      </c>
      <c r="Z504" s="80">
        <v>0</v>
      </c>
      <c r="AA504" t="s" s="79">
        <v>291</v>
      </c>
      <c r="AB504" t="s" s="79">
        <v>124</v>
      </c>
      <c r="AC504" t="s" s="79">
        <v>124</v>
      </c>
      <c r="AD504" t="s" s="82">
        <v>125</v>
      </c>
      <c r="AE504" s="67"/>
    </row>
    <row r="505" ht="15" customHeight="1">
      <c r="A505" t="s" s="86">
        <v>30</v>
      </c>
      <c r="B505" s="69">
        <v>65.5</v>
      </c>
      <c r="C505" t="b" s="70">
        <v>0</v>
      </c>
      <c r="D505" s="71"/>
      <c r="E505" t="s" s="72">
        <v>1059</v>
      </c>
      <c r="F505" t="s" s="72">
        <v>149</v>
      </c>
      <c r="G505" s="73">
        <v>26</v>
      </c>
      <c r="H505" t="s" s="72">
        <v>1060</v>
      </c>
      <c r="I505" t="s" s="72">
        <v>1061</v>
      </c>
      <c r="J505" s="73">
        <v>25</v>
      </c>
      <c r="K505" t="s" s="72">
        <v>206</v>
      </c>
      <c r="L505" t="s" s="72">
        <v>328</v>
      </c>
      <c r="M505" s="71"/>
      <c r="N505" s="71"/>
      <c r="O505" s="71"/>
      <c r="P505" s="73">
        <v>2</v>
      </c>
      <c r="Q505" s="74">
        <v>6</v>
      </c>
      <c r="R505" s="74">
        <v>6</v>
      </c>
      <c r="S505" s="73">
        <v>0</v>
      </c>
      <c r="T505" s="73">
        <v>0</v>
      </c>
      <c r="U505" t="s" s="72">
        <v>122</v>
      </c>
      <c r="V505" s="73">
        <v>27</v>
      </c>
      <c r="W505" s="74">
        <v>5.96</v>
      </c>
      <c r="X505" s="74">
        <v>6.56</v>
      </c>
      <c r="Y505" s="73">
        <v>5</v>
      </c>
      <c r="Z505" s="73">
        <v>1</v>
      </c>
      <c r="AA505" t="s" s="72">
        <v>123</v>
      </c>
      <c r="AB505" t="s" s="72">
        <v>124</v>
      </c>
      <c r="AC505" t="s" s="72">
        <v>124</v>
      </c>
      <c r="AD505" t="s" s="75">
        <v>125</v>
      </c>
      <c r="AE505" s="67"/>
    </row>
    <row r="506" ht="15" customHeight="1">
      <c r="A506" t="s" s="86">
        <v>30</v>
      </c>
      <c r="B506" s="76">
        <v>64.90000000000001</v>
      </c>
      <c r="C506" t="b" s="77">
        <v>0</v>
      </c>
      <c r="D506" t="s" s="85">
        <v>161</v>
      </c>
      <c r="E506" t="s" s="79">
        <v>1062</v>
      </c>
      <c r="F506" t="s" s="79">
        <v>180</v>
      </c>
      <c r="G506" s="80">
        <v>30</v>
      </c>
      <c r="H506" t="s" s="79">
        <v>118</v>
      </c>
      <c r="I506" t="s" s="79">
        <v>867</v>
      </c>
      <c r="J506" s="80">
        <v>22</v>
      </c>
      <c r="K506" t="s" s="79">
        <v>128</v>
      </c>
      <c r="L506" t="s" s="79">
        <v>154</v>
      </c>
      <c r="M506" s="78"/>
      <c r="N506" s="78"/>
      <c r="O506" s="78"/>
      <c r="P506" s="80">
        <v>2</v>
      </c>
      <c r="Q506" s="81">
        <v>6.75</v>
      </c>
      <c r="R506" s="81">
        <v>9.5</v>
      </c>
      <c r="S506" s="80">
        <v>2</v>
      </c>
      <c r="T506" s="80">
        <v>0</v>
      </c>
      <c r="U506" t="s" s="79">
        <v>122</v>
      </c>
      <c r="V506" s="78"/>
      <c r="W506" s="78"/>
      <c r="X506" s="78"/>
      <c r="Y506" s="78"/>
      <c r="Z506" s="78"/>
      <c r="AA506" s="78"/>
      <c r="AB506" t="s" s="79">
        <v>124</v>
      </c>
      <c r="AC506" t="s" s="79">
        <v>124</v>
      </c>
      <c r="AD506" t="s" s="82">
        <v>125</v>
      </c>
      <c r="AE506" s="67"/>
    </row>
    <row r="507" ht="15" customHeight="1">
      <c r="A507" t="s" s="86">
        <v>30</v>
      </c>
      <c r="B507" s="69">
        <v>63.6</v>
      </c>
      <c r="C507" t="b" s="70">
        <v>0</v>
      </c>
      <c r="D507" s="71"/>
      <c r="E507" t="s" s="72">
        <v>1063</v>
      </c>
      <c r="F507" t="s" s="72">
        <v>144</v>
      </c>
      <c r="G507" s="73">
        <v>29</v>
      </c>
      <c r="H507" t="s" s="72">
        <v>118</v>
      </c>
      <c r="I507" t="s" s="72">
        <v>118</v>
      </c>
      <c r="J507" s="73">
        <v>25</v>
      </c>
      <c r="K507" t="s" s="72">
        <v>128</v>
      </c>
      <c r="L507" t="s" s="72">
        <v>121</v>
      </c>
      <c r="M507" s="71"/>
      <c r="N507" s="71"/>
      <c r="O507" s="71"/>
      <c r="P507" s="73">
        <v>2</v>
      </c>
      <c r="Q507" s="74">
        <v>6</v>
      </c>
      <c r="R507" s="74">
        <v>5.75</v>
      </c>
      <c r="S507" s="73">
        <v>0</v>
      </c>
      <c r="T507" s="73">
        <v>0</v>
      </c>
      <c r="U507" t="s" s="72">
        <v>122</v>
      </c>
      <c r="V507" s="73">
        <v>25</v>
      </c>
      <c r="W507" s="74">
        <v>5.96</v>
      </c>
      <c r="X507" s="74">
        <v>6.38</v>
      </c>
      <c r="Y507" s="73">
        <v>3</v>
      </c>
      <c r="Z507" s="73">
        <v>4</v>
      </c>
      <c r="AA507" t="s" s="72">
        <v>123</v>
      </c>
      <c r="AB507" t="s" s="72">
        <v>124</v>
      </c>
      <c r="AC507" t="s" s="72">
        <v>124</v>
      </c>
      <c r="AD507" t="s" s="75">
        <v>125</v>
      </c>
      <c r="AE507" s="67"/>
    </row>
    <row r="508" ht="15" customHeight="1">
      <c r="A508" t="s" s="86">
        <v>30</v>
      </c>
      <c r="B508" s="76">
        <v>63</v>
      </c>
      <c r="C508" t="b" s="77">
        <v>0</v>
      </c>
      <c r="D508" t="s" s="85">
        <v>161</v>
      </c>
      <c r="E508" t="s" s="79">
        <v>1064</v>
      </c>
      <c r="F508" t="s" s="79">
        <v>144</v>
      </c>
      <c r="G508" s="80">
        <v>26</v>
      </c>
      <c r="H508" t="s" s="79">
        <v>118</v>
      </c>
      <c r="I508" t="s" s="79">
        <v>432</v>
      </c>
      <c r="J508" s="80">
        <v>25</v>
      </c>
      <c r="K508" t="s" s="79">
        <v>128</v>
      </c>
      <c r="L508" t="s" s="79">
        <v>121</v>
      </c>
      <c r="M508" s="78"/>
      <c r="N508" s="78"/>
      <c r="O508" s="78"/>
      <c r="P508" s="80">
        <v>2</v>
      </c>
      <c r="Q508" s="81">
        <v>5.5</v>
      </c>
      <c r="R508" s="81">
        <v>5.5</v>
      </c>
      <c r="S508" s="80">
        <v>0</v>
      </c>
      <c r="T508" s="80">
        <v>0</v>
      </c>
      <c r="U508" t="s" s="79">
        <v>122</v>
      </c>
      <c r="V508" s="80">
        <v>27</v>
      </c>
      <c r="W508" s="81">
        <v>5.7</v>
      </c>
      <c r="X508" s="81">
        <v>6.17</v>
      </c>
      <c r="Y508" s="80">
        <v>4</v>
      </c>
      <c r="Z508" s="80">
        <v>1</v>
      </c>
      <c r="AA508" t="s" s="79">
        <v>123</v>
      </c>
      <c r="AB508" t="s" s="79">
        <v>124</v>
      </c>
      <c r="AC508" t="s" s="79">
        <v>124</v>
      </c>
      <c r="AD508" t="s" s="82">
        <v>125</v>
      </c>
      <c r="AE508" s="67"/>
    </row>
    <row r="509" ht="15" customHeight="1">
      <c r="A509" t="s" s="86">
        <v>30</v>
      </c>
      <c r="B509" s="69">
        <v>62.1</v>
      </c>
      <c r="C509" t="b" s="70">
        <v>0</v>
      </c>
      <c r="D509" s="71"/>
      <c r="E509" t="s" s="72">
        <v>1065</v>
      </c>
      <c r="F509" t="s" s="72">
        <v>127</v>
      </c>
      <c r="G509" s="73">
        <v>43</v>
      </c>
      <c r="H509" t="s" s="72">
        <v>1049</v>
      </c>
      <c r="I509" t="s" s="72">
        <v>1049</v>
      </c>
      <c r="J509" s="73">
        <v>26</v>
      </c>
      <c r="K509" t="s" s="72">
        <v>128</v>
      </c>
      <c r="L509" t="s" s="72">
        <v>328</v>
      </c>
      <c r="M509" s="71"/>
      <c r="N509" s="71"/>
      <c r="O509" s="71"/>
      <c r="P509" s="73">
        <v>2</v>
      </c>
      <c r="Q509" s="74">
        <v>6.25</v>
      </c>
      <c r="R509" s="74">
        <v>7.75</v>
      </c>
      <c r="S509" s="73">
        <v>1</v>
      </c>
      <c r="T509" s="73">
        <v>0</v>
      </c>
      <c r="U509" t="s" s="72">
        <v>122</v>
      </c>
      <c r="V509" s="73">
        <v>13</v>
      </c>
      <c r="W509" s="74">
        <v>6</v>
      </c>
      <c r="X509" s="74">
        <v>6.77</v>
      </c>
      <c r="Y509" s="73">
        <v>3</v>
      </c>
      <c r="Z509" s="73">
        <v>1</v>
      </c>
      <c r="AA509" t="s" s="72">
        <v>123</v>
      </c>
      <c r="AB509" t="s" s="72">
        <v>124</v>
      </c>
      <c r="AC509" t="s" s="72">
        <v>124</v>
      </c>
      <c r="AD509" t="s" s="75">
        <v>125</v>
      </c>
      <c r="AE509" s="67"/>
    </row>
    <row r="510" ht="15" customHeight="1">
      <c r="A510" t="s" s="86">
        <v>30</v>
      </c>
      <c r="B510" s="76">
        <v>59.9</v>
      </c>
      <c r="C510" t="b" s="77">
        <v>0</v>
      </c>
      <c r="D510" t="s" s="85">
        <v>191</v>
      </c>
      <c r="E510" t="s" s="79">
        <v>1066</v>
      </c>
      <c r="F510" t="s" s="79">
        <v>183</v>
      </c>
      <c r="G510" s="80">
        <v>24</v>
      </c>
      <c r="H510" t="s" s="79">
        <v>118</v>
      </c>
      <c r="I510" t="s" s="79">
        <v>745</v>
      </c>
      <c r="J510" s="80">
        <v>26</v>
      </c>
      <c r="K510" t="s" s="79">
        <v>1067</v>
      </c>
      <c r="L510" t="s" s="79">
        <v>154</v>
      </c>
      <c r="M510" s="78"/>
      <c r="N510" t="s" s="79">
        <v>272</v>
      </c>
      <c r="O510" s="78"/>
      <c r="P510" s="80">
        <v>2</v>
      </c>
      <c r="Q510" s="81">
        <v>6.25</v>
      </c>
      <c r="R510" s="81">
        <v>6.25</v>
      </c>
      <c r="S510" s="80">
        <v>0</v>
      </c>
      <c r="T510" s="80">
        <v>0</v>
      </c>
      <c r="U510" t="s" s="79">
        <v>122</v>
      </c>
      <c r="V510" s="78"/>
      <c r="W510" s="78"/>
      <c r="X510" s="78"/>
      <c r="Y510" s="78"/>
      <c r="Z510" s="78"/>
      <c r="AA510" s="78"/>
      <c r="AB510" t="s" s="79">
        <v>124</v>
      </c>
      <c r="AC510" t="s" s="79">
        <v>124</v>
      </c>
      <c r="AD510" t="s" s="82">
        <v>125</v>
      </c>
      <c r="AE510" s="67"/>
    </row>
    <row r="511" ht="15" customHeight="1">
      <c r="A511" t="s" s="86">
        <v>30</v>
      </c>
      <c r="B511" s="69">
        <v>59.3</v>
      </c>
      <c r="C511" t="b" s="70">
        <v>0</v>
      </c>
      <c r="D511" s="71"/>
      <c r="E511" t="s" s="72">
        <v>1068</v>
      </c>
      <c r="F511" t="s" s="72">
        <v>153</v>
      </c>
      <c r="G511" s="73">
        <v>41</v>
      </c>
      <c r="H511" t="s" s="72">
        <v>175</v>
      </c>
      <c r="I511" t="s" s="72">
        <v>758</v>
      </c>
      <c r="J511" s="73">
        <v>29</v>
      </c>
      <c r="K511" t="s" s="72">
        <v>277</v>
      </c>
      <c r="L511" t="s" s="72">
        <v>154</v>
      </c>
      <c r="M511" s="71"/>
      <c r="N511" t="s" s="72">
        <v>311</v>
      </c>
      <c r="O511" s="71"/>
      <c r="P511" s="73">
        <v>0</v>
      </c>
      <c r="Q511" s="74">
        <v>0</v>
      </c>
      <c r="R511" s="74">
        <v>0</v>
      </c>
      <c r="S511" s="73">
        <v>0</v>
      </c>
      <c r="T511" s="73">
        <v>0</v>
      </c>
      <c r="U511" t="s" s="72">
        <v>122</v>
      </c>
      <c r="V511" s="73">
        <v>16</v>
      </c>
      <c r="W511" s="74">
        <v>6.16</v>
      </c>
      <c r="X511" s="74">
        <v>6.81</v>
      </c>
      <c r="Y511" s="73">
        <v>3</v>
      </c>
      <c r="Z511" s="73">
        <v>3</v>
      </c>
      <c r="AA511" t="s" s="72">
        <v>123</v>
      </c>
      <c r="AB511" t="s" s="72">
        <v>124</v>
      </c>
      <c r="AC511" t="s" s="72">
        <v>124</v>
      </c>
      <c r="AD511" t="s" s="75">
        <v>125</v>
      </c>
      <c r="AE511" s="67"/>
    </row>
    <row r="512" ht="15" customHeight="1">
      <c r="A512" t="s" s="86">
        <v>30</v>
      </c>
      <c r="B512" s="76">
        <v>59.3</v>
      </c>
      <c r="C512" t="b" s="77">
        <v>0</v>
      </c>
      <c r="D512" t="s" s="85">
        <v>161</v>
      </c>
      <c r="E512" t="s" s="79">
        <v>1069</v>
      </c>
      <c r="F512" t="s" s="79">
        <v>138</v>
      </c>
      <c r="G512" s="80">
        <v>34</v>
      </c>
      <c r="H512" t="s" s="79">
        <v>1070</v>
      </c>
      <c r="I512" t="s" s="79">
        <v>1071</v>
      </c>
      <c r="J512" s="80">
        <v>29</v>
      </c>
      <c r="K512" t="s" s="79">
        <v>1072</v>
      </c>
      <c r="L512" t="s" s="79">
        <v>121</v>
      </c>
      <c r="M512" s="78"/>
      <c r="N512" s="78"/>
      <c r="O512" s="78"/>
      <c r="P512" s="80">
        <v>2</v>
      </c>
      <c r="Q512" s="81">
        <v>5.5</v>
      </c>
      <c r="R512" s="81">
        <v>5.5</v>
      </c>
      <c r="S512" s="80">
        <v>0</v>
      </c>
      <c r="T512" s="80">
        <v>0</v>
      </c>
      <c r="U512" t="s" s="79">
        <v>122</v>
      </c>
      <c r="V512" s="80">
        <v>13</v>
      </c>
      <c r="W512" s="81">
        <v>6.15</v>
      </c>
      <c r="X512" s="81">
        <v>7.12</v>
      </c>
      <c r="Y512" s="80">
        <v>4</v>
      </c>
      <c r="Z512" s="80">
        <v>1</v>
      </c>
      <c r="AA512" t="s" s="79">
        <v>123</v>
      </c>
      <c r="AB512" t="s" s="79">
        <v>124</v>
      </c>
      <c r="AC512" t="s" s="79">
        <v>124</v>
      </c>
      <c r="AD512" t="s" s="82">
        <v>125</v>
      </c>
      <c r="AE512" s="67"/>
    </row>
    <row r="513" ht="15" customHeight="1">
      <c r="A513" t="s" s="86">
        <v>30</v>
      </c>
      <c r="B513" s="69">
        <v>58.8</v>
      </c>
      <c r="C513" t="b" s="70">
        <v>0</v>
      </c>
      <c r="D513" s="71"/>
      <c r="E513" t="s" s="72">
        <v>1073</v>
      </c>
      <c r="F513" t="s" s="72">
        <v>163</v>
      </c>
      <c r="G513" s="73">
        <v>42</v>
      </c>
      <c r="H513" t="s" s="72">
        <v>175</v>
      </c>
      <c r="I513" t="s" s="72">
        <v>175</v>
      </c>
      <c r="J513" s="73">
        <v>35</v>
      </c>
      <c r="K513" t="s" s="72">
        <v>230</v>
      </c>
      <c r="L513" t="s" s="72">
        <v>121</v>
      </c>
      <c r="M513" s="71"/>
      <c r="N513" s="71"/>
      <c r="O513" s="71"/>
      <c r="P513" s="73">
        <v>0</v>
      </c>
      <c r="Q513" s="74">
        <v>0</v>
      </c>
      <c r="R513" s="74">
        <v>0</v>
      </c>
      <c r="S513" s="73">
        <v>0</v>
      </c>
      <c r="T513" s="73">
        <v>0</v>
      </c>
      <c r="U513" t="s" s="72">
        <v>122</v>
      </c>
      <c r="V513" s="73">
        <v>23</v>
      </c>
      <c r="W513" s="74">
        <v>5.89</v>
      </c>
      <c r="X513" s="74">
        <v>6.2</v>
      </c>
      <c r="Y513" s="73">
        <v>3</v>
      </c>
      <c r="Z513" s="73">
        <v>1</v>
      </c>
      <c r="AA513" t="s" s="72">
        <v>670</v>
      </c>
      <c r="AB513" t="s" s="72">
        <v>124</v>
      </c>
      <c r="AC513" t="s" s="72">
        <v>124</v>
      </c>
      <c r="AD513" t="s" s="75">
        <v>125</v>
      </c>
      <c r="AE513" s="67"/>
    </row>
    <row r="514" ht="15" customHeight="1">
      <c r="A514" t="s" s="86">
        <v>30</v>
      </c>
      <c r="B514" s="76">
        <v>58.2</v>
      </c>
      <c r="C514" t="b" s="77">
        <v>0</v>
      </c>
      <c r="D514" s="78"/>
      <c r="E514" t="s" s="79">
        <v>441</v>
      </c>
      <c r="F514" t="s" s="79">
        <v>141</v>
      </c>
      <c r="G514" s="80">
        <v>38</v>
      </c>
      <c r="H514" t="s" s="79">
        <v>175</v>
      </c>
      <c r="I514" t="s" s="79">
        <v>203</v>
      </c>
      <c r="J514" s="80">
        <v>20</v>
      </c>
      <c r="K514" t="s" s="79">
        <v>136</v>
      </c>
      <c r="L514" t="s" s="79">
        <v>121</v>
      </c>
      <c r="M514" s="78"/>
      <c r="N514" s="78"/>
      <c r="O514" s="78"/>
      <c r="P514" s="80">
        <v>1</v>
      </c>
      <c r="Q514" s="81">
        <v>5</v>
      </c>
      <c r="R514" s="81">
        <v>5</v>
      </c>
      <c r="S514" s="80">
        <v>0</v>
      </c>
      <c r="T514" s="80">
        <v>0</v>
      </c>
      <c r="U514" t="s" s="79">
        <v>122</v>
      </c>
      <c r="V514" s="80">
        <v>28</v>
      </c>
      <c r="W514" s="81">
        <v>6.29</v>
      </c>
      <c r="X514" s="81">
        <v>6.7</v>
      </c>
      <c r="Y514" s="80">
        <v>2</v>
      </c>
      <c r="Z514" s="80">
        <v>8</v>
      </c>
      <c r="AA514" t="s" s="79">
        <v>123</v>
      </c>
      <c r="AB514" t="s" s="79">
        <v>124</v>
      </c>
      <c r="AC514" t="s" s="79">
        <v>124</v>
      </c>
      <c r="AD514" t="s" s="82">
        <v>125</v>
      </c>
      <c r="AE514" s="67"/>
    </row>
    <row r="515" ht="15" customHeight="1">
      <c r="A515" t="s" s="86">
        <v>30</v>
      </c>
      <c r="B515" s="69">
        <v>56.6</v>
      </c>
      <c r="C515" t="b" s="70">
        <v>0</v>
      </c>
      <c r="D515" t="s" s="84">
        <v>161</v>
      </c>
      <c r="E515" t="s" s="72">
        <v>1074</v>
      </c>
      <c r="F515" t="s" s="72">
        <v>134</v>
      </c>
      <c r="G515" s="73">
        <v>31</v>
      </c>
      <c r="H515" t="s" s="72">
        <v>175</v>
      </c>
      <c r="I515" t="s" s="72">
        <v>754</v>
      </c>
      <c r="J515" s="73">
        <v>22</v>
      </c>
      <c r="K515" t="s" s="72">
        <v>636</v>
      </c>
      <c r="L515" t="s" s="72">
        <v>121</v>
      </c>
      <c r="M515" s="71"/>
      <c r="N515" s="71"/>
      <c r="O515" s="71"/>
      <c r="P515" s="73">
        <v>1</v>
      </c>
      <c r="Q515" s="74">
        <v>6</v>
      </c>
      <c r="R515" s="74">
        <v>6</v>
      </c>
      <c r="S515" s="73">
        <v>0</v>
      </c>
      <c r="T515" s="73">
        <v>0</v>
      </c>
      <c r="U515" t="s" s="72">
        <v>122</v>
      </c>
      <c r="V515" s="73">
        <v>28</v>
      </c>
      <c r="W515" s="74">
        <v>6.09</v>
      </c>
      <c r="X515" s="74">
        <v>6.75</v>
      </c>
      <c r="Y515" s="73">
        <v>5</v>
      </c>
      <c r="Z515" s="73">
        <v>4</v>
      </c>
      <c r="AA515" t="s" s="72">
        <v>123</v>
      </c>
      <c r="AB515" t="s" s="72">
        <v>124</v>
      </c>
      <c r="AC515" t="s" s="72">
        <v>124</v>
      </c>
      <c r="AD515" t="s" s="75">
        <v>125</v>
      </c>
      <c r="AE515" s="67"/>
    </row>
    <row r="516" ht="15" customHeight="1">
      <c r="A516" t="s" s="86">
        <v>30</v>
      </c>
      <c r="B516" s="76">
        <v>56.5</v>
      </c>
      <c r="C516" t="b" s="77">
        <v>0</v>
      </c>
      <c r="D516" s="78"/>
      <c r="E516" t="s" s="79">
        <v>1075</v>
      </c>
      <c r="F516" t="s" s="79">
        <v>153</v>
      </c>
      <c r="G516" s="80">
        <v>34</v>
      </c>
      <c r="H516" t="s" s="79">
        <v>175</v>
      </c>
      <c r="I516" t="s" s="79">
        <v>175</v>
      </c>
      <c r="J516" s="80">
        <v>27</v>
      </c>
      <c r="K516" t="s" s="79">
        <v>416</v>
      </c>
      <c r="L516" t="s" s="79">
        <v>121</v>
      </c>
      <c r="M516" s="78"/>
      <c r="N516" s="78"/>
      <c r="O516" s="78"/>
      <c r="P516" s="80">
        <v>2</v>
      </c>
      <c r="Q516" s="81">
        <v>5.5</v>
      </c>
      <c r="R516" s="81">
        <v>5.5</v>
      </c>
      <c r="S516" s="80">
        <v>0</v>
      </c>
      <c r="T516" s="80">
        <v>0</v>
      </c>
      <c r="U516" t="s" s="79">
        <v>122</v>
      </c>
      <c r="V516" s="80">
        <v>14</v>
      </c>
      <c r="W516" s="81">
        <v>5.96</v>
      </c>
      <c r="X516" s="81">
        <v>6.25</v>
      </c>
      <c r="Y516" s="80">
        <v>1</v>
      </c>
      <c r="Z516" s="80">
        <v>2</v>
      </c>
      <c r="AA516" t="s" s="79">
        <v>123</v>
      </c>
      <c r="AB516" t="s" s="79">
        <v>124</v>
      </c>
      <c r="AC516" t="s" s="79">
        <v>124</v>
      </c>
      <c r="AD516" t="s" s="82">
        <v>125</v>
      </c>
      <c r="AE516" s="67"/>
    </row>
    <row r="517" ht="15" customHeight="1">
      <c r="A517" t="s" s="86">
        <v>30</v>
      </c>
      <c r="B517" s="69">
        <v>56.1</v>
      </c>
      <c r="C517" t="b" s="70">
        <v>0</v>
      </c>
      <c r="D517" s="71"/>
      <c r="E517" t="s" s="72">
        <v>1076</v>
      </c>
      <c r="F517" t="s" s="72">
        <v>168</v>
      </c>
      <c r="G517" s="73">
        <v>27</v>
      </c>
      <c r="H517" t="s" s="72">
        <v>175</v>
      </c>
      <c r="I517" t="s" s="72">
        <v>176</v>
      </c>
      <c r="J517" s="73">
        <v>24</v>
      </c>
      <c r="K517" t="s" s="72">
        <v>1077</v>
      </c>
      <c r="L517" t="s" s="72">
        <v>121</v>
      </c>
      <c r="M517" s="71"/>
      <c r="N517" s="71"/>
      <c r="O517" s="71"/>
      <c r="P517" s="73">
        <v>2</v>
      </c>
      <c r="Q517" s="74">
        <v>5.25</v>
      </c>
      <c r="R517" s="74">
        <v>5.25</v>
      </c>
      <c r="S517" s="73">
        <v>0</v>
      </c>
      <c r="T517" s="73">
        <v>0</v>
      </c>
      <c r="U517" t="s" s="72">
        <v>122</v>
      </c>
      <c r="V517" s="73">
        <v>31</v>
      </c>
      <c r="W517" s="74">
        <v>5.61</v>
      </c>
      <c r="X517" s="74">
        <v>5.98</v>
      </c>
      <c r="Y517" s="73">
        <v>4</v>
      </c>
      <c r="Z517" s="73">
        <v>0</v>
      </c>
      <c r="AA517" t="s" s="72">
        <v>291</v>
      </c>
      <c r="AB517" t="s" s="72">
        <v>124</v>
      </c>
      <c r="AC517" t="s" s="72">
        <v>124</v>
      </c>
      <c r="AD517" t="s" s="75">
        <v>125</v>
      </c>
      <c r="AE517" s="67"/>
    </row>
    <row r="518" ht="15" customHeight="1">
      <c r="A518" t="s" s="86">
        <v>30</v>
      </c>
      <c r="B518" s="76">
        <v>53.1</v>
      </c>
      <c r="C518" t="b" s="77">
        <v>0</v>
      </c>
      <c r="D518" t="s" s="85">
        <v>161</v>
      </c>
      <c r="E518" t="s" s="79">
        <v>1078</v>
      </c>
      <c r="F518" t="s" s="79">
        <v>138</v>
      </c>
      <c r="G518" s="80">
        <v>32</v>
      </c>
      <c r="H518" t="s" s="79">
        <v>1079</v>
      </c>
      <c r="I518" t="s" s="79">
        <v>1080</v>
      </c>
      <c r="J518" s="80">
        <v>18</v>
      </c>
      <c r="K518" t="s" s="79">
        <v>508</v>
      </c>
      <c r="L518" t="s" s="79">
        <v>328</v>
      </c>
      <c r="M518" s="78"/>
      <c r="N518" s="78"/>
      <c r="O518" s="78"/>
      <c r="P518" s="80">
        <v>1</v>
      </c>
      <c r="Q518" s="81">
        <v>5.5</v>
      </c>
      <c r="R518" s="81">
        <v>5.5</v>
      </c>
      <c r="S518" s="80">
        <v>0</v>
      </c>
      <c r="T518" s="80">
        <v>0</v>
      </c>
      <c r="U518" t="s" s="79">
        <v>122</v>
      </c>
      <c r="V518" s="78"/>
      <c r="W518" s="78"/>
      <c r="X518" s="78"/>
      <c r="Y518" s="78"/>
      <c r="Z518" s="78"/>
      <c r="AA518" s="78"/>
      <c r="AB518" t="s" s="79">
        <v>124</v>
      </c>
      <c r="AC518" t="s" s="79">
        <v>124</v>
      </c>
      <c r="AD518" t="s" s="82">
        <v>125</v>
      </c>
      <c r="AE518" s="67"/>
    </row>
    <row r="519" ht="15" customHeight="1">
      <c r="A519" t="s" s="86">
        <v>30</v>
      </c>
      <c r="B519" s="69">
        <v>51.7</v>
      </c>
      <c r="C519" t="b" s="70">
        <v>0</v>
      </c>
      <c r="D519" t="s" s="84">
        <v>161</v>
      </c>
      <c r="E519" t="s" s="72">
        <v>1081</v>
      </c>
      <c r="F519" t="s" s="72">
        <v>172</v>
      </c>
      <c r="G519" s="73">
        <v>25</v>
      </c>
      <c r="H519" t="s" s="72">
        <v>1082</v>
      </c>
      <c r="I519" t="s" s="72">
        <v>1083</v>
      </c>
      <c r="J519" s="73">
        <v>23</v>
      </c>
      <c r="K519" t="s" s="72">
        <v>484</v>
      </c>
      <c r="L519" t="s" s="72">
        <v>154</v>
      </c>
      <c r="M519" s="71"/>
      <c r="N519" s="71"/>
      <c r="O519" s="71"/>
      <c r="P519" s="73">
        <v>2</v>
      </c>
      <c r="Q519" s="74">
        <v>5.5</v>
      </c>
      <c r="R519" s="74">
        <v>5.5</v>
      </c>
      <c r="S519" s="73">
        <v>0</v>
      </c>
      <c r="T519" s="73">
        <v>0</v>
      </c>
      <c r="U519" t="s" s="72">
        <v>122</v>
      </c>
      <c r="V519" s="73">
        <v>14</v>
      </c>
      <c r="W519" s="74">
        <v>5.89</v>
      </c>
      <c r="X519" s="74">
        <v>6.71</v>
      </c>
      <c r="Y519" s="73">
        <v>4</v>
      </c>
      <c r="Z519" s="73">
        <v>0</v>
      </c>
      <c r="AA519" t="s" s="72">
        <v>123</v>
      </c>
      <c r="AB519" t="s" s="72">
        <v>124</v>
      </c>
      <c r="AC519" t="s" s="72">
        <v>124</v>
      </c>
      <c r="AD519" t="s" s="75">
        <v>125</v>
      </c>
      <c r="AE519" s="67"/>
    </row>
    <row r="520" ht="15" customHeight="1">
      <c r="A520" t="s" s="86">
        <v>30</v>
      </c>
      <c r="B520" s="76">
        <v>51.2</v>
      </c>
      <c r="C520" t="b" s="77">
        <v>0</v>
      </c>
      <c r="D520" s="78"/>
      <c r="E520" t="s" s="79">
        <v>1084</v>
      </c>
      <c r="F520" t="s" s="79">
        <v>187</v>
      </c>
      <c r="G520" s="80">
        <v>24</v>
      </c>
      <c r="H520" t="s" s="79">
        <v>175</v>
      </c>
      <c r="I520" t="s" s="79">
        <v>176</v>
      </c>
      <c r="J520" s="80">
        <v>28</v>
      </c>
      <c r="K520" t="s" s="79">
        <v>128</v>
      </c>
      <c r="L520" t="s" s="79">
        <v>121</v>
      </c>
      <c r="M520" s="78"/>
      <c r="N520" s="78"/>
      <c r="O520" s="78"/>
      <c r="P520" s="80">
        <v>2</v>
      </c>
      <c r="Q520" s="81">
        <v>6</v>
      </c>
      <c r="R520" s="81">
        <v>6</v>
      </c>
      <c r="S520" s="80">
        <v>0</v>
      </c>
      <c r="T520" s="80">
        <v>0</v>
      </c>
      <c r="U520" t="s" s="79">
        <v>122</v>
      </c>
      <c r="V520" s="80">
        <v>15</v>
      </c>
      <c r="W520" s="81">
        <v>5.73</v>
      </c>
      <c r="X520" s="81">
        <v>5.93</v>
      </c>
      <c r="Y520" s="80">
        <v>1</v>
      </c>
      <c r="Z520" s="80">
        <v>0</v>
      </c>
      <c r="AA520" t="s" s="79">
        <v>123</v>
      </c>
      <c r="AB520" t="s" s="79">
        <v>124</v>
      </c>
      <c r="AC520" t="s" s="79">
        <v>124</v>
      </c>
      <c r="AD520" t="s" s="82">
        <v>125</v>
      </c>
      <c r="AE520" s="67"/>
    </row>
    <row r="521" ht="15" customHeight="1">
      <c r="A521" t="s" s="86">
        <v>30</v>
      </c>
      <c r="B521" s="69">
        <v>50</v>
      </c>
      <c r="C521" t="b" s="70">
        <v>0</v>
      </c>
      <c r="D521" t="s" s="84">
        <v>161</v>
      </c>
      <c r="E521" t="s" s="72">
        <v>1085</v>
      </c>
      <c r="F521" t="s" s="72">
        <v>187</v>
      </c>
      <c r="G521" s="73">
        <v>22</v>
      </c>
      <c r="H521" t="s" s="72">
        <v>164</v>
      </c>
      <c r="I521" t="s" s="72">
        <v>1086</v>
      </c>
      <c r="J521" s="73">
        <v>21</v>
      </c>
      <c r="K521" t="s" s="72">
        <v>325</v>
      </c>
      <c r="L521" t="s" s="72">
        <v>121</v>
      </c>
      <c r="M521" s="71"/>
      <c r="N521" s="71"/>
      <c r="O521" t="s" s="88">
        <v>268</v>
      </c>
      <c r="P521" s="73">
        <v>2</v>
      </c>
      <c r="Q521" s="74">
        <v>7</v>
      </c>
      <c r="R521" s="74">
        <v>10</v>
      </c>
      <c r="S521" s="73">
        <v>2</v>
      </c>
      <c r="T521" s="73">
        <v>0</v>
      </c>
      <c r="U521" t="s" s="72">
        <v>122</v>
      </c>
      <c r="V521" s="71"/>
      <c r="W521" s="71"/>
      <c r="X521" s="71"/>
      <c r="Y521" s="71"/>
      <c r="Z521" s="71"/>
      <c r="AA521" s="71"/>
      <c r="AB521" t="s" s="72">
        <v>124</v>
      </c>
      <c r="AC521" t="s" s="72">
        <v>124</v>
      </c>
      <c r="AD521" t="s" s="75">
        <v>125</v>
      </c>
      <c r="AE521" s="67"/>
    </row>
    <row r="522" ht="15" customHeight="1">
      <c r="A522" t="s" s="86">
        <v>30</v>
      </c>
      <c r="B522" s="76">
        <v>49.9</v>
      </c>
      <c r="C522" t="b" s="77">
        <v>0</v>
      </c>
      <c r="D522" t="s" s="85">
        <v>161</v>
      </c>
      <c r="E522" t="s" s="79">
        <v>1087</v>
      </c>
      <c r="F522" t="s" s="79">
        <v>170</v>
      </c>
      <c r="G522" s="80">
        <v>21</v>
      </c>
      <c r="H522" t="s" s="79">
        <v>1088</v>
      </c>
      <c r="I522" t="s" s="79">
        <v>1089</v>
      </c>
      <c r="J522" s="80">
        <v>21</v>
      </c>
      <c r="K522" t="s" s="79">
        <v>1090</v>
      </c>
      <c r="L522" t="s" s="79">
        <v>121</v>
      </c>
      <c r="M522" s="78"/>
      <c r="N522" s="78"/>
      <c r="O522" s="78"/>
      <c r="P522" s="80">
        <v>1</v>
      </c>
      <c r="Q522" s="81">
        <v>7</v>
      </c>
      <c r="R522" s="81">
        <v>7</v>
      </c>
      <c r="S522" s="80">
        <v>0</v>
      </c>
      <c r="T522" s="80">
        <v>0</v>
      </c>
      <c r="U522" t="s" s="79">
        <v>122</v>
      </c>
      <c r="V522" s="80">
        <v>11</v>
      </c>
      <c r="W522" s="81">
        <v>5.86</v>
      </c>
      <c r="X522" s="81">
        <v>6.18</v>
      </c>
      <c r="Y522" s="80">
        <v>1</v>
      </c>
      <c r="Z522" s="80">
        <v>1</v>
      </c>
      <c r="AA522" t="s" s="79">
        <v>123</v>
      </c>
      <c r="AB522" t="s" s="79">
        <v>124</v>
      </c>
      <c r="AC522" t="s" s="79">
        <v>124</v>
      </c>
      <c r="AD522" t="s" s="82">
        <v>125</v>
      </c>
      <c r="AE522" s="67"/>
    </row>
    <row r="523" ht="15" customHeight="1">
      <c r="A523" t="s" s="86">
        <v>30</v>
      </c>
      <c r="B523" s="69">
        <v>49.3</v>
      </c>
      <c r="C523" t="b" s="70">
        <v>0</v>
      </c>
      <c r="D523" s="71"/>
      <c r="E523" t="s" s="72">
        <v>1091</v>
      </c>
      <c r="F523" t="s" s="72">
        <v>153</v>
      </c>
      <c r="G523" s="73">
        <v>28</v>
      </c>
      <c r="H523" t="s" s="72">
        <v>175</v>
      </c>
      <c r="I523" t="s" s="72">
        <v>175</v>
      </c>
      <c r="J523" s="73">
        <v>25</v>
      </c>
      <c r="K523" t="s" s="72">
        <v>128</v>
      </c>
      <c r="L523" t="s" s="72">
        <v>121</v>
      </c>
      <c r="M523" s="71"/>
      <c r="N523" s="71"/>
      <c r="O523" s="71"/>
      <c r="P523" s="73">
        <v>1</v>
      </c>
      <c r="Q523" s="74">
        <v>6.5</v>
      </c>
      <c r="R523" s="74">
        <v>6.5</v>
      </c>
      <c r="S523" s="73">
        <v>0</v>
      </c>
      <c r="T523" s="73">
        <v>0</v>
      </c>
      <c r="U523" t="s" s="72">
        <v>122</v>
      </c>
      <c r="V523" s="73">
        <v>9</v>
      </c>
      <c r="W523" s="74">
        <v>5.61</v>
      </c>
      <c r="X523" s="74">
        <v>5.89</v>
      </c>
      <c r="Y523" s="73">
        <v>1</v>
      </c>
      <c r="Z523" s="73">
        <v>0</v>
      </c>
      <c r="AA523" t="s" s="72">
        <v>123</v>
      </c>
      <c r="AB523" t="s" s="72">
        <v>124</v>
      </c>
      <c r="AC523" t="s" s="72">
        <v>124</v>
      </c>
      <c r="AD523" t="s" s="75">
        <v>125</v>
      </c>
      <c r="AE523" s="67"/>
    </row>
    <row r="524" ht="15" customHeight="1">
      <c r="A524" t="s" s="86">
        <v>30</v>
      </c>
      <c r="B524" s="76">
        <v>47.4</v>
      </c>
      <c r="C524" t="b" s="77">
        <v>0</v>
      </c>
      <c r="D524" s="78"/>
      <c r="E524" t="s" s="79">
        <v>1092</v>
      </c>
      <c r="F524" t="s" s="79">
        <v>147</v>
      </c>
      <c r="G524" s="80">
        <v>24</v>
      </c>
      <c r="H524" t="s" s="79">
        <v>175</v>
      </c>
      <c r="I524" t="s" s="79">
        <v>175</v>
      </c>
      <c r="J524" s="80">
        <v>26</v>
      </c>
      <c r="K524" t="s" s="79">
        <v>128</v>
      </c>
      <c r="L524" t="s" s="79">
        <v>121</v>
      </c>
      <c r="M524" s="78"/>
      <c r="N524" s="78"/>
      <c r="O524" s="78"/>
      <c r="P524" s="80">
        <v>1</v>
      </c>
      <c r="Q524" s="81">
        <v>6</v>
      </c>
      <c r="R524" s="81">
        <v>6</v>
      </c>
      <c r="S524" s="80">
        <v>0</v>
      </c>
      <c r="T524" s="80">
        <v>0</v>
      </c>
      <c r="U524" t="s" s="79">
        <v>122</v>
      </c>
      <c r="V524" s="80">
        <v>26</v>
      </c>
      <c r="W524" s="81">
        <v>5.94</v>
      </c>
      <c r="X524" s="81">
        <v>6.48</v>
      </c>
      <c r="Y524" s="80">
        <v>5</v>
      </c>
      <c r="Z524" s="80">
        <v>1</v>
      </c>
      <c r="AA524" t="s" s="79">
        <v>123</v>
      </c>
      <c r="AB524" t="s" s="79">
        <v>124</v>
      </c>
      <c r="AC524" t="s" s="79">
        <v>124</v>
      </c>
      <c r="AD524" t="s" s="82">
        <v>125</v>
      </c>
      <c r="AE524" s="67"/>
    </row>
    <row r="525" ht="15" customHeight="1">
      <c r="A525" t="s" s="86">
        <v>30</v>
      </c>
      <c r="B525" s="69">
        <v>46.9</v>
      </c>
      <c r="C525" t="b" s="70">
        <v>0</v>
      </c>
      <c r="D525" t="s" s="84">
        <v>191</v>
      </c>
      <c r="E525" t="s" s="72">
        <v>1093</v>
      </c>
      <c r="F525" t="s" s="72">
        <v>180</v>
      </c>
      <c r="G525" s="73">
        <v>24</v>
      </c>
      <c r="H525" t="s" s="72">
        <v>1094</v>
      </c>
      <c r="I525" t="s" s="72">
        <v>1095</v>
      </c>
      <c r="J525" s="73">
        <v>23</v>
      </c>
      <c r="K525" t="s" s="72">
        <v>1096</v>
      </c>
      <c r="L525" t="s" s="72">
        <v>154</v>
      </c>
      <c r="M525" s="71"/>
      <c r="N525" t="s" s="72">
        <v>311</v>
      </c>
      <c r="O525" s="71"/>
      <c r="P525" s="73">
        <v>0</v>
      </c>
      <c r="Q525" s="74">
        <v>0</v>
      </c>
      <c r="R525" s="74">
        <v>0</v>
      </c>
      <c r="S525" s="73">
        <v>0</v>
      </c>
      <c r="T525" s="73">
        <v>0</v>
      </c>
      <c r="U525" t="s" s="72">
        <v>122</v>
      </c>
      <c r="V525" s="71"/>
      <c r="W525" s="71"/>
      <c r="X525" s="71"/>
      <c r="Y525" s="71"/>
      <c r="Z525" s="71"/>
      <c r="AA525" s="71"/>
      <c r="AB525" t="s" s="72">
        <v>124</v>
      </c>
      <c r="AC525" t="s" s="72">
        <v>124</v>
      </c>
      <c r="AD525" t="s" s="75">
        <v>125</v>
      </c>
      <c r="AE525" s="67"/>
    </row>
    <row r="526" ht="15" customHeight="1">
      <c r="A526" t="s" s="86">
        <v>30</v>
      </c>
      <c r="B526" s="76">
        <v>46.8</v>
      </c>
      <c r="C526" t="b" s="77">
        <v>0</v>
      </c>
      <c r="D526" s="78"/>
      <c r="E526" t="s" s="79">
        <v>1097</v>
      </c>
      <c r="F526" t="s" s="79">
        <v>170</v>
      </c>
      <c r="G526" s="80">
        <v>29</v>
      </c>
      <c r="H526" t="s" s="79">
        <v>1098</v>
      </c>
      <c r="I526" t="s" s="79">
        <v>1099</v>
      </c>
      <c r="J526" s="80">
        <v>22</v>
      </c>
      <c r="K526" t="s" s="79">
        <v>597</v>
      </c>
      <c r="L526" t="s" s="79">
        <v>121</v>
      </c>
      <c r="M526" s="78"/>
      <c r="N526" s="78"/>
      <c r="O526" s="78"/>
      <c r="P526" s="80">
        <v>0</v>
      </c>
      <c r="Q526" s="81">
        <v>0</v>
      </c>
      <c r="R526" s="81">
        <v>0</v>
      </c>
      <c r="S526" s="80">
        <v>0</v>
      </c>
      <c r="T526" s="80">
        <v>0</v>
      </c>
      <c r="U526" t="s" s="79">
        <v>122</v>
      </c>
      <c r="V526" s="78"/>
      <c r="W526" s="78"/>
      <c r="X526" s="78"/>
      <c r="Y526" s="78"/>
      <c r="Z526" s="78"/>
      <c r="AA526" s="78"/>
      <c r="AB526" t="s" s="79">
        <v>124</v>
      </c>
      <c r="AC526" t="s" s="79">
        <v>124</v>
      </c>
      <c r="AD526" t="s" s="82">
        <v>125</v>
      </c>
      <c r="AE526" s="67"/>
    </row>
    <row r="527" ht="15" customHeight="1">
      <c r="A527" t="s" s="86">
        <v>30</v>
      </c>
      <c r="B527" s="69">
        <v>46.4</v>
      </c>
      <c r="C527" t="b" s="70">
        <v>0</v>
      </c>
      <c r="D527" t="s" s="84">
        <v>178</v>
      </c>
      <c r="E527" t="s" s="72">
        <v>1100</v>
      </c>
      <c r="F527" t="s" s="72">
        <v>193</v>
      </c>
      <c r="G527" s="73">
        <v>19</v>
      </c>
      <c r="H527" t="s" s="72">
        <v>164</v>
      </c>
      <c r="I527" t="s" s="72">
        <v>165</v>
      </c>
      <c r="J527" s="73">
        <v>23</v>
      </c>
      <c r="K527" t="s" s="72">
        <v>316</v>
      </c>
      <c r="L527" t="s" s="72">
        <v>121</v>
      </c>
      <c r="M527" s="71"/>
      <c r="N527" s="71"/>
      <c r="O527" s="71"/>
      <c r="P527" s="73">
        <v>1</v>
      </c>
      <c r="Q527" s="74">
        <v>6.5</v>
      </c>
      <c r="R527" s="74">
        <v>6.5</v>
      </c>
      <c r="S527" s="73">
        <v>0</v>
      </c>
      <c r="T527" s="73">
        <v>0</v>
      </c>
      <c r="U527" t="s" s="72">
        <v>122</v>
      </c>
      <c r="V527" s="71"/>
      <c r="W527" s="71"/>
      <c r="X527" s="71"/>
      <c r="Y527" s="71"/>
      <c r="Z527" s="71"/>
      <c r="AA527" s="71"/>
      <c r="AB527" t="s" s="72">
        <v>124</v>
      </c>
      <c r="AC527" t="s" s="72">
        <v>124</v>
      </c>
      <c r="AD527" t="s" s="75">
        <v>125</v>
      </c>
      <c r="AE527" s="67"/>
    </row>
    <row r="528" ht="15" customHeight="1">
      <c r="A528" t="s" s="86">
        <v>30</v>
      </c>
      <c r="B528" s="76">
        <v>43.6</v>
      </c>
      <c r="C528" t="b" s="77">
        <v>0</v>
      </c>
      <c r="D528" t="s" s="85">
        <v>161</v>
      </c>
      <c r="E528" t="s" s="79">
        <v>1101</v>
      </c>
      <c r="F528" t="s" s="79">
        <v>183</v>
      </c>
      <c r="G528" s="80">
        <v>17</v>
      </c>
      <c r="H528" t="s" s="79">
        <v>118</v>
      </c>
      <c r="I528" t="s" s="79">
        <v>468</v>
      </c>
      <c r="J528" s="80">
        <v>26</v>
      </c>
      <c r="K528" t="s" s="79">
        <v>738</v>
      </c>
      <c r="L528" t="s" s="79">
        <v>121</v>
      </c>
      <c r="M528" s="78"/>
      <c r="N528" s="78"/>
      <c r="O528" s="78"/>
      <c r="P528" s="80">
        <v>2</v>
      </c>
      <c r="Q528" s="81">
        <v>5.5</v>
      </c>
      <c r="R528" s="81">
        <v>5.5</v>
      </c>
      <c r="S528" s="80">
        <v>0</v>
      </c>
      <c r="T528" s="80">
        <v>0</v>
      </c>
      <c r="U528" t="s" s="79">
        <v>122</v>
      </c>
      <c r="V528" s="78"/>
      <c r="W528" s="78"/>
      <c r="X528" s="78"/>
      <c r="Y528" s="78"/>
      <c r="Z528" s="78"/>
      <c r="AA528" s="78"/>
      <c r="AB528" t="s" s="79">
        <v>124</v>
      </c>
      <c r="AC528" t="s" s="79">
        <v>124</v>
      </c>
      <c r="AD528" t="s" s="82">
        <v>125</v>
      </c>
      <c r="AE528" s="67"/>
    </row>
    <row r="529" ht="15" customHeight="1">
      <c r="A529" t="s" s="86">
        <v>30</v>
      </c>
      <c r="B529" s="69">
        <v>43.2</v>
      </c>
      <c r="C529" t="b" s="70">
        <v>0</v>
      </c>
      <c r="D529" s="71"/>
      <c r="E529" t="s" s="72">
        <v>1102</v>
      </c>
      <c r="F529" t="s" s="72">
        <v>149</v>
      </c>
      <c r="G529" s="73">
        <v>23</v>
      </c>
      <c r="H529" t="s" s="72">
        <v>175</v>
      </c>
      <c r="I529" t="s" s="72">
        <v>175</v>
      </c>
      <c r="J529" s="73">
        <v>27</v>
      </c>
      <c r="K529" t="s" s="72">
        <v>157</v>
      </c>
      <c r="L529" t="s" s="72">
        <v>121</v>
      </c>
      <c r="M529" s="71"/>
      <c r="N529" s="71"/>
      <c r="O529" s="71"/>
      <c r="P529" s="73">
        <v>0</v>
      </c>
      <c r="Q529" s="74">
        <v>0</v>
      </c>
      <c r="R529" s="74">
        <v>0</v>
      </c>
      <c r="S529" s="73">
        <v>0</v>
      </c>
      <c r="T529" s="73">
        <v>0</v>
      </c>
      <c r="U529" t="s" s="72">
        <v>122</v>
      </c>
      <c r="V529" s="73">
        <v>23</v>
      </c>
      <c r="W529" s="74">
        <v>6.02</v>
      </c>
      <c r="X529" s="74">
        <v>6.5</v>
      </c>
      <c r="Y529" s="73">
        <v>4</v>
      </c>
      <c r="Z529" s="73">
        <v>2</v>
      </c>
      <c r="AA529" t="s" s="72">
        <v>123</v>
      </c>
      <c r="AB529" t="s" s="72">
        <v>124</v>
      </c>
      <c r="AC529" t="s" s="72">
        <v>124</v>
      </c>
      <c r="AD529" t="s" s="75">
        <v>125</v>
      </c>
      <c r="AE529" s="67"/>
    </row>
    <row r="530" ht="15" customHeight="1">
      <c r="A530" t="s" s="86">
        <v>30</v>
      </c>
      <c r="B530" s="76">
        <v>42.7</v>
      </c>
      <c r="C530" t="b" s="77">
        <v>0</v>
      </c>
      <c r="D530" s="78"/>
      <c r="E530" t="s" s="79">
        <v>1103</v>
      </c>
      <c r="F530" t="s" s="79">
        <v>144</v>
      </c>
      <c r="G530" s="80">
        <v>19</v>
      </c>
      <c r="H530" t="s" s="79">
        <v>175</v>
      </c>
      <c r="I530" t="s" s="79">
        <v>176</v>
      </c>
      <c r="J530" s="80">
        <v>29</v>
      </c>
      <c r="K530" t="s" s="79">
        <v>1104</v>
      </c>
      <c r="L530" t="s" s="79">
        <v>154</v>
      </c>
      <c r="M530" s="78"/>
      <c r="N530" s="78"/>
      <c r="O530" s="78"/>
      <c r="P530" s="80">
        <v>2</v>
      </c>
      <c r="Q530" s="81">
        <v>5.25</v>
      </c>
      <c r="R530" s="81">
        <v>5.25</v>
      </c>
      <c r="S530" s="80">
        <v>0</v>
      </c>
      <c r="T530" s="80">
        <v>0</v>
      </c>
      <c r="U530" t="s" s="79">
        <v>122</v>
      </c>
      <c r="V530" s="80">
        <v>12</v>
      </c>
      <c r="W530" s="81">
        <v>5.92</v>
      </c>
      <c r="X530" s="81">
        <v>6.75</v>
      </c>
      <c r="Y530" s="80">
        <v>3</v>
      </c>
      <c r="Z530" s="80">
        <v>1</v>
      </c>
      <c r="AA530" t="s" s="79">
        <v>123</v>
      </c>
      <c r="AB530" t="s" s="79">
        <v>124</v>
      </c>
      <c r="AC530" t="s" s="79">
        <v>124</v>
      </c>
      <c r="AD530" t="s" s="82">
        <v>125</v>
      </c>
      <c r="AE530" s="67"/>
    </row>
    <row r="531" ht="15" customHeight="1">
      <c r="A531" t="s" s="86">
        <v>30</v>
      </c>
      <c r="B531" s="69">
        <v>42.7</v>
      </c>
      <c r="C531" t="b" s="70">
        <v>0</v>
      </c>
      <c r="D531" t="s" s="84">
        <v>191</v>
      </c>
      <c r="E531" t="s" s="72">
        <v>1105</v>
      </c>
      <c r="F531" t="s" s="72">
        <v>193</v>
      </c>
      <c r="G531" s="73">
        <v>22</v>
      </c>
      <c r="H531" t="s" s="72">
        <v>175</v>
      </c>
      <c r="I531" t="s" s="72">
        <v>218</v>
      </c>
      <c r="J531" s="73">
        <v>25</v>
      </c>
      <c r="K531" t="s" s="72">
        <v>285</v>
      </c>
      <c r="L531" t="s" s="72">
        <v>154</v>
      </c>
      <c r="M531" s="71"/>
      <c r="N531" s="71"/>
      <c r="O531" s="71"/>
      <c r="P531" s="73">
        <v>0</v>
      </c>
      <c r="Q531" s="74">
        <v>0</v>
      </c>
      <c r="R531" s="74">
        <v>0</v>
      </c>
      <c r="S531" s="73">
        <v>0</v>
      </c>
      <c r="T531" s="73">
        <v>0</v>
      </c>
      <c r="U531" t="s" s="72">
        <v>122</v>
      </c>
      <c r="V531" s="73">
        <v>8</v>
      </c>
      <c r="W531" s="74">
        <v>6.12</v>
      </c>
      <c r="X531" s="74">
        <v>7</v>
      </c>
      <c r="Y531" s="73">
        <v>2</v>
      </c>
      <c r="Z531" s="73">
        <v>1</v>
      </c>
      <c r="AA531" t="s" s="72">
        <v>123</v>
      </c>
      <c r="AB531" t="s" s="72">
        <v>124</v>
      </c>
      <c r="AC531" t="s" s="72">
        <v>124</v>
      </c>
      <c r="AD531" t="s" s="75">
        <v>125</v>
      </c>
      <c r="AE531" s="67"/>
    </row>
    <row r="532" ht="15" customHeight="1">
      <c r="A532" t="s" s="86">
        <v>30</v>
      </c>
      <c r="B532" s="76">
        <v>41.3</v>
      </c>
      <c r="C532" t="b" s="77">
        <v>0</v>
      </c>
      <c r="D532" t="s" s="85">
        <v>161</v>
      </c>
      <c r="E532" t="s" s="79">
        <v>1106</v>
      </c>
      <c r="F532" t="s" s="79">
        <v>180</v>
      </c>
      <c r="G532" s="80">
        <v>21</v>
      </c>
      <c r="H532" t="s" s="79">
        <v>175</v>
      </c>
      <c r="I532" t="s" s="79">
        <v>408</v>
      </c>
      <c r="J532" s="80">
        <v>23</v>
      </c>
      <c r="K532" t="s" s="79">
        <v>523</v>
      </c>
      <c r="L532" t="s" s="79">
        <v>121</v>
      </c>
      <c r="M532" s="78"/>
      <c r="N532" s="78"/>
      <c r="O532" s="78"/>
      <c r="P532" s="80">
        <v>2</v>
      </c>
      <c r="Q532" s="81">
        <v>6.75</v>
      </c>
      <c r="R532" s="81">
        <v>7.25</v>
      </c>
      <c r="S532" s="80">
        <v>0</v>
      </c>
      <c r="T532" s="80">
        <v>1</v>
      </c>
      <c r="U532" t="s" s="79">
        <v>122</v>
      </c>
      <c r="V532" s="78"/>
      <c r="W532" s="78"/>
      <c r="X532" s="78"/>
      <c r="Y532" s="78"/>
      <c r="Z532" s="78"/>
      <c r="AA532" s="78"/>
      <c r="AB532" t="s" s="79">
        <v>124</v>
      </c>
      <c r="AC532" t="s" s="79">
        <v>124</v>
      </c>
      <c r="AD532" t="s" s="82">
        <v>125</v>
      </c>
      <c r="AE532" s="67"/>
    </row>
    <row r="533" ht="15" customHeight="1">
      <c r="A533" t="s" s="86">
        <v>30</v>
      </c>
      <c r="B533" s="69">
        <v>41.2</v>
      </c>
      <c r="C533" t="b" s="70">
        <v>0</v>
      </c>
      <c r="D533" s="71"/>
      <c r="E533" t="s" s="72">
        <v>1107</v>
      </c>
      <c r="F533" t="s" s="72">
        <v>138</v>
      </c>
      <c r="G533" s="73">
        <v>23</v>
      </c>
      <c r="H533" t="s" s="72">
        <v>175</v>
      </c>
      <c r="I533" t="s" s="72">
        <v>445</v>
      </c>
      <c r="J533" s="73">
        <v>28</v>
      </c>
      <c r="K533" t="s" s="72">
        <v>316</v>
      </c>
      <c r="L533" t="s" s="72">
        <v>154</v>
      </c>
      <c r="M533" s="71"/>
      <c r="N533" s="71"/>
      <c r="O533" s="71"/>
      <c r="P533" s="73">
        <v>1</v>
      </c>
      <c r="Q533" s="74">
        <v>7.5</v>
      </c>
      <c r="R533" s="74">
        <v>10.5</v>
      </c>
      <c r="S533" s="73">
        <v>1</v>
      </c>
      <c r="T533" s="73">
        <v>0</v>
      </c>
      <c r="U533" t="s" s="72">
        <v>122</v>
      </c>
      <c r="V533" s="73">
        <v>0</v>
      </c>
      <c r="W533" s="74">
        <v>0</v>
      </c>
      <c r="X533" s="74">
        <v>0</v>
      </c>
      <c r="Y533" s="73">
        <v>0</v>
      </c>
      <c r="Z533" s="73">
        <v>0</v>
      </c>
      <c r="AA533" t="s" s="72">
        <v>123</v>
      </c>
      <c r="AB533" t="s" s="72">
        <v>124</v>
      </c>
      <c r="AC533" t="s" s="72">
        <v>124</v>
      </c>
      <c r="AD533" t="s" s="75">
        <v>125</v>
      </c>
      <c r="AE533" s="67"/>
    </row>
    <row r="534" ht="15" customHeight="1">
      <c r="A534" t="s" s="86">
        <v>30</v>
      </c>
      <c r="B534" s="76">
        <v>41.1</v>
      </c>
      <c r="C534" t="b" s="77">
        <v>0</v>
      </c>
      <c r="D534" s="78"/>
      <c r="E534" t="s" s="79">
        <v>1108</v>
      </c>
      <c r="F534" t="s" s="79">
        <v>153</v>
      </c>
      <c r="G534" s="80">
        <v>24</v>
      </c>
      <c r="H534" t="s" s="79">
        <v>175</v>
      </c>
      <c r="I534" t="s" s="79">
        <v>1109</v>
      </c>
      <c r="J534" s="80">
        <v>22</v>
      </c>
      <c r="K534" t="s" s="79">
        <v>277</v>
      </c>
      <c r="L534" t="s" s="79">
        <v>154</v>
      </c>
      <c r="M534" s="78"/>
      <c r="N534" s="78"/>
      <c r="O534" t="s" s="88">
        <v>380</v>
      </c>
      <c r="P534" s="80">
        <v>0</v>
      </c>
      <c r="Q534" s="81">
        <v>0</v>
      </c>
      <c r="R534" s="81">
        <v>0</v>
      </c>
      <c r="S534" s="80">
        <v>0</v>
      </c>
      <c r="T534" s="80">
        <v>0</v>
      </c>
      <c r="U534" t="s" s="79">
        <v>122</v>
      </c>
      <c r="V534" s="80">
        <v>31</v>
      </c>
      <c r="W534" s="81">
        <v>5.94</v>
      </c>
      <c r="X534" s="81">
        <v>6.39</v>
      </c>
      <c r="Y534" s="80">
        <v>3</v>
      </c>
      <c r="Z534" s="80">
        <v>6</v>
      </c>
      <c r="AA534" t="s" s="79">
        <v>123</v>
      </c>
      <c r="AB534" t="s" s="79">
        <v>124</v>
      </c>
      <c r="AC534" t="s" s="79">
        <v>124</v>
      </c>
      <c r="AD534" t="s" s="82">
        <v>125</v>
      </c>
      <c r="AE534" s="67"/>
    </row>
    <row r="535" ht="15" customHeight="1">
      <c r="A535" t="s" s="87">
        <v>32</v>
      </c>
      <c r="B535" s="69">
        <v>41.1</v>
      </c>
      <c r="C535" t="b" s="70">
        <v>0</v>
      </c>
      <c r="D535" s="71"/>
      <c r="E535" t="s" s="72">
        <v>1110</v>
      </c>
      <c r="F535" t="s" s="72">
        <v>187</v>
      </c>
      <c r="G535" s="73">
        <v>17</v>
      </c>
      <c r="H535" t="s" s="72">
        <v>164</v>
      </c>
      <c r="I535" t="s" s="72">
        <v>164</v>
      </c>
      <c r="J535" s="73">
        <v>26</v>
      </c>
      <c r="K535" t="s" s="72">
        <v>435</v>
      </c>
      <c r="L535" t="s" s="72">
        <v>154</v>
      </c>
      <c r="M535" s="71"/>
      <c r="N535" s="71"/>
      <c r="O535" s="71"/>
      <c r="P535" s="73">
        <v>0</v>
      </c>
      <c r="Q535" s="74">
        <v>0</v>
      </c>
      <c r="R535" s="74">
        <v>0</v>
      </c>
      <c r="S535" s="73">
        <v>0</v>
      </c>
      <c r="T535" s="73">
        <v>0</v>
      </c>
      <c r="U535" t="s" s="72">
        <v>122</v>
      </c>
      <c r="V535" s="73">
        <v>17</v>
      </c>
      <c r="W535" s="74">
        <v>5.88</v>
      </c>
      <c r="X535" s="74">
        <v>6.06</v>
      </c>
      <c r="Y535" s="73">
        <v>1</v>
      </c>
      <c r="Z535" s="73">
        <v>1</v>
      </c>
      <c r="AA535" t="s" s="72">
        <v>123</v>
      </c>
      <c r="AB535" t="s" s="72">
        <v>124</v>
      </c>
      <c r="AC535" t="s" s="72">
        <v>124</v>
      </c>
      <c r="AD535" t="s" s="75">
        <v>125</v>
      </c>
      <c r="AE535" s="67"/>
    </row>
    <row r="536" ht="15" customHeight="1">
      <c r="A536" t="s" s="87">
        <v>32</v>
      </c>
      <c r="B536" s="76">
        <v>40.7</v>
      </c>
      <c r="C536" t="b" s="77">
        <v>0</v>
      </c>
      <c r="D536" t="s" s="85">
        <v>191</v>
      </c>
      <c r="E536" t="s" s="79">
        <v>1111</v>
      </c>
      <c r="F536" t="s" s="79">
        <v>183</v>
      </c>
      <c r="G536" s="80">
        <v>23</v>
      </c>
      <c r="H536" t="s" s="79">
        <v>175</v>
      </c>
      <c r="I536" t="s" s="79">
        <v>1112</v>
      </c>
      <c r="J536" s="80">
        <v>26</v>
      </c>
      <c r="K536" t="s" s="79">
        <v>128</v>
      </c>
      <c r="L536" t="s" s="79">
        <v>121</v>
      </c>
      <c r="M536" s="78"/>
      <c r="N536" s="78"/>
      <c r="O536" t="s" s="88">
        <v>380</v>
      </c>
      <c r="P536" s="80">
        <v>0</v>
      </c>
      <c r="Q536" s="81">
        <v>0</v>
      </c>
      <c r="R536" s="81">
        <v>0</v>
      </c>
      <c r="S536" s="80">
        <v>0</v>
      </c>
      <c r="T536" s="80">
        <v>0</v>
      </c>
      <c r="U536" t="s" s="79">
        <v>122</v>
      </c>
      <c r="V536" s="78"/>
      <c r="W536" s="78"/>
      <c r="X536" s="78"/>
      <c r="Y536" s="78"/>
      <c r="Z536" s="78"/>
      <c r="AA536" s="78"/>
      <c r="AB536" t="s" s="79">
        <v>124</v>
      </c>
      <c r="AC536" t="s" s="79">
        <v>124</v>
      </c>
      <c r="AD536" t="s" s="82">
        <v>125</v>
      </c>
      <c r="AE536" s="67"/>
    </row>
    <row r="537" ht="15" customHeight="1">
      <c r="A537" t="s" s="87">
        <v>32</v>
      </c>
      <c r="B537" s="69">
        <v>39.9</v>
      </c>
      <c r="C537" t="b" s="70">
        <v>0</v>
      </c>
      <c r="D537" t="s" s="84">
        <v>178</v>
      </c>
      <c r="E537" t="s" s="72">
        <v>1113</v>
      </c>
      <c r="F537" t="s" s="72">
        <v>193</v>
      </c>
      <c r="G537" s="73">
        <v>14</v>
      </c>
      <c r="H537" t="s" s="72">
        <v>1114</v>
      </c>
      <c r="I537" t="s" s="72">
        <v>1115</v>
      </c>
      <c r="J537" s="73">
        <v>24</v>
      </c>
      <c r="K537" t="s" s="72">
        <v>1116</v>
      </c>
      <c r="L537" t="s" s="72">
        <v>328</v>
      </c>
      <c r="M537" s="71"/>
      <c r="N537" s="71"/>
      <c r="O537" s="71"/>
      <c r="P537" s="73">
        <v>2</v>
      </c>
      <c r="Q537" s="74">
        <v>5.5</v>
      </c>
      <c r="R537" s="74">
        <v>5.5</v>
      </c>
      <c r="S537" s="73">
        <v>0</v>
      </c>
      <c r="T537" s="73">
        <v>0</v>
      </c>
      <c r="U537" t="s" s="72">
        <v>122</v>
      </c>
      <c r="V537" s="73">
        <v>0</v>
      </c>
      <c r="W537" s="74">
        <v>0</v>
      </c>
      <c r="X537" s="74">
        <v>0</v>
      </c>
      <c r="Y537" s="73">
        <v>0</v>
      </c>
      <c r="Z537" s="73">
        <v>0</v>
      </c>
      <c r="AA537" t="s" s="72">
        <v>123</v>
      </c>
      <c r="AB537" t="s" s="72">
        <v>124</v>
      </c>
      <c r="AC537" t="s" s="72">
        <v>124</v>
      </c>
      <c r="AD537" t="s" s="75">
        <v>125</v>
      </c>
      <c r="AE537" s="67"/>
    </row>
    <row r="538" ht="15" customHeight="1">
      <c r="A538" t="s" s="87">
        <v>32</v>
      </c>
      <c r="B538" s="76">
        <v>39.6</v>
      </c>
      <c r="C538" t="b" s="77">
        <v>0</v>
      </c>
      <c r="D538" s="78"/>
      <c r="E538" t="s" s="79">
        <v>1117</v>
      </c>
      <c r="F538" t="s" s="79">
        <v>149</v>
      </c>
      <c r="G538" s="80">
        <v>19</v>
      </c>
      <c r="H538" t="s" s="79">
        <v>1118</v>
      </c>
      <c r="I538" t="s" s="79">
        <v>1118</v>
      </c>
      <c r="J538" s="80">
        <v>24</v>
      </c>
      <c r="K538" t="s" s="79">
        <v>128</v>
      </c>
      <c r="L538" t="s" s="79">
        <v>154</v>
      </c>
      <c r="M538" s="78"/>
      <c r="N538" s="78"/>
      <c r="O538" s="78"/>
      <c r="P538" s="80">
        <v>2</v>
      </c>
      <c r="Q538" s="81">
        <v>5.75</v>
      </c>
      <c r="R538" s="81">
        <v>5.5</v>
      </c>
      <c r="S538" s="80">
        <v>0</v>
      </c>
      <c r="T538" s="80">
        <v>0</v>
      </c>
      <c r="U538" t="s" s="79">
        <v>122</v>
      </c>
      <c r="V538" s="80">
        <v>28</v>
      </c>
      <c r="W538" s="81">
        <v>5.82</v>
      </c>
      <c r="X538" s="81">
        <v>6.18</v>
      </c>
      <c r="Y538" s="80">
        <v>4</v>
      </c>
      <c r="Z538" s="80">
        <v>1</v>
      </c>
      <c r="AA538" t="s" s="79">
        <v>123</v>
      </c>
      <c r="AB538" t="s" s="79">
        <v>124</v>
      </c>
      <c r="AC538" t="s" s="79">
        <v>124</v>
      </c>
      <c r="AD538" t="s" s="82">
        <v>125</v>
      </c>
      <c r="AE538" s="67"/>
    </row>
    <row r="539" ht="15" customHeight="1">
      <c r="A539" t="s" s="87">
        <v>32</v>
      </c>
      <c r="B539" s="69">
        <v>37.9</v>
      </c>
      <c r="C539" t="b" s="70">
        <v>0</v>
      </c>
      <c r="D539" t="s" s="84">
        <v>191</v>
      </c>
      <c r="E539" t="s" s="72">
        <v>1119</v>
      </c>
      <c r="F539" t="s" s="72">
        <v>187</v>
      </c>
      <c r="G539" s="73">
        <v>19</v>
      </c>
      <c r="H539" t="s" s="72">
        <v>175</v>
      </c>
      <c r="I539" t="s" s="72">
        <v>836</v>
      </c>
      <c r="J539" s="73">
        <v>28</v>
      </c>
      <c r="K539" t="s" s="72">
        <v>1120</v>
      </c>
      <c r="L539" t="s" s="72">
        <v>121</v>
      </c>
      <c r="M539" s="71"/>
      <c r="N539" t="s" s="72">
        <v>311</v>
      </c>
      <c r="O539" s="71"/>
      <c r="P539" s="73">
        <v>0</v>
      </c>
      <c r="Q539" s="74">
        <v>0</v>
      </c>
      <c r="R539" s="74">
        <v>0</v>
      </c>
      <c r="S539" s="73">
        <v>0</v>
      </c>
      <c r="T539" s="73">
        <v>0</v>
      </c>
      <c r="U539" t="s" s="72">
        <v>122</v>
      </c>
      <c r="V539" s="71"/>
      <c r="W539" s="71"/>
      <c r="X539" s="71"/>
      <c r="Y539" s="71"/>
      <c r="Z539" s="71"/>
      <c r="AA539" s="71"/>
      <c r="AB539" t="s" s="72">
        <v>124</v>
      </c>
      <c r="AC539" t="s" s="72">
        <v>124</v>
      </c>
      <c r="AD539" t="s" s="75">
        <v>125</v>
      </c>
      <c r="AE539" s="67"/>
    </row>
    <row r="540" ht="15" customHeight="1">
      <c r="A540" t="s" s="87">
        <v>32</v>
      </c>
      <c r="B540" s="76">
        <v>36.5</v>
      </c>
      <c r="C540" t="b" s="77">
        <v>0</v>
      </c>
      <c r="D540" s="78"/>
      <c r="E540" t="s" s="79">
        <v>1121</v>
      </c>
      <c r="F540" t="s" s="79">
        <v>147</v>
      </c>
      <c r="G540" s="80">
        <v>19</v>
      </c>
      <c r="H540" t="s" s="79">
        <v>175</v>
      </c>
      <c r="I540" t="s" s="79">
        <v>175</v>
      </c>
      <c r="J540" s="80">
        <v>30</v>
      </c>
      <c r="K540" t="s" s="79">
        <v>1122</v>
      </c>
      <c r="L540" t="s" s="79">
        <v>154</v>
      </c>
      <c r="M540" s="78"/>
      <c r="N540" s="78"/>
      <c r="O540" s="78"/>
      <c r="P540" s="80">
        <v>0</v>
      </c>
      <c r="Q540" s="81">
        <v>0</v>
      </c>
      <c r="R540" s="81">
        <v>0</v>
      </c>
      <c r="S540" s="80">
        <v>0</v>
      </c>
      <c r="T540" s="80">
        <v>0</v>
      </c>
      <c r="U540" t="s" s="79">
        <v>122</v>
      </c>
      <c r="V540" s="80">
        <v>28</v>
      </c>
      <c r="W540" s="81">
        <v>5.86</v>
      </c>
      <c r="X540" s="81">
        <v>6.14</v>
      </c>
      <c r="Y540" s="80">
        <v>4</v>
      </c>
      <c r="Z540" s="80">
        <v>1</v>
      </c>
      <c r="AA540" t="s" s="79">
        <v>972</v>
      </c>
      <c r="AB540" t="s" s="79">
        <v>124</v>
      </c>
      <c r="AC540" t="s" s="79">
        <v>124</v>
      </c>
      <c r="AD540" t="s" s="82">
        <v>125</v>
      </c>
      <c r="AE540" s="67"/>
    </row>
    <row r="541" ht="15" customHeight="1">
      <c r="A541" t="s" s="87">
        <v>32</v>
      </c>
      <c r="B541" s="69">
        <v>36.4</v>
      </c>
      <c r="C541" t="b" s="70">
        <v>0</v>
      </c>
      <c r="D541" t="s" s="84">
        <v>161</v>
      </c>
      <c r="E541" t="s" s="72">
        <v>1123</v>
      </c>
      <c r="F541" t="s" s="72">
        <v>168</v>
      </c>
      <c r="G541" s="73">
        <v>15</v>
      </c>
      <c r="H541" t="s" s="72">
        <v>164</v>
      </c>
      <c r="I541" t="s" s="72">
        <v>1124</v>
      </c>
      <c r="J541" s="73">
        <v>25</v>
      </c>
      <c r="K541" t="s" s="72">
        <v>1125</v>
      </c>
      <c r="L541" t="s" s="72">
        <v>121</v>
      </c>
      <c r="M541" s="71"/>
      <c r="N541" s="71"/>
      <c r="O541" t="s" s="88">
        <v>268</v>
      </c>
      <c r="P541" s="73">
        <v>2</v>
      </c>
      <c r="Q541" s="74">
        <v>5.25</v>
      </c>
      <c r="R541" s="74">
        <v>5.25</v>
      </c>
      <c r="S541" s="73">
        <v>0</v>
      </c>
      <c r="T541" s="73">
        <v>0</v>
      </c>
      <c r="U541" t="s" s="72">
        <v>122</v>
      </c>
      <c r="V541" s="71"/>
      <c r="W541" s="71"/>
      <c r="X541" s="71"/>
      <c r="Y541" s="71"/>
      <c r="Z541" s="71"/>
      <c r="AA541" s="71"/>
      <c r="AB541" t="s" s="72">
        <v>124</v>
      </c>
      <c r="AC541" t="s" s="72">
        <v>124</v>
      </c>
      <c r="AD541" t="s" s="75">
        <v>125</v>
      </c>
      <c r="AE541" s="67"/>
    </row>
    <row r="542" ht="15" customHeight="1">
      <c r="A542" t="s" s="87">
        <v>32</v>
      </c>
      <c r="B542" s="76">
        <v>36.3</v>
      </c>
      <c r="C542" t="b" s="77">
        <v>0</v>
      </c>
      <c r="D542" s="78"/>
      <c r="E542" t="s" s="79">
        <v>1126</v>
      </c>
      <c r="F542" t="s" s="79">
        <v>180</v>
      </c>
      <c r="G542" s="80">
        <v>21</v>
      </c>
      <c r="H542" t="s" s="79">
        <v>175</v>
      </c>
      <c r="I542" t="s" s="79">
        <v>445</v>
      </c>
      <c r="J542" s="80">
        <v>24</v>
      </c>
      <c r="K542" t="s" s="79">
        <v>406</v>
      </c>
      <c r="L542" t="s" s="79">
        <v>121</v>
      </c>
      <c r="M542" s="78"/>
      <c r="N542" s="78"/>
      <c r="O542" s="78"/>
      <c r="P542" s="80">
        <v>0</v>
      </c>
      <c r="Q542" s="81">
        <v>0</v>
      </c>
      <c r="R542" s="81">
        <v>0</v>
      </c>
      <c r="S542" s="80">
        <v>0</v>
      </c>
      <c r="T542" s="80">
        <v>0</v>
      </c>
      <c r="U542" t="s" s="79">
        <v>122</v>
      </c>
      <c r="V542" s="78"/>
      <c r="W542" s="78"/>
      <c r="X542" s="78"/>
      <c r="Y542" s="78"/>
      <c r="Z542" s="78"/>
      <c r="AA542" s="78"/>
      <c r="AB542" t="s" s="79">
        <v>124</v>
      </c>
      <c r="AC542" t="s" s="79">
        <v>124</v>
      </c>
      <c r="AD542" t="s" s="82">
        <v>125</v>
      </c>
      <c r="AE542" s="67"/>
    </row>
    <row r="543" ht="15" customHeight="1">
      <c r="A543" t="s" s="87">
        <v>32</v>
      </c>
      <c r="B543" s="69">
        <v>35.9</v>
      </c>
      <c r="C543" t="b" s="70">
        <v>0</v>
      </c>
      <c r="D543" s="71"/>
      <c r="E543" t="s" s="72">
        <v>1127</v>
      </c>
      <c r="F543" t="s" s="72">
        <v>127</v>
      </c>
      <c r="G543" s="73">
        <v>22</v>
      </c>
      <c r="H543" t="s" s="72">
        <v>175</v>
      </c>
      <c r="I543" t="s" s="72">
        <v>266</v>
      </c>
      <c r="J543" s="73">
        <v>24</v>
      </c>
      <c r="K543" t="s" s="72">
        <v>621</v>
      </c>
      <c r="L543" t="s" s="72">
        <v>121</v>
      </c>
      <c r="M543" s="71"/>
      <c r="N543" s="71"/>
      <c r="O543" t="s" s="88">
        <v>380</v>
      </c>
      <c r="P543" s="73">
        <v>0</v>
      </c>
      <c r="Q543" s="74">
        <v>0</v>
      </c>
      <c r="R543" s="74">
        <v>0</v>
      </c>
      <c r="S543" s="73">
        <v>0</v>
      </c>
      <c r="T543" s="73">
        <v>0</v>
      </c>
      <c r="U543" t="s" s="72">
        <v>122</v>
      </c>
      <c r="V543" s="73">
        <v>20</v>
      </c>
      <c r="W543" s="74">
        <v>5.92</v>
      </c>
      <c r="X543" s="74">
        <v>6.18</v>
      </c>
      <c r="Y543" s="73">
        <v>2</v>
      </c>
      <c r="Z543" s="73">
        <v>1</v>
      </c>
      <c r="AA543" t="s" s="72">
        <v>123</v>
      </c>
      <c r="AB543" t="s" s="72">
        <v>124</v>
      </c>
      <c r="AC543" t="s" s="72">
        <v>124</v>
      </c>
      <c r="AD543" t="s" s="75">
        <v>125</v>
      </c>
      <c r="AE543" s="67"/>
    </row>
    <row r="544" ht="15" customHeight="1">
      <c r="A544" t="s" s="87">
        <v>32</v>
      </c>
      <c r="B544" s="76">
        <v>35.9</v>
      </c>
      <c r="C544" t="b" s="77">
        <v>0</v>
      </c>
      <c r="D544" t="s" s="85">
        <v>161</v>
      </c>
      <c r="E544" t="s" s="79">
        <v>1128</v>
      </c>
      <c r="F544" t="s" s="79">
        <v>147</v>
      </c>
      <c r="G544" s="80">
        <v>12</v>
      </c>
      <c r="H544" t="s" s="79">
        <v>164</v>
      </c>
      <c r="I544" t="s" s="79">
        <v>165</v>
      </c>
      <c r="J544" s="80">
        <v>25</v>
      </c>
      <c r="K544" t="s" s="79">
        <v>1129</v>
      </c>
      <c r="L544" t="s" s="79">
        <v>121</v>
      </c>
      <c r="M544" s="78"/>
      <c r="N544" s="78"/>
      <c r="O544" s="78"/>
      <c r="P544" s="80">
        <v>1</v>
      </c>
      <c r="Q544" s="81">
        <v>5.5</v>
      </c>
      <c r="R544" s="81">
        <v>5</v>
      </c>
      <c r="S544" s="80">
        <v>0</v>
      </c>
      <c r="T544" s="80">
        <v>0</v>
      </c>
      <c r="U544" t="s" s="79">
        <v>122</v>
      </c>
      <c r="V544" s="78"/>
      <c r="W544" s="78"/>
      <c r="X544" s="78"/>
      <c r="Y544" s="78"/>
      <c r="Z544" s="78"/>
      <c r="AA544" s="78"/>
      <c r="AB544" t="s" s="79">
        <v>124</v>
      </c>
      <c r="AC544" t="s" s="79">
        <v>124</v>
      </c>
      <c r="AD544" t="s" s="82">
        <v>125</v>
      </c>
      <c r="AE544" s="67"/>
    </row>
    <row r="545" ht="15" customHeight="1">
      <c r="A545" t="s" s="87">
        <v>32</v>
      </c>
      <c r="B545" s="69">
        <v>35.8</v>
      </c>
      <c r="C545" t="b" s="70">
        <v>0</v>
      </c>
      <c r="D545" s="71"/>
      <c r="E545" t="s" s="72">
        <v>1130</v>
      </c>
      <c r="F545" t="s" s="72">
        <v>172</v>
      </c>
      <c r="G545" s="73">
        <v>18</v>
      </c>
      <c r="H545" t="s" s="72">
        <v>175</v>
      </c>
      <c r="I545" t="s" s="72">
        <v>203</v>
      </c>
      <c r="J545" s="73">
        <v>22</v>
      </c>
      <c r="K545" t="s" s="72">
        <v>316</v>
      </c>
      <c r="L545" t="s" s="72">
        <v>121</v>
      </c>
      <c r="M545" s="71"/>
      <c r="N545" s="71"/>
      <c r="O545" s="71"/>
      <c r="P545" s="73">
        <v>2</v>
      </c>
      <c r="Q545" s="74">
        <v>5.75</v>
      </c>
      <c r="R545" s="74">
        <v>5.75</v>
      </c>
      <c r="S545" s="73">
        <v>0</v>
      </c>
      <c r="T545" s="73">
        <v>0</v>
      </c>
      <c r="U545" t="s" s="72">
        <v>122</v>
      </c>
      <c r="V545" s="73">
        <v>13</v>
      </c>
      <c r="W545" s="74">
        <v>5.81</v>
      </c>
      <c r="X545" s="74">
        <v>6</v>
      </c>
      <c r="Y545" s="73">
        <v>0</v>
      </c>
      <c r="Z545" s="73">
        <v>3</v>
      </c>
      <c r="AA545" t="s" s="72">
        <v>123</v>
      </c>
      <c r="AB545" t="s" s="72">
        <v>124</v>
      </c>
      <c r="AC545" t="s" s="72">
        <v>124</v>
      </c>
      <c r="AD545" t="s" s="75">
        <v>125</v>
      </c>
      <c r="AE545" s="67"/>
    </row>
    <row r="546" ht="15" customHeight="1">
      <c r="A546" t="s" s="87">
        <v>32</v>
      </c>
      <c r="B546" s="76">
        <v>34.3</v>
      </c>
      <c r="C546" t="b" s="77">
        <v>0</v>
      </c>
      <c r="D546" s="78"/>
      <c r="E546" t="s" s="79">
        <v>1131</v>
      </c>
      <c r="F546" t="s" s="79">
        <v>168</v>
      </c>
      <c r="G546" s="80">
        <v>17</v>
      </c>
      <c r="H546" t="s" s="79">
        <v>175</v>
      </c>
      <c r="I546" t="s" s="79">
        <v>175</v>
      </c>
      <c r="J546" s="80">
        <v>25</v>
      </c>
      <c r="K546" t="s" s="79">
        <v>1132</v>
      </c>
      <c r="L546" t="s" s="79">
        <v>154</v>
      </c>
      <c r="M546" s="78"/>
      <c r="N546" s="78"/>
      <c r="O546" s="78"/>
      <c r="P546" s="80">
        <v>2</v>
      </c>
      <c r="Q546" s="81">
        <v>5.75</v>
      </c>
      <c r="R546" s="81">
        <v>5.75</v>
      </c>
      <c r="S546" s="80">
        <v>0</v>
      </c>
      <c r="T546" s="80">
        <v>0</v>
      </c>
      <c r="U546" t="s" s="79">
        <v>122</v>
      </c>
      <c r="V546" s="80">
        <v>17</v>
      </c>
      <c r="W546" s="81">
        <v>5.85</v>
      </c>
      <c r="X546" s="81">
        <v>6.12</v>
      </c>
      <c r="Y546" s="80">
        <v>2</v>
      </c>
      <c r="Z546" s="80">
        <v>0</v>
      </c>
      <c r="AA546" t="s" s="79">
        <v>123</v>
      </c>
      <c r="AB546" t="s" s="79">
        <v>124</v>
      </c>
      <c r="AC546" t="s" s="79">
        <v>124</v>
      </c>
      <c r="AD546" t="s" s="82">
        <v>125</v>
      </c>
      <c r="AE546" s="67"/>
    </row>
    <row r="547" ht="15" customHeight="1">
      <c r="A547" t="s" s="87">
        <v>32</v>
      </c>
      <c r="B547" s="69">
        <v>33.5</v>
      </c>
      <c r="C547" t="b" s="70">
        <v>0</v>
      </c>
      <c r="D547" s="71"/>
      <c r="E547" t="s" s="72">
        <v>1133</v>
      </c>
      <c r="F547" t="s" s="72">
        <v>163</v>
      </c>
      <c r="G547" s="73">
        <v>17</v>
      </c>
      <c r="H547" t="s" s="72">
        <v>175</v>
      </c>
      <c r="I547" t="s" s="72">
        <v>175</v>
      </c>
      <c r="J547" s="73">
        <v>26</v>
      </c>
      <c r="K547" t="s" s="72">
        <v>619</v>
      </c>
      <c r="L547" t="s" s="72">
        <v>328</v>
      </c>
      <c r="M547" s="71"/>
      <c r="N547" s="71"/>
      <c r="O547" s="71"/>
      <c r="P547" s="73">
        <v>2</v>
      </c>
      <c r="Q547" s="74">
        <v>5.5</v>
      </c>
      <c r="R547" s="74">
        <v>5.5</v>
      </c>
      <c r="S547" s="73">
        <v>0</v>
      </c>
      <c r="T547" s="73">
        <v>0</v>
      </c>
      <c r="U547" t="s" s="72">
        <v>122</v>
      </c>
      <c r="V547" s="73">
        <v>12</v>
      </c>
      <c r="W547" s="74">
        <v>5.79</v>
      </c>
      <c r="X547" s="74">
        <v>5.62</v>
      </c>
      <c r="Y547" s="73">
        <v>0</v>
      </c>
      <c r="Z547" s="73">
        <v>0</v>
      </c>
      <c r="AA547" t="s" s="72">
        <v>123</v>
      </c>
      <c r="AB547" t="s" s="72">
        <v>124</v>
      </c>
      <c r="AC547" t="s" s="72">
        <v>124</v>
      </c>
      <c r="AD547" t="s" s="75">
        <v>125</v>
      </c>
      <c r="AE547" s="67"/>
    </row>
    <row r="548" ht="15" customHeight="1">
      <c r="A548" t="s" s="87">
        <v>32</v>
      </c>
      <c r="B548" s="76">
        <v>32.4</v>
      </c>
      <c r="C548" t="b" s="77">
        <v>0</v>
      </c>
      <c r="D548" s="78"/>
      <c r="E548" t="s" s="79">
        <v>1134</v>
      </c>
      <c r="F548" t="s" s="79">
        <v>187</v>
      </c>
      <c r="G548" s="80">
        <v>12</v>
      </c>
      <c r="H548" t="s" s="79">
        <v>164</v>
      </c>
      <c r="I548" t="s" s="79">
        <v>401</v>
      </c>
      <c r="J548" s="80">
        <v>24</v>
      </c>
      <c r="K548" t="s" s="79">
        <v>316</v>
      </c>
      <c r="L548" t="s" s="79">
        <v>121</v>
      </c>
      <c r="M548" s="78"/>
      <c r="N548" s="78"/>
      <c r="O548" s="78"/>
      <c r="P548" s="80">
        <v>0</v>
      </c>
      <c r="Q548" s="81">
        <v>0</v>
      </c>
      <c r="R548" s="81">
        <v>0</v>
      </c>
      <c r="S548" s="80">
        <v>0</v>
      </c>
      <c r="T548" s="80">
        <v>0</v>
      </c>
      <c r="U548" t="s" s="79">
        <v>122</v>
      </c>
      <c r="V548" s="78"/>
      <c r="W548" s="78"/>
      <c r="X548" s="78"/>
      <c r="Y548" s="78"/>
      <c r="Z548" s="78"/>
      <c r="AA548" s="78"/>
      <c r="AB548" t="s" s="79">
        <v>124</v>
      </c>
      <c r="AC548" t="s" s="79">
        <v>124</v>
      </c>
      <c r="AD548" t="s" s="82">
        <v>125</v>
      </c>
      <c r="AE548" s="67"/>
    </row>
    <row r="549" ht="15" customHeight="1">
      <c r="A549" t="s" s="87">
        <v>32</v>
      </c>
      <c r="B549" s="69">
        <v>32.1</v>
      </c>
      <c r="C549" t="b" s="70">
        <v>0</v>
      </c>
      <c r="D549" t="s" s="84">
        <v>161</v>
      </c>
      <c r="E549" t="s" s="72">
        <v>1135</v>
      </c>
      <c r="F549" t="s" s="72">
        <v>159</v>
      </c>
      <c r="G549" s="73">
        <v>14</v>
      </c>
      <c r="H549" t="s" s="72">
        <v>175</v>
      </c>
      <c r="I549" t="s" s="72">
        <v>754</v>
      </c>
      <c r="J549" s="73">
        <v>19</v>
      </c>
      <c r="K549" t="s" s="72">
        <v>190</v>
      </c>
      <c r="L549" t="s" s="72">
        <v>121</v>
      </c>
      <c r="M549" s="71"/>
      <c r="N549" s="71"/>
      <c r="O549" s="71"/>
      <c r="P549" s="73">
        <v>2</v>
      </c>
      <c r="Q549" s="74">
        <v>5.5</v>
      </c>
      <c r="R549" s="74">
        <v>5.5</v>
      </c>
      <c r="S549" s="73">
        <v>0</v>
      </c>
      <c r="T549" s="73">
        <v>0</v>
      </c>
      <c r="U549" t="s" s="72">
        <v>122</v>
      </c>
      <c r="V549" s="73">
        <v>15</v>
      </c>
      <c r="W549" s="74">
        <v>5.77</v>
      </c>
      <c r="X549" s="74">
        <v>5.9</v>
      </c>
      <c r="Y549" s="73">
        <v>1</v>
      </c>
      <c r="Z549" s="73">
        <v>0</v>
      </c>
      <c r="AA549" t="s" s="72">
        <v>123</v>
      </c>
      <c r="AB549" t="s" s="72">
        <v>124</v>
      </c>
      <c r="AC549" t="s" s="72">
        <v>124</v>
      </c>
      <c r="AD549" t="s" s="75">
        <v>125</v>
      </c>
      <c r="AE549" s="67"/>
    </row>
    <row r="550" ht="15" customHeight="1">
      <c r="A550" t="s" s="87">
        <v>32</v>
      </c>
      <c r="B550" s="76">
        <v>31.9</v>
      </c>
      <c r="C550" t="b" s="77">
        <v>0</v>
      </c>
      <c r="D550" s="78"/>
      <c r="E550" t="s" s="79">
        <v>1136</v>
      </c>
      <c r="F550" t="s" s="79">
        <v>163</v>
      </c>
      <c r="G550" s="80">
        <v>17</v>
      </c>
      <c r="H550" t="s" s="79">
        <v>175</v>
      </c>
      <c r="I550" t="s" s="79">
        <v>175</v>
      </c>
      <c r="J550" s="80">
        <v>26</v>
      </c>
      <c r="K550" t="s" s="79">
        <v>395</v>
      </c>
      <c r="L550" t="s" s="79">
        <v>121</v>
      </c>
      <c r="M550" s="78"/>
      <c r="N550" s="78"/>
      <c r="O550" s="78"/>
      <c r="P550" s="80">
        <v>1</v>
      </c>
      <c r="Q550" s="81">
        <v>5.5</v>
      </c>
      <c r="R550" s="81">
        <v>5.5</v>
      </c>
      <c r="S550" s="80">
        <v>0</v>
      </c>
      <c r="T550" s="80">
        <v>0</v>
      </c>
      <c r="U550" t="s" s="79">
        <v>122</v>
      </c>
      <c r="V550" s="80">
        <v>7</v>
      </c>
      <c r="W550" s="81">
        <v>5.64</v>
      </c>
      <c r="X550" s="81">
        <v>5.71</v>
      </c>
      <c r="Y550" s="80">
        <v>0</v>
      </c>
      <c r="Z550" s="80">
        <v>1</v>
      </c>
      <c r="AA550" t="s" s="79">
        <v>123</v>
      </c>
      <c r="AB550" t="s" s="79">
        <v>124</v>
      </c>
      <c r="AC550" t="s" s="79">
        <v>124</v>
      </c>
      <c r="AD550" t="s" s="82">
        <v>125</v>
      </c>
      <c r="AE550" s="67"/>
    </row>
    <row r="551" ht="15" customHeight="1">
      <c r="A551" t="s" s="87">
        <v>32</v>
      </c>
      <c r="B551" s="69">
        <v>31.8</v>
      </c>
      <c r="C551" t="b" s="70">
        <v>0</v>
      </c>
      <c r="D551" t="s" s="84">
        <v>161</v>
      </c>
      <c r="E551" t="s" s="72">
        <v>1137</v>
      </c>
      <c r="F551" t="s" s="72">
        <v>193</v>
      </c>
      <c r="G551" s="73">
        <v>15</v>
      </c>
      <c r="H551" t="s" s="72">
        <v>175</v>
      </c>
      <c r="I551" t="s" s="72">
        <v>218</v>
      </c>
      <c r="J551" s="73">
        <v>27</v>
      </c>
      <c r="K551" t="s" s="72">
        <v>197</v>
      </c>
      <c r="L551" t="s" s="72">
        <v>154</v>
      </c>
      <c r="M551" s="71"/>
      <c r="N551" s="71"/>
      <c r="O551" s="71"/>
      <c r="P551" s="73">
        <v>1</v>
      </c>
      <c r="Q551" s="74">
        <v>5.5</v>
      </c>
      <c r="R551" s="74">
        <v>5.5</v>
      </c>
      <c r="S551" s="73">
        <v>0</v>
      </c>
      <c r="T551" s="73">
        <v>0</v>
      </c>
      <c r="U551" t="s" s="72">
        <v>122</v>
      </c>
      <c r="V551" s="73">
        <v>10</v>
      </c>
      <c r="W551" s="74">
        <v>5.9</v>
      </c>
      <c r="X551" s="74">
        <v>6</v>
      </c>
      <c r="Y551" s="73">
        <v>0</v>
      </c>
      <c r="Z551" s="73">
        <v>1</v>
      </c>
      <c r="AA551" t="s" s="72">
        <v>123</v>
      </c>
      <c r="AB551" t="s" s="72">
        <v>124</v>
      </c>
      <c r="AC551" t="s" s="72">
        <v>124</v>
      </c>
      <c r="AD551" t="s" s="75">
        <v>125</v>
      </c>
      <c r="AE551" s="67"/>
    </row>
    <row r="552" ht="15" customHeight="1">
      <c r="A552" t="s" s="87">
        <v>32</v>
      </c>
      <c r="B552" s="76">
        <v>30.6</v>
      </c>
      <c r="C552" t="b" s="77">
        <v>0</v>
      </c>
      <c r="D552" s="78"/>
      <c r="E552" t="s" s="79">
        <v>1138</v>
      </c>
      <c r="F552" t="s" s="79">
        <v>141</v>
      </c>
      <c r="G552" s="80">
        <v>19</v>
      </c>
      <c r="H552" t="s" s="79">
        <v>175</v>
      </c>
      <c r="I552" t="s" s="79">
        <v>559</v>
      </c>
      <c r="J552" s="80">
        <v>21</v>
      </c>
      <c r="K552" t="s" s="79">
        <v>1139</v>
      </c>
      <c r="L552" t="s" s="79">
        <v>154</v>
      </c>
      <c r="M552" s="78"/>
      <c r="N552" s="78"/>
      <c r="O552" t="s" s="88">
        <v>380</v>
      </c>
      <c r="P552" s="80">
        <v>0</v>
      </c>
      <c r="Q552" s="81">
        <v>0</v>
      </c>
      <c r="R552" s="81">
        <v>0</v>
      </c>
      <c r="S552" s="80">
        <v>0</v>
      </c>
      <c r="T552" s="80">
        <v>0</v>
      </c>
      <c r="U552" t="s" s="79">
        <v>122</v>
      </c>
      <c r="V552" s="80">
        <v>12</v>
      </c>
      <c r="W552" s="81">
        <v>6</v>
      </c>
      <c r="X552" s="81">
        <v>6.58</v>
      </c>
      <c r="Y552" s="80">
        <v>3</v>
      </c>
      <c r="Z552" s="80">
        <v>0</v>
      </c>
      <c r="AA552" t="s" s="79">
        <v>123</v>
      </c>
      <c r="AB552" t="s" s="79">
        <v>124</v>
      </c>
      <c r="AC552" t="s" s="79">
        <v>124</v>
      </c>
      <c r="AD552" t="s" s="82">
        <v>125</v>
      </c>
      <c r="AE552" s="67"/>
    </row>
    <row r="553" ht="15" customHeight="1">
      <c r="A553" t="s" s="87">
        <v>32</v>
      </c>
      <c r="B553" s="69">
        <v>30.1</v>
      </c>
      <c r="C553" t="b" s="70">
        <v>0</v>
      </c>
      <c r="D553" s="71"/>
      <c r="E553" t="s" s="72">
        <v>1140</v>
      </c>
      <c r="F553" t="s" s="72">
        <v>156</v>
      </c>
      <c r="G553" s="73">
        <v>20</v>
      </c>
      <c r="H553" t="s" s="72">
        <v>175</v>
      </c>
      <c r="I553" t="s" s="72">
        <v>569</v>
      </c>
      <c r="J553" s="73">
        <v>23</v>
      </c>
      <c r="K553" t="s" s="72">
        <v>236</v>
      </c>
      <c r="L553" t="s" s="72">
        <v>121</v>
      </c>
      <c r="M553" s="71"/>
      <c r="N553" s="71"/>
      <c r="O553" t="s" s="88">
        <v>268</v>
      </c>
      <c r="P553" s="73">
        <v>0</v>
      </c>
      <c r="Q553" s="74">
        <v>0</v>
      </c>
      <c r="R553" s="74">
        <v>0</v>
      </c>
      <c r="S553" s="73">
        <v>0</v>
      </c>
      <c r="T553" s="73">
        <v>0</v>
      </c>
      <c r="U553" t="s" s="72">
        <v>122</v>
      </c>
      <c r="V553" s="71"/>
      <c r="W553" s="71"/>
      <c r="X553" s="71"/>
      <c r="Y553" s="71"/>
      <c r="Z553" s="71"/>
      <c r="AA553" s="71"/>
      <c r="AB553" t="s" s="72">
        <v>124</v>
      </c>
      <c r="AC553" t="s" s="72">
        <v>124</v>
      </c>
      <c r="AD553" t="s" s="75">
        <v>125</v>
      </c>
      <c r="AE553" s="67"/>
    </row>
    <row r="554" ht="15" customHeight="1">
      <c r="A554" t="s" s="87">
        <v>32</v>
      </c>
      <c r="B554" s="76">
        <v>28.6</v>
      </c>
      <c r="C554" t="b" s="77">
        <v>0</v>
      </c>
      <c r="D554" s="78"/>
      <c r="E554" t="s" s="79">
        <v>1141</v>
      </c>
      <c r="F554" t="s" s="79">
        <v>180</v>
      </c>
      <c r="G554" s="80">
        <v>17</v>
      </c>
      <c r="H554" t="s" s="79">
        <v>175</v>
      </c>
      <c r="I554" t="s" s="79">
        <v>445</v>
      </c>
      <c r="J554" s="80">
        <v>26</v>
      </c>
      <c r="K554" t="s" s="79">
        <v>257</v>
      </c>
      <c r="L554" t="s" s="79">
        <v>121</v>
      </c>
      <c r="M554" s="78"/>
      <c r="N554" s="78"/>
      <c r="O554" s="78"/>
      <c r="P554" s="80">
        <v>0</v>
      </c>
      <c r="Q554" s="81">
        <v>0</v>
      </c>
      <c r="R554" s="81">
        <v>0</v>
      </c>
      <c r="S554" s="80">
        <v>0</v>
      </c>
      <c r="T554" s="80">
        <v>0</v>
      </c>
      <c r="U554" t="s" s="79">
        <v>122</v>
      </c>
      <c r="V554" s="78"/>
      <c r="W554" s="78"/>
      <c r="X554" s="78"/>
      <c r="Y554" s="78"/>
      <c r="Z554" s="78"/>
      <c r="AA554" s="78"/>
      <c r="AB554" t="s" s="79">
        <v>124</v>
      </c>
      <c r="AC554" t="s" s="79">
        <v>124</v>
      </c>
      <c r="AD554" t="s" s="82">
        <v>125</v>
      </c>
      <c r="AE554" s="67"/>
    </row>
    <row r="555" ht="15" customHeight="1">
      <c r="A555" t="s" s="87">
        <v>32</v>
      </c>
      <c r="B555" s="69">
        <v>27.9</v>
      </c>
      <c r="C555" t="b" s="70">
        <v>0</v>
      </c>
      <c r="D555" s="71"/>
      <c r="E555" t="s" s="72">
        <v>1142</v>
      </c>
      <c r="F555" t="s" s="72">
        <v>156</v>
      </c>
      <c r="G555" s="73">
        <v>14</v>
      </c>
      <c r="H555" t="s" s="72">
        <v>1143</v>
      </c>
      <c r="I555" t="s" s="72">
        <v>1144</v>
      </c>
      <c r="J555" s="73">
        <v>27</v>
      </c>
      <c r="K555" t="s" s="72">
        <v>873</v>
      </c>
      <c r="L555" t="s" s="72">
        <v>121</v>
      </c>
      <c r="M555" s="71"/>
      <c r="N555" s="71"/>
      <c r="O555" s="71"/>
      <c r="P555" s="73">
        <v>2</v>
      </c>
      <c r="Q555" s="74">
        <v>6</v>
      </c>
      <c r="R555" s="74">
        <v>7.5</v>
      </c>
      <c r="S555" s="73">
        <v>1</v>
      </c>
      <c r="T555" s="73">
        <v>0</v>
      </c>
      <c r="U555" t="s" s="72">
        <v>122</v>
      </c>
      <c r="V555" s="71"/>
      <c r="W555" s="71"/>
      <c r="X555" s="71"/>
      <c r="Y555" s="71"/>
      <c r="Z555" s="71"/>
      <c r="AA555" s="71"/>
      <c r="AB555" t="s" s="72">
        <v>124</v>
      </c>
      <c r="AC555" t="s" s="72">
        <v>124</v>
      </c>
      <c r="AD555" t="s" s="75">
        <v>125</v>
      </c>
      <c r="AE555" s="67"/>
    </row>
    <row r="556" ht="15" customHeight="1">
      <c r="A556" t="s" s="87">
        <v>32</v>
      </c>
      <c r="B556" s="76">
        <v>27.4</v>
      </c>
      <c r="C556" t="b" s="77">
        <v>0</v>
      </c>
      <c r="D556" s="78"/>
      <c r="E556" t="s" s="79">
        <v>1145</v>
      </c>
      <c r="F556" t="s" s="79">
        <v>159</v>
      </c>
      <c r="G556" s="80">
        <v>13</v>
      </c>
      <c r="H556" t="s" s="79">
        <v>175</v>
      </c>
      <c r="I556" t="s" s="79">
        <v>175</v>
      </c>
      <c r="J556" s="80">
        <v>29</v>
      </c>
      <c r="K556" t="s" s="79">
        <v>466</v>
      </c>
      <c r="L556" t="s" s="79">
        <v>121</v>
      </c>
      <c r="M556" s="78"/>
      <c r="N556" s="78"/>
      <c r="O556" s="78"/>
      <c r="P556" s="80">
        <v>1</v>
      </c>
      <c r="Q556" s="81">
        <v>4.5</v>
      </c>
      <c r="R556" s="81">
        <v>4.5</v>
      </c>
      <c r="S556" s="80">
        <v>0</v>
      </c>
      <c r="T556" s="80">
        <v>0</v>
      </c>
      <c r="U556" t="s" s="79">
        <v>122</v>
      </c>
      <c r="V556" s="80">
        <v>12</v>
      </c>
      <c r="W556" s="81">
        <v>5.75</v>
      </c>
      <c r="X556" s="81">
        <v>5.83</v>
      </c>
      <c r="Y556" s="80">
        <v>0</v>
      </c>
      <c r="Z556" s="80">
        <v>1</v>
      </c>
      <c r="AA556" t="s" s="79">
        <v>123</v>
      </c>
      <c r="AB556" t="s" s="79">
        <v>124</v>
      </c>
      <c r="AC556" t="s" s="79">
        <v>124</v>
      </c>
      <c r="AD556" t="s" s="82">
        <v>125</v>
      </c>
      <c r="AE556" s="67"/>
    </row>
    <row r="557" ht="15" customHeight="1">
      <c r="A557" t="s" s="87">
        <v>32</v>
      </c>
      <c r="B557" s="69">
        <v>27.3</v>
      </c>
      <c r="C557" t="b" s="70">
        <v>0</v>
      </c>
      <c r="D557" s="71"/>
      <c r="E557" t="s" s="72">
        <v>1146</v>
      </c>
      <c r="F557" t="s" s="72">
        <v>138</v>
      </c>
      <c r="G557" s="73">
        <v>19</v>
      </c>
      <c r="H557" t="s" s="72">
        <v>175</v>
      </c>
      <c r="I557" t="s" s="72">
        <v>1147</v>
      </c>
      <c r="J557" s="73">
        <v>19</v>
      </c>
      <c r="K557" t="s" s="72">
        <v>437</v>
      </c>
      <c r="L557" t="s" s="72">
        <v>121</v>
      </c>
      <c r="M557" s="71"/>
      <c r="N557" s="71"/>
      <c r="O557" t="s" s="88">
        <v>889</v>
      </c>
      <c r="P557" s="73">
        <v>0</v>
      </c>
      <c r="Q557" s="74">
        <v>0</v>
      </c>
      <c r="R557" s="74">
        <v>0</v>
      </c>
      <c r="S557" s="73">
        <v>0</v>
      </c>
      <c r="T557" s="73">
        <v>0</v>
      </c>
      <c r="U557" t="s" s="72">
        <v>122</v>
      </c>
      <c r="V557" s="73">
        <v>25</v>
      </c>
      <c r="W557" s="74">
        <v>5.94</v>
      </c>
      <c r="X557" s="74">
        <v>6.26</v>
      </c>
      <c r="Y557" s="73">
        <v>3</v>
      </c>
      <c r="Z557" s="73">
        <v>0</v>
      </c>
      <c r="AA557" t="s" s="72">
        <v>123</v>
      </c>
      <c r="AB557" t="s" s="72">
        <v>124</v>
      </c>
      <c r="AC557" t="s" s="72">
        <v>124</v>
      </c>
      <c r="AD557" t="s" s="75">
        <v>125</v>
      </c>
      <c r="AE557" s="67"/>
    </row>
    <row r="558" ht="15" customHeight="1">
      <c r="A558" t="s" s="87">
        <v>32</v>
      </c>
      <c r="B558" s="76">
        <v>27.1</v>
      </c>
      <c r="C558" t="b" s="77">
        <v>0</v>
      </c>
      <c r="D558" s="78"/>
      <c r="E558" t="s" s="79">
        <v>1148</v>
      </c>
      <c r="F558" t="s" s="79">
        <v>147</v>
      </c>
      <c r="G558" s="80">
        <v>10</v>
      </c>
      <c r="H558" t="s" s="79">
        <v>175</v>
      </c>
      <c r="I558" t="s" s="79">
        <v>176</v>
      </c>
      <c r="J558" s="80">
        <v>25</v>
      </c>
      <c r="K558" t="s" s="79">
        <v>128</v>
      </c>
      <c r="L558" t="s" s="79">
        <v>121</v>
      </c>
      <c r="M558" s="78"/>
      <c r="N558" s="78"/>
      <c r="O558" s="78"/>
      <c r="P558" s="80">
        <v>1</v>
      </c>
      <c r="Q558" s="81">
        <v>6</v>
      </c>
      <c r="R558" s="81">
        <v>6</v>
      </c>
      <c r="S558" s="80">
        <v>0</v>
      </c>
      <c r="T558" s="80">
        <v>0</v>
      </c>
      <c r="U558" t="s" s="79">
        <v>122</v>
      </c>
      <c r="V558" s="80">
        <v>11</v>
      </c>
      <c r="W558" s="81">
        <v>6</v>
      </c>
      <c r="X558" s="81">
        <v>6.5</v>
      </c>
      <c r="Y558" s="80">
        <v>2</v>
      </c>
      <c r="Z558" s="80">
        <v>1</v>
      </c>
      <c r="AA558" t="s" s="79">
        <v>123</v>
      </c>
      <c r="AB558" t="s" s="79">
        <v>124</v>
      </c>
      <c r="AC558" t="s" s="79">
        <v>124</v>
      </c>
      <c r="AD558" t="s" s="82">
        <v>125</v>
      </c>
      <c r="AE558" s="67"/>
    </row>
    <row r="559" ht="15" customHeight="1">
      <c r="A559" t="s" s="87">
        <v>32</v>
      </c>
      <c r="B559" s="69">
        <v>25.5</v>
      </c>
      <c r="C559" t="b" s="70">
        <v>0</v>
      </c>
      <c r="D559" t="s" s="84">
        <v>161</v>
      </c>
      <c r="E559" t="s" s="72">
        <v>1149</v>
      </c>
      <c r="F559" t="s" s="72">
        <v>180</v>
      </c>
      <c r="G559" s="73">
        <v>10</v>
      </c>
      <c r="H559" t="s" s="72">
        <v>1150</v>
      </c>
      <c r="I559" t="s" s="72">
        <v>1151</v>
      </c>
      <c r="J559" s="73">
        <v>20</v>
      </c>
      <c r="K559" t="s" s="72">
        <v>597</v>
      </c>
      <c r="L559" t="s" s="72">
        <v>154</v>
      </c>
      <c r="M559" s="71"/>
      <c r="N559" s="71"/>
      <c r="O559" s="71"/>
      <c r="P559" s="73">
        <v>2</v>
      </c>
      <c r="Q559" s="74">
        <v>5.75</v>
      </c>
      <c r="R559" s="74">
        <v>5.75</v>
      </c>
      <c r="S559" s="73">
        <v>0</v>
      </c>
      <c r="T559" s="73">
        <v>0</v>
      </c>
      <c r="U559" t="s" s="72">
        <v>122</v>
      </c>
      <c r="V559" s="73">
        <v>1</v>
      </c>
      <c r="W559" s="74">
        <v>5.5</v>
      </c>
      <c r="X559" s="74">
        <v>5.5</v>
      </c>
      <c r="Y559" s="73">
        <v>0</v>
      </c>
      <c r="Z559" s="73">
        <v>0</v>
      </c>
      <c r="AA559" t="s" s="72">
        <v>123</v>
      </c>
      <c r="AB559" t="s" s="72">
        <v>124</v>
      </c>
      <c r="AC559" t="s" s="72">
        <v>124</v>
      </c>
      <c r="AD559" t="s" s="75">
        <v>125</v>
      </c>
      <c r="AE559" s="67"/>
    </row>
    <row r="560" ht="15" customHeight="1">
      <c r="A560" t="s" s="87">
        <v>32</v>
      </c>
      <c r="B560" s="76">
        <v>23.3</v>
      </c>
      <c r="C560" t="b" s="77">
        <v>0</v>
      </c>
      <c r="D560" t="s" s="85">
        <v>191</v>
      </c>
      <c r="E560" t="s" s="79">
        <v>1152</v>
      </c>
      <c r="F560" t="s" s="79">
        <v>130</v>
      </c>
      <c r="G560" s="80">
        <v>10</v>
      </c>
      <c r="H560" t="s" s="79">
        <v>175</v>
      </c>
      <c r="I560" t="s" s="79">
        <v>754</v>
      </c>
      <c r="J560" s="80">
        <v>18</v>
      </c>
      <c r="K560" t="s" s="79">
        <v>128</v>
      </c>
      <c r="L560" t="s" s="79">
        <v>154</v>
      </c>
      <c r="M560" s="78"/>
      <c r="N560" s="78"/>
      <c r="O560" s="78"/>
      <c r="P560" s="80">
        <v>0</v>
      </c>
      <c r="Q560" s="81">
        <v>0</v>
      </c>
      <c r="R560" s="81">
        <v>0</v>
      </c>
      <c r="S560" s="80">
        <v>0</v>
      </c>
      <c r="T560" s="80">
        <v>0</v>
      </c>
      <c r="U560" t="s" s="79">
        <v>122</v>
      </c>
      <c r="V560" s="80">
        <v>18</v>
      </c>
      <c r="W560" s="81">
        <v>5.67</v>
      </c>
      <c r="X560" s="81">
        <v>5.64</v>
      </c>
      <c r="Y560" s="80">
        <v>1</v>
      </c>
      <c r="Z560" s="80">
        <v>0</v>
      </c>
      <c r="AA560" t="s" s="79">
        <v>670</v>
      </c>
      <c r="AB560" t="s" s="79">
        <v>124</v>
      </c>
      <c r="AC560" t="s" s="79">
        <v>124</v>
      </c>
      <c r="AD560" t="s" s="82">
        <v>125</v>
      </c>
      <c r="AE560" s="67"/>
    </row>
    <row r="561" ht="15" customHeight="1">
      <c r="A561" t="s" s="87">
        <v>32</v>
      </c>
      <c r="B561" s="69">
        <v>22.4</v>
      </c>
      <c r="C561" t="b" s="70">
        <v>0</v>
      </c>
      <c r="D561" s="71"/>
      <c r="E561" t="s" s="72">
        <v>1153</v>
      </c>
      <c r="F561" t="s" s="72">
        <v>144</v>
      </c>
      <c r="G561" s="73">
        <v>12</v>
      </c>
      <c r="H561" t="s" s="72">
        <v>175</v>
      </c>
      <c r="I561" t="s" s="72">
        <v>445</v>
      </c>
      <c r="J561" s="73">
        <v>23</v>
      </c>
      <c r="K561" t="s" s="72">
        <v>1154</v>
      </c>
      <c r="L561" t="s" s="72">
        <v>121</v>
      </c>
      <c r="M561" s="71"/>
      <c r="N561" s="71"/>
      <c r="O561" s="71"/>
      <c r="P561" s="73">
        <v>0</v>
      </c>
      <c r="Q561" s="74">
        <v>0</v>
      </c>
      <c r="R561" s="74">
        <v>0</v>
      </c>
      <c r="S561" s="73">
        <v>0</v>
      </c>
      <c r="T561" s="73">
        <v>0</v>
      </c>
      <c r="U561" t="s" s="72">
        <v>122</v>
      </c>
      <c r="V561" s="71"/>
      <c r="W561" s="71"/>
      <c r="X561" s="71"/>
      <c r="Y561" s="71"/>
      <c r="Z561" s="71"/>
      <c r="AA561" s="71"/>
      <c r="AB561" t="s" s="72">
        <v>124</v>
      </c>
      <c r="AC561" t="s" s="72">
        <v>124</v>
      </c>
      <c r="AD561" t="s" s="75">
        <v>125</v>
      </c>
      <c r="AE561" s="67"/>
    </row>
    <row r="562" ht="15" customHeight="1">
      <c r="A562" t="s" s="87">
        <v>32</v>
      </c>
      <c r="B562" s="76">
        <v>22.4</v>
      </c>
      <c r="C562" t="b" s="77">
        <v>0</v>
      </c>
      <c r="D562" s="78"/>
      <c r="E562" t="s" s="79">
        <v>1155</v>
      </c>
      <c r="F562" t="s" s="79">
        <v>187</v>
      </c>
      <c r="G562" s="80">
        <v>12</v>
      </c>
      <c r="H562" t="s" s="79">
        <v>175</v>
      </c>
      <c r="I562" t="s" s="79">
        <v>445</v>
      </c>
      <c r="J562" s="80">
        <v>31</v>
      </c>
      <c r="K562" t="s" s="79">
        <v>190</v>
      </c>
      <c r="L562" s="78"/>
      <c r="M562" s="78"/>
      <c r="N562" s="78"/>
      <c r="O562" s="78"/>
      <c r="P562" s="78"/>
      <c r="Q562" s="78"/>
      <c r="R562" s="78"/>
      <c r="S562" s="78"/>
      <c r="T562" s="78"/>
      <c r="U562" s="78"/>
      <c r="V562" s="78"/>
      <c r="W562" s="78"/>
      <c r="X562" s="78"/>
      <c r="Y562" s="78"/>
      <c r="Z562" s="78"/>
      <c r="AA562" s="78"/>
      <c r="AB562" t="s" s="79">
        <v>125</v>
      </c>
      <c r="AC562" s="78"/>
      <c r="AD562" t="s" s="82">
        <v>125</v>
      </c>
      <c r="AE562" s="67"/>
    </row>
    <row r="563" ht="15" customHeight="1">
      <c r="A563" t="s" s="87">
        <v>32</v>
      </c>
      <c r="B563" s="69">
        <v>22.1</v>
      </c>
      <c r="C563" t="b" s="70">
        <v>0</v>
      </c>
      <c r="D563" s="71"/>
      <c r="E563" t="s" s="72">
        <v>326</v>
      </c>
      <c r="F563" t="s" s="72">
        <v>183</v>
      </c>
      <c r="G563" s="73">
        <v>10</v>
      </c>
      <c r="H563" t="s" s="72">
        <v>175</v>
      </c>
      <c r="I563" t="s" s="72">
        <v>175</v>
      </c>
      <c r="J563" s="73">
        <v>26</v>
      </c>
      <c r="K563" t="s" s="72">
        <v>881</v>
      </c>
      <c r="L563" t="s" s="72">
        <v>328</v>
      </c>
      <c r="M563" s="71"/>
      <c r="N563" s="71"/>
      <c r="O563" s="71"/>
      <c r="P563" s="73">
        <v>0</v>
      </c>
      <c r="Q563" s="74">
        <v>0</v>
      </c>
      <c r="R563" s="74">
        <v>0</v>
      </c>
      <c r="S563" s="73">
        <v>0</v>
      </c>
      <c r="T563" s="73">
        <v>0</v>
      </c>
      <c r="U563" t="s" s="72">
        <v>122</v>
      </c>
      <c r="V563" s="73">
        <v>21</v>
      </c>
      <c r="W563" s="74">
        <v>6.26</v>
      </c>
      <c r="X563" s="74">
        <v>6.48</v>
      </c>
      <c r="Y563" s="73">
        <v>2</v>
      </c>
      <c r="Z563" s="73">
        <v>0</v>
      </c>
      <c r="AA563" t="s" s="72">
        <v>123</v>
      </c>
      <c r="AB563" t="s" s="72">
        <v>124</v>
      </c>
      <c r="AC563" t="s" s="72">
        <v>124</v>
      </c>
      <c r="AD563" t="s" s="75">
        <v>125</v>
      </c>
      <c r="AE563" s="67"/>
    </row>
    <row r="564" ht="15" customHeight="1">
      <c r="A564" t="s" s="87">
        <v>32</v>
      </c>
      <c r="B564" s="76">
        <v>21.5</v>
      </c>
      <c r="C564" t="b" s="77">
        <v>0</v>
      </c>
      <c r="D564" t="s" s="85">
        <v>191</v>
      </c>
      <c r="E564" t="s" s="79">
        <v>1156</v>
      </c>
      <c r="F564" t="s" s="79">
        <v>193</v>
      </c>
      <c r="G564" s="80">
        <v>2</v>
      </c>
      <c r="H564" t="s" s="79">
        <v>1157</v>
      </c>
      <c r="I564" t="s" s="79">
        <v>1158</v>
      </c>
      <c r="J564" s="80">
        <v>18</v>
      </c>
      <c r="K564" t="s" s="79">
        <v>128</v>
      </c>
      <c r="L564" t="s" s="79">
        <v>121</v>
      </c>
      <c r="M564" s="78"/>
      <c r="N564" s="78"/>
      <c r="O564" s="78"/>
      <c r="P564" s="80">
        <v>2</v>
      </c>
      <c r="Q564" s="81">
        <v>6</v>
      </c>
      <c r="R564" s="81">
        <v>6</v>
      </c>
      <c r="S564" s="80">
        <v>0</v>
      </c>
      <c r="T564" s="80">
        <v>0</v>
      </c>
      <c r="U564" t="s" s="79">
        <v>122</v>
      </c>
      <c r="V564" s="78"/>
      <c r="W564" s="78"/>
      <c r="X564" s="78"/>
      <c r="Y564" s="78"/>
      <c r="Z564" s="78"/>
      <c r="AA564" s="78"/>
      <c r="AB564" t="s" s="79">
        <v>124</v>
      </c>
      <c r="AC564" t="s" s="79">
        <v>124</v>
      </c>
      <c r="AD564" t="s" s="82">
        <v>125</v>
      </c>
      <c r="AE564" s="67"/>
    </row>
    <row r="565" ht="15" customHeight="1">
      <c r="A565" t="s" s="87">
        <v>32</v>
      </c>
      <c r="B565" s="69">
        <v>20.6</v>
      </c>
      <c r="C565" t="b" s="70">
        <v>0</v>
      </c>
      <c r="D565" s="71"/>
      <c r="E565" t="s" s="72">
        <v>1159</v>
      </c>
      <c r="F565" t="s" s="72">
        <v>138</v>
      </c>
      <c r="G565" s="73">
        <v>10</v>
      </c>
      <c r="H565" t="s" s="72">
        <v>175</v>
      </c>
      <c r="I565" t="s" s="72">
        <v>175</v>
      </c>
      <c r="J565" s="73">
        <v>32</v>
      </c>
      <c r="K565" t="s" s="72">
        <v>145</v>
      </c>
      <c r="L565" t="s" s="72">
        <v>154</v>
      </c>
      <c r="M565" s="71"/>
      <c r="N565" s="71"/>
      <c r="O565" s="71"/>
      <c r="P565" s="73">
        <v>0</v>
      </c>
      <c r="Q565" s="74">
        <v>0</v>
      </c>
      <c r="R565" s="74">
        <v>0</v>
      </c>
      <c r="S565" s="73">
        <v>0</v>
      </c>
      <c r="T565" s="73">
        <v>0</v>
      </c>
      <c r="U565" t="s" s="72">
        <v>122</v>
      </c>
      <c r="V565" s="73">
        <v>2</v>
      </c>
      <c r="W565" s="74">
        <v>6</v>
      </c>
      <c r="X565" s="74">
        <v>6</v>
      </c>
      <c r="Y565" s="73">
        <v>0</v>
      </c>
      <c r="Z565" s="73">
        <v>0</v>
      </c>
      <c r="AA565" t="s" s="72">
        <v>123</v>
      </c>
      <c r="AB565" t="s" s="72">
        <v>124</v>
      </c>
      <c r="AC565" t="s" s="72">
        <v>124</v>
      </c>
      <c r="AD565" t="s" s="75">
        <v>125</v>
      </c>
      <c r="AE565" s="67"/>
    </row>
    <row r="566" ht="15" customHeight="1">
      <c r="A566" t="s" s="87">
        <v>32</v>
      </c>
      <c r="B566" s="76">
        <v>20.5</v>
      </c>
      <c r="C566" t="b" s="77">
        <v>0</v>
      </c>
      <c r="D566" s="78"/>
      <c r="E566" t="s" s="79">
        <v>1160</v>
      </c>
      <c r="F566" t="s" s="79">
        <v>168</v>
      </c>
      <c r="G566" s="80">
        <v>10</v>
      </c>
      <c r="H566" t="s" s="79">
        <v>175</v>
      </c>
      <c r="I566" t="s" s="79">
        <v>493</v>
      </c>
      <c r="J566" s="80">
        <v>22</v>
      </c>
      <c r="K566" t="s" s="79">
        <v>1161</v>
      </c>
      <c r="L566" t="s" s="79">
        <v>121</v>
      </c>
      <c r="M566" s="78"/>
      <c r="N566" s="78"/>
      <c r="O566" s="78"/>
      <c r="P566" s="80">
        <v>1</v>
      </c>
      <c r="Q566" s="81">
        <v>6</v>
      </c>
      <c r="R566" s="81">
        <v>6</v>
      </c>
      <c r="S566" s="80">
        <v>0</v>
      </c>
      <c r="T566" s="80">
        <v>0</v>
      </c>
      <c r="U566" t="s" s="79">
        <v>122</v>
      </c>
      <c r="V566" s="78"/>
      <c r="W566" s="78"/>
      <c r="X566" s="78"/>
      <c r="Y566" s="78"/>
      <c r="Z566" s="78"/>
      <c r="AA566" s="78"/>
      <c r="AB566" t="s" s="79">
        <v>124</v>
      </c>
      <c r="AC566" t="s" s="79">
        <v>124</v>
      </c>
      <c r="AD566" t="s" s="82">
        <v>125</v>
      </c>
      <c r="AE566" s="67"/>
    </row>
    <row r="567" ht="15" customHeight="1">
      <c r="A567" t="s" s="87">
        <v>32</v>
      </c>
      <c r="B567" s="69">
        <v>19.6</v>
      </c>
      <c r="C567" t="b" s="70">
        <v>0</v>
      </c>
      <c r="D567" s="71"/>
      <c r="E567" t="s" s="72">
        <v>1162</v>
      </c>
      <c r="F567" t="s" s="72">
        <v>147</v>
      </c>
      <c r="G567" s="73">
        <v>6</v>
      </c>
      <c r="H567" t="s" s="72">
        <v>175</v>
      </c>
      <c r="I567" t="s" s="72">
        <v>203</v>
      </c>
      <c r="J567" s="73">
        <v>19</v>
      </c>
      <c r="K567" t="s" s="72">
        <v>190</v>
      </c>
      <c r="L567" t="s" s="72">
        <v>154</v>
      </c>
      <c r="M567" s="71"/>
      <c r="N567" s="71"/>
      <c r="O567" s="71"/>
      <c r="P567" s="73">
        <v>2</v>
      </c>
      <c r="Q567" s="74">
        <v>5.75</v>
      </c>
      <c r="R567" s="74">
        <v>5.75</v>
      </c>
      <c r="S567" s="73">
        <v>0</v>
      </c>
      <c r="T567" s="73">
        <v>0</v>
      </c>
      <c r="U567" t="s" s="72">
        <v>122</v>
      </c>
      <c r="V567" s="73">
        <v>8</v>
      </c>
      <c r="W567" s="74">
        <v>5.94</v>
      </c>
      <c r="X567" s="74">
        <v>6.62</v>
      </c>
      <c r="Y567" s="73">
        <v>2</v>
      </c>
      <c r="Z567" s="73">
        <v>0</v>
      </c>
      <c r="AA567" t="s" s="72">
        <v>123</v>
      </c>
      <c r="AB567" t="s" s="72">
        <v>124</v>
      </c>
      <c r="AC567" t="s" s="72">
        <v>124</v>
      </c>
      <c r="AD567" t="s" s="75">
        <v>125</v>
      </c>
      <c r="AE567" s="67"/>
    </row>
    <row r="568" ht="15" customHeight="1">
      <c r="A568" t="s" s="87">
        <v>32</v>
      </c>
      <c r="B568" s="76">
        <v>19</v>
      </c>
      <c r="C568" t="b" s="77">
        <v>0</v>
      </c>
      <c r="D568" s="78"/>
      <c r="E568" t="s" s="79">
        <v>1163</v>
      </c>
      <c r="F568" t="s" s="79">
        <v>183</v>
      </c>
      <c r="G568" s="80">
        <v>10</v>
      </c>
      <c r="H568" t="s" s="79">
        <v>175</v>
      </c>
      <c r="I568" t="s" s="79">
        <v>493</v>
      </c>
      <c r="J568" s="80">
        <v>20</v>
      </c>
      <c r="K568" t="s" s="79">
        <v>145</v>
      </c>
      <c r="L568" t="s" s="79">
        <v>121</v>
      </c>
      <c r="M568" s="78"/>
      <c r="N568" s="78"/>
      <c r="O568" s="78"/>
      <c r="P568" s="80">
        <v>0</v>
      </c>
      <c r="Q568" s="81">
        <v>0</v>
      </c>
      <c r="R568" s="81">
        <v>0</v>
      </c>
      <c r="S568" s="80">
        <v>0</v>
      </c>
      <c r="T568" s="80">
        <v>0</v>
      </c>
      <c r="U568" t="s" s="79">
        <v>122</v>
      </c>
      <c r="V568" s="78"/>
      <c r="W568" s="78"/>
      <c r="X568" s="78"/>
      <c r="Y568" s="78"/>
      <c r="Z568" s="78"/>
      <c r="AA568" s="78"/>
      <c r="AB568" t="s" s="79">
        <v>124</v>
      </c>
      <c r="AC568" t="s" s="79">
        <v>124</v>
      </c>
      <c r="AD568" t="s" s="82">
        <v>125</v>
      </c>
      <c r="AE568" s="67"/>
    </row>
    <row r="569" ht="15" customHeight="1">
      <c r="A569" t="s" s="87">
        <v>32</v>
      </c>
      <c r="B569" s="69">
        <v>19</v>
      </c>
      <c r="C569" t="b" s="70">
        <v>0</v>
      </c>
      <c r="D569" s="71"/>
      <c r="E569" t="s" s="72">
        <v>1164</v>
      </c>
      <c r="F569" t="s" s="72">
        <v>193</v>
      </c>
      <c r="G569" s="73">
        <v>10</v>
      </c>
      <c r="H569" t="s" s="72">
        <v>175</v>
      </c>
      <c r="I569" t="s" s="72">
        <v>445</v>
      </c>
      <c r="J569" s="73">
        <v>23</v>
      </c>
      <c r="K569" t="s" s="72">
        <v>395</v>
      </c>
      <c r="L569" t="s" s="72">
        <v>154</v>
      </c>
      <c r="M569" s="71"/>
      <c r="N569" s="71"/>
      <c r="O569" s="71"/>
      <c r="P569" s="73">
        <v>0</v>
      </c>
      <c r="Q569" s="74">
        <v>0</v>
      </c>
      <c r="R569" s="74">
        <v>0</v>
      </c>
      <c r="S569" s="73">
        <v>0</v>
      </c>
      <c r="T569" s="73">
        <v>0</v>
      </c>
      <c r="U569" t="s" s="72">
        <v>122</v>
      </c>
      <c r="V569" s="73">
        <v>0</v>
      </c>
      <c r="W569" s="74">
        <v>0</v>
      </c>
      <c r="X569" s="74">
        <v>0</v>
      </c>
      <c r="Y569" s="73">
        <v>0</v>
      </c>
      <c r="Z569" s="73">
        <v>0</v>
      </c>
      <c r="AA569" t="s" s="72">
        <v>123</v>
      </c>
      <c r="AB569" t="s" s="72">
        <v>124</v>
      </c>
      <c r="AC569" t="s" s="72">
        <v>124</v>
      </c>
      <c r="AD569" t="s" s="75">
        <v>125</v>
      </c>
      <c r="AE569" s="67"/>
    </row>
    <row r="570" ht="15" customHeight="1">
      <c r="A570" t="s" s="87">
        <v>32</v>
      </c>
      <c r="B570" s="76">
        <v>16.2</v>
      </c>
      <c r="C570" t="b" s="77">
        <v>0</v>
      </c>
      <c r="D570" s="78"/>
      <c r="E570" t="s" s="79">
        <v>1165</v>
      </c>
      <c r="F570" t="s" s="79">
        <v>187</v>
      </c>
      <c r="G570" s="80">
        <v>9</v>
      </c>
      <c r="H570" t="s" s="79">
        <v>175</v>
      </c>
      <c r="I570" t="s" s="79">
        <v>493</v>
      </c>
      <c r="J570" s="80">
        <v>19</v>
      </c>
      <c r="K570" t="s" s="79">
        <v>304</v>
      </c>
      <c r="L570" t="s" s="79">
        <v>121</v>
      </c>
      <c r="M570" s="78"/>
      <c r="N570" s="78"/>
      <c r="O570" s="78"/>
      <c r="P570" s="80">
        <v>0</v>
      </c>
      <c r="Q570" s="81">
        <v>0</v>
      </c>
      <c r="R570" s="81">
        <v>0</v>
      </c>
      <c r="S570" s="80">
        <v>0</v>
      </c>
      <c r="T570" s="80">
        <v>0</v>
      </c>
      <c r="U570" t="s" s="79">
        <v>122</v>
      </c>
      <c r="V570" s="78"/>
      <c r="W570" s="78"/>
      <c r="X570" s="78"/>
      <c r="Y570" s="78"/>
      <c r="Z570" s="78"/>
      <c r="AA570" s="78"/>
      <c r="AB570" t="s" s="79">
        <v>124</v>
      </c>
      <c r="AC570" t="s" s="79">
        <v>124</v>
      </c>
      <c r="AD570" t="s" s="82">
        <v>125</v>
      </c>
      <c r="AE570" s="67"/>
    </row>
    <row r="571" ht="15" customHeight="1">
      <c r="A571" t="s" s="87">
        <v>32</v>
      </c>
      <c r="B571" s="69">
        <v>16.2</v>
      </c>
      <c r="C571" t="b" s="70">
        <v>0</v>
      </c>
      <c r="D571" s="71"/>
      <c r="E571" t="s" s="72">
        <v>1166</v>
      </c>
      <c r="F571" t="s" s="72">
        <v>144</v>
      </c>
      <c r="G571" s="73">
        <v>9</v>
      </c>
      <c r="H571" t="s" s="72">
        <v>175</v>
      </c>
      <c r="I571" t="s" s="72">
        <v>445</v>
      </c>
      <c r="J571" s="73">
        <v>28</v>
      </c>
      <c r="K571" t="s" s="72">
        <v>197</v>
      </c>
      <c r="L571" t="s" s="72">
        <v>121</v>
      </c>
      <c r="M571" s="71"/>
      <c r="N571" s="71"/>
      <c r="O571" s="71"/>
      <c r="P571" s="71"/>
      <c r="Q571" s="71"/>
      <c r="R571" s="71"/>
      <c r="S571" s="71"/>
      <c r="T571" s="71"/>
      <c r="U571" s="71"/>
      <c r="V571" s="73">
        <v>0</v>
      </c>
      <c r="W571" s="74">
        <v>0</v>
      </c>
      <c r="X571" s="74">
        <v>0</v>
      </c>
      <c r="Y571" s="73">
        <v>0</v>
      </c>
      <c r="Z571" s="73">
        <v>0</v>
      </c>
      <c r="AA571" t="s" s="72">
        <v>123</v>
      </c>
      <c r="AB571" t="s" s="72">
        <v>125</v>
      </c>
      <c r="AC571" s="71"/>
      <c r="AD571" t="s" s="75">
        <v>125</v>
      </c>
      <c r="AE571" s="67"/>
    </row>
    <row r="572" ht="15" customHeight="1">
      <c r="A572" t="s" s="87">
        <v>32</v>
      </c>
      <c r="B572" s="76">
        <v>15.3</v>
      </c>
      <c r="C572" t="b" s="77">
        <v>0</v>
      </c>
      <c r="D572" s="78"/>
      <c r="E572" t="s" s="79">
        <v>1167</v>
      </c>
      <c r="F572" t="s" s="79">
        <v>156</v>
      </c>
      <c r="G572" s="80">
        <v>8</v>
      </c>
      <c r="H572" t="s" s="79">
        <v>175</v>
      </c>
      <c r="I572" t="s" s="79">
        <v>445</v>
      </c>
      <c r="J572" s="78"/>
      <c r="K572" s="78"/>
      <c r="L572" s="78"/>
      <c r="M572" s="78"/>
      <c r="N572" s="78"/>
      <c r="O572" s="78"/>
      <c r="P572" s="78"/>
      <c r="Q572" s="78"/>
      <c r="R572" s="78"/>
      <c r="S572" s="78"/>
      <c r="T572" s="78"/>
      <c r="U572" s="78"/>
      <c r="V572" s="78"/>
      <c r="W572" s="78"/>
      <c r="X572" s="78"/>
      <c r="Y572" s="78"/>
      <c r="Z572" s="78"/>
      <c r="AA572" s="78"/>
      <c r="AB572" t="s" s="79">
        <v>125</v>
      </c>
      <c r="AC572" s="78"/>
      <c r="AD572" t="s" s="82">
        <v>125</v>
      </c>
      <c r="AE572" s="67"/>
    </row>
    <row r="573" ht="15" customHeight="1">
      <c r="A573" t="s" s="87">
        <v>32</v>
      </c>
      <c r="B573" s="69">
        <v>15.3</v>
      </c>
      <c r="C573" t="b" s="70">
        <v>0</v>
      </c>
      <c r="D573" s="71"/>
      <c r="E573" t="s" s="72">
        <v>1168</v>
      </c>
      <c r="F573" t="s" s="72">
        <v>193</v>
      </c>
      <c r="G573" s="73">
        <v>3</v>
      </c>
      <c r="H573" t="s" s="72">
        <v>175</v>
      </c>
      <c r="I573" t="s" s="72">
        <v>203</v>
      </c>
      <c r="J573" s="73">
        <v>19</v>
      </c>
      <c r="K573" t="s" s="72">
        <v>1055</v>
      </c>
      <c r="L573" t="s" s="72">
        <v>121</v>
      </c>
      <c r="M573" s="71"/>
      <c r="N573" s="71"/>
      <c r="O573" s="71"/>
      <c r="P573" s="73">
        <v>1</v>
      </c>
      <c r="Q573" s="74">
        <v>5.5</v>
      </c>
      <c r="R573" s="74">
        <v>5.5</v>
      </c>
      <c r="S573" s="73">
        <v>0</v>
      </c>
      <c r="T573" s="73">
        <v>0</v>
      </c>
      <c r="U573" t="s" s="72">
        <v>122</v>
      </c>
      <c r="V573" s="73">
        <v>25</v>
      </c>
      <c r="W573" s="74">
        <v>5.66</v>
      </c>
      <c r="X573" s="74">
        <v>5.84</v>
      </c>
      <c r="Y573" s="73">
        <v>1</v>
      </c>
      <c r="Z573" s="73">
        <v>2</v>
      </c>
      <c r="AA573" t="s" s="72">
        <v>123</v>
      </c>
      <c r="AB573" t="s" s="72">
        <v>124</v>
      </c>
      <c r="AC573" t="s" s="72">
        <v>124</v>
      </c>
      <c r="AD573" t="s" s="75">
        <v>125</v>
      </c>
      <c r="AE573" s="67"/>
    </row>
    <row r="574" ht="15" customHeight="1">
      <c r="A574" t="s" s="87">
        <v>32</v>
      </c>
      <c r="B574" s="76">
        <v>14.2</v>
      </c>
      <c r="C574" t="b" s="77">
        <v>0</v>
      </c>
      <c r="D574" s="78"/>
      <c r="E574" t="s" s="79">
        <v>1169</v>
      </c>
      <c r="F574" t="s" s="79">
        <v>187</v>
      </c>
      <c r="G574" s="80">
        <v>3</v>
      </c>
      <c r="H574" t="s" s="79">
        <v>175</v>
      </c>
      <c r="I574" t="s" s="79">
        <v>203</v>
      </c>
      <c r="J574" s="80">
        <v>21</v>
      </c>
      <c r="K574" t="s" s="79">
        <v>204</v>
      </c>
      <c r="L574" s="78"/>
      <c r="M574" s="78"/>
      <c r="N574" s="78"/>
      <c r="O574" s="78"/>
      <c r="P574" s="78"/>
      <c r="Q574" s="78"/>
      <c r="R574" s="78"/>
      <c r="S574" s="78"/>
      <c r="T574" s="78"/>
      <c r="U574" s="78"/>
      <c r="V574" s="80">
        <v>29</v>
      </c>
      <c r="W574" s="81">
        <v>5.91</v>
      </c>
      <c r="X574" s="81">
        <v>6.05</v>
      </c>
      <c r="Y574" s="80">
        <v>1</v>
      </c>
      <c r="Z574" s="80">
        <v>5</v>
      </c>
      <c r="AA574" t="s" s="79">
        <v>670</v>
      </c>
      <c r="AB574" t="s" s="79">
        <v>125</v>
      </c>
      <c r="AC574" s="78"/>
      <c r="AD574" t="s" s="82">
        <v>125</v>
      </c>
      <c r="AE574" s="67"/>
    </row>
    <row r="575" ht="15" customHeight="1">
      <c r="A575" t="s" s="87">
        <v>32</v>
      </c>
      <c r="B575" s="69">
        <v>14.2</v>
      </c>
      <c r="C575" t="b" s="70">
        <v>0</v>
      </c>
      <c r="D575" s="71"/>
      <c r="E575" t="s" s="72">
        <v>1170</v>
      </c>
      <c r="F575" t="s" s="72">
        <v>183</v>
      </c>
      <c r="G575" s="73">
        <v>6</v>
      </c>
      <c r="H575" t="s" s="72">
        <v>175</v>
      </c>
      <c r="I575" t="s" s="72">
        <v>445</v>
      </c>
      <c r="J575" s="73">
        <v>28</v>
      </c>
      <c r="K575" t="s" s="72">
        <v>356</v>
      </c>
      <c r="L575" t="s" s="72">
        <v>154</v>
      </c>
      <c r="M575" s="71"/>
      <c r="N575" s="71"/>
      <c r="O575" s="71"/>
      <c r="P575" s="73">
        <v>0</v>
      </c>
      <c r="Q575" s="74">
        <v>0</v>
      </c>
      <c r="R575" s="74">
        <v>0</v>
      </c>
      <c r="S575" s="73">
        <v>0</v>
      </c>
      <c r="T575" s="73">
        <v>0</v>
      </c>
      <c r="U575" t="s" s="72">
        <v>122</v>
      </c>
      <c r="V575" s="71"/>
      <c r="W575" s="71"/>
      <c r="X575" s="71"/>
      <c r="Y575" s="71"/>
      <c r="Z575" s="71"/>
      <c r="AA575" s="71"/>
      <c r="AB575" t="s" s="72">
        <v>124</v>
      </c>
      <c r="AC575" t="s" s="72">
        <v>124</v>
      </c>
      <c r="AD575" t="s" s="75">
        <v>125</v>
      </c>
      <c r="AE575" s="67"/>
    </row>
    <row r="576" ht="15" customHeight="1">
      <c r="A576" t="s" s="87">
        <v>32</v>
      </c>
      <c r="B576" s="76">
        <v>14</v>
      </c>
      <c r="C576" t="b" s="77">
        <v>0</v>
      </c>
      <c r="D576" s="78"/>
      <c r="E576" t="s" s="79">
        <v>1171</v>
      </c>
      <c r="F576" t="s" s="79">
        <v>187</v>
      </c>
      <c r="G576" s="80">
        <v>3</v>
      </c>
      <c r="H576" t="s" s="79">
        <v>175</v>
      </c>
      <c r="I576" t="s" s="79">
        <v>203</v>
      </c>
      <c r="J576" s="80">
        <v>22</v>
      </c>
      <c r="K576" t="s" s="79">
        <v>1172</v>
      </c>
      <c r="L576" t="s" s="79">
        <v>154</v>
      </c>
      <c r="M576" s="78"/>
      <c r="N576" s="78"/>
      <c r="O576" s="78"/>
      <c r="P576" s="80">
        <v>1</v>
      </c>
      <c r="Q576" s="81">
        <v>6</v>
      </c>
      <c r="R576" s="81">
        <v>6</v>
      </c>
      <c r="S576" s="80">
        <v>0</v>
      </c>
      <c r="T576" s="80">
        <v>0</v>
      </c>
      <c r="U576" t="s" s="79">
        <v>122</v>
      </c>
      <c r="V576" s="80">
        <v>10</v>
      </c>
      <c r="W576" s="81">
        <v>5.45</v>
      </c>
      <c r="X576" s="81">
        <v>5.3</v>
      </c>
      <c r="Y576" s="80">
        <v>0</v>
      </c>
      <c r="Z576" s="80">
        <v>0</v>
      </c>
      <c r="AA576" t="s" s="79">
        <v>123</v>
      </c>
      <c r="AB576" t="s" s="79">
        <v>124</v>
      </c>
      <c r="AC576" t="s" s="79">
        <v>124</v>
      </c>
      <c r="AD576" t="s" s="82">
        <v>125</v>
      </c>
      <c r="AE576" s="67"/>
    </row>
    <row r="577" ht="15" customHeight="1">
      <c r="A577" t="s" s="87">
        <v>32</v>
      </c>
      <c r="B577" s="69">
        <v>12.8</v>
      </c>
      <c r="C577" t="b" s="70">
        <v>0</v>
      </c>
      <c r="D577" s="71"/>
      <c r="E577" t="s" s="72">
        <v>1173</v>
      </c>
      <c r="F577" t="s" s="72">
        <v>193</v>
      </c>
      <c r="G577" s="73">
        <v>4</v>
      </c>
      <c r="H577" t="s" s="72">
        <v>175</v>
      </c>
      <c r="I577" t="s" s="72">
        <v>493</v>
      </c>
      <c r="J577" s="73">
        <v>18</v>
      </c>
      <c r="K577" t="s" s="72">
        <v>316</v>
      </c>
      <c r="L577" t="s" s="72">
        <v>121</v>
      </c>
      <c r="M577" s="71"/>
      <c r="N577" s="71"/>
      <c r="O577" s="71"/>
      <c r="P577" s="73">
        <v>0</v>
      </c>
      <c r="Q577" s="74">
        <v>0</v>
      </c>
      <c r="R577" s="74">
        <v>0</v>
      </c>
      <c r="S577" s="73">
        <v>0</v>
      </c>
      <c r="T577" s="73">
        <v>0</v>
      </c>
      <c r="U577" t="s" s="72">
        <v>122</v>
      </c>
      <c r="V577" s="71"/>
      <c r="W577" s="71"/>
      <c r="X577" s="71"/>
      <c r="Y577" s="71"/>
      <c r="Z577" s="71"/>
      <c r="AA577" s="71"/>
      <c r="AB577" t="s" s="72">
        <v>124</v>
      </c>
      <c r="AC577" t="s" s="72">
        <v>124</v>
      </c>
      <c r="AD577" t="s" s="75">
        <v>125</v>
      </c>
      <c r="AE577" s="67"/>
    </row>
    <row r="578" ht="15" customHeight="1">
      <c r="A578" t="s" s="87">
        <v>32</v>
      </c>
      <c r="B578" s="76">
        <v>12.3</v>
      </c>
      <c r="C578" t="b" s="77">
        <v>0</v>
      </c>
      <c r="D578" s="78"/>
      <c r="E578" t="s" s="79">
        <v>1174</v>
      </c>
      <c r="F578" t="s" s="79">
        <v>117</v>
      </c>
      <c r="G578" s="80">
        <v>3</v>
      </c>
      <c r="H578" t="s" s="79">
        <v>175</v>
      </c>
      <c r="I578" t="s" s="79">
        <v>203</v>
      </c>
      <c r="J578" s="80">
        <v>17</v>
      </c>
      <c r="K578" t="s" s="79">
        <v>204</v>
      </c>
      <c r="L578" s="78"/>
      <c r="M578" s="78"/>
      <c r="N578" s="78"/>
      <c r="O578" s="78"/>
      <c r="P578" s="78"/>
      <c r="Q578" s="78"/>
      <c r="R578" s="78"/>
      <c r="S578" s="78"/>
      <c r="T578" s="78"/>
      <c r="U578" s="78"/>
      <c r="V578" s="80">
        <v>1</v>
      </c>
      <c r="W578" s="81">
        <v>6</v>
      </c>
      <c r="X578" s="81">
        <v>6</v>
      </c>
      <c r="Y578" s="80">
        <v>0</v>
      </c>
      <c r="Z578" s="80">
        <v>0</v>
      </c>
      <c r="AA578" t="s" s="79">
        <v>123</v>
      </c>
      <c r="AB578" t="s" s="79">
        <v>125</v>
      </c>
      <c r="AC578" s="78"/>
      <c r="AD578" t="s" s="82">
        <v>125</v>
      </c>
      <c r="AE578" s="67"/>
    </row>
    <row r="579" ht="15" customHeight="1">
      <c r="A579" t="s" s="87">
        <v>32</v>
      </c>
      <c r="B579" s="69">
        <v>10.8</v>
      </c>
      <c r="C579" t="b" s="70">
        <v>0</v>
      </c>
      <c r="D579" s="71"/>
      <c r="E579" t="s" s="72">
        <v>1175</v>
      </c>
      <c r="F579" t="s" s="72">
        <v>172</v>
      </c>
      <c r="G579" s="73">
        <v>3</v>
      </c>
      <c r="H579" t="s" s="72">
        <v>175</v>
      </c>
      <c r="I579" t="s" s="72">
        <v>175</v>
      </c>
      <c r="J579" s="73">
        <v>24</v>
      </c>
      <c r="K579" t="s" s="72">
        <v>1176</v>
      </c>
      <c r="L579" s="71"/>
      <c r="M579" s="71"/>
      <c r="N579" s="71"/>
      <c r="O579" s="71"/>
      <c r="P579" s="71"/>
      <c r="Q579" s="71"/>
      <c r="R579" s="71"/>
      <c r="S579" s="71"/>
      <c r="T579" s="71"/>
      <c r="U579" s="71"/>
      <c r="V579" s="73">
        <v>0</v>
      </c>
      <c r="W579" s="74">
        <v>0</v>
      </c>
      <c r="X579" s="74">
        <v>0</v>
      </c>
      <c r="Y579" s="73">
        <v>0</v>
      </c>
      <c r="Z579" s="73">
        <v>0</v>
      </c>
      <c r="AA579" t="s" s="72">
        <v>123</v>
      </c>
      <c r="AB579" t="s" s="72">
        <v>125</v>
      </c>
      <c r="AC579" s="71"/>
      <c r="AD579" t="s" s="75">
        <v>125</v>
      </c>
      <c r="AE579" s="67"/>
    </row>
    <row r="580" ht="15" customHeight="1">
      <c r="A580" t="s" s="87">
        <v>32</v>
      </c>
      <c r="B580" s="76">
        <v>10.3</v>
      </c>
      <c r="C580" t="b" s="77">
        <v>0</v>
      </c>
      <c r="D580" s="78"/>
      <c r="E580" t="s" s="79">
        <v>1177</v>
      </c>
      <c r="F580" t="s" s="79">
        <v>172</v>
      </c>
      <c r="G580" s="80">
        <v>2</v>
      </c>
      <c r="H580" t="s" s="79">
        <v>175</v>
      </c>
      <c r="I580" t="s" s="79">
        <v>175</v>
      </c>
      <c r="J580" s="80">
        <v>28</v>
      </c>
      <c r="K580" t="s" s="79">
        <v>204</v>
      </c>
      <c r="L580" s="78"/>
      <c r="M580" s="78"/>
      <c r="N580" s="78"/>
      <c r="O580" s="78"/>
      <c r="P580" s="78"/>
      <c r="Q580" s="78"/>
      <c r="R580" s="78"/>
      <c r="S580" s="78"/>
      <c r="T580" s="78"/>
      <c r="U580" s="78"/>
      <c r="V580" s="80">
        <v>5</v>
      </c>
      <c r="W580" s="81">
        <v>6</v>
      </c>
      <c r="X580" s="81">
        <v>5.9</v>
      </c>
      <c r="Y580" s="80">
        <v>0</v>
      </c>
      <c r="Z580" s="80">
        <v>0</v>
      </c>
      <c r="AA580" t="s" s="79">
        <v>123</v>
      </c>
      <c r="AB580" t="s" s="79">
        <v>125</v>
      </c>
      <c r="AC580" s="78"/>
      <c r="AD580" t="s" s="82">
        <v>125</v>
      </c>
      <c r="AE580" s="67"/>
    </row>
    <row r="581" ht="15" customHeight="1">
      <c r="A581" t="s" s="87">
        <v>32</v>
      </c>
      <c r="B581" s="69">
        <v>9.300000000000001</v>
      </c>
      <c r="C581" t="b" s="70">
        <v>0</v>
      </c>
      <c r="D581" s="71"/>
      <c r="E581" t="s" s="72">
        <v>1178</v>
      </c>
      <c r="F581" t="s" s="72">
        <v>147</v>
      </c>
      <c r="G581" s="73">
        <v>4</v>
      </c>
      <c r="H581" t="s" s="72">
        <v>175</v>
      </c>
      <c r="I581" t="s" s="72">
        <v>559</v>
      </c>
      <c r="J581" s="73">
        <v>20</v>
      </c>
      <c r="K581" t="s" s="72">
        <v>1179</v>
      </c>
      <c r="L581" t="s" s="72">
        <v>154</v>
      </c>
      <c r="M581" s="71"/>
      <c r="N581" s="71"/>
      <c r="O581" t="s" s="88">
        <v>268</v>
      </c>
      <c r="P581" s="73">
        <v>0</v>
      </c>
      <c r="Q581" s="74">
        <v>0</v>
      </c>
      <c r="R581" s="74">
        <v>0</v>
      </c>
      <c r="S581" s="73">
        <v>0</v>
      </c>
      <c r="T581" s="73">
        <v>0</v>
      </c>
      <c r="U581" t="s" s="72">
        <v>122</v>
      </c>
      <c r="V581" s="73">
        <v>4</v>
      </c>
      <c r="W581" s="74">
        <v>5.75</v>
      </c>
      <c r="X581" s="74">
        <v>5.75</v>
      </c>
      <c r="Y581" s="73">
        <v>0</v>
      </c>
      <c r="Z581" s="73">
        <v>0</v>
      </c>
      <c r="AA581" t="s" s="72">
        <v>123</v>
      </c>
      <c r="AB581" t="s" s="72">
        <v>124</v>
      </c>
      <c r="AC581" t="s" s="72">
        <v>124</v>
      </c>
      <c r="AD581" t="s" s="75">
        <v>125</v>
      </c>
      <c r="AE581" s="67"/>
    </row>
    <row r="582" ht="15" customHeight="1">
      <c r="A582" t="s" s="87">
        <v>32</v>
      </c>
      <c r="B582" s="76">
        <v>9.199999999999999</v>
      </c>
      <c r="C582" t="b" s="77">
        <v>0</v>
      </c>
      <c r="D582" s="78"/>
      <c r="E582" t="s" s="79">
        <v>1180</v>
      </c>
      <c r="F582" t="s" s="79">
        <v>163</v>
      </c>
      <c r="G582" s="80">
        <v>6</v>
      </c>
      <c r="H582" t="s" s="79">
        <v>175</v>
      </c>
      <c r="I582" t="s" s="79">
        <v>569</v>
      </c>
      <c r="J582" s="80">
        <v>25</v>
      </c>
      <c r="K582" t="s" s="79">
        <v>204</v>
      </c>
      <c r="L582" s="78"/>
      <c r="M582" s="78"/>
      <c r="N582" s="78"/>
      <c r="O582" t="s" s="88">
        <v>268</v>
      </c>
      <c r="P582" s="78"/>
      <c r="Q582" s="78"/>
      <c r="R582" s="78"/>
      <c r="S582" s="78"/>
      <c r="T582" s="78"/>
      <c r="U582" s="78"/>
      <c r="V582" s="78"/>
      <c r="W582" s="78"/>
      <c r="X582" s="78"/>
      <c r="Y582" s="78"/>
      <c r="Z582" s="78"/>
      <c r="AA582" s="78"/>
      <c r="AB582" t="s" s="79">
        <v>125</v>
      </c>
      <c r="AC582" s="78"/>
      <c r="AD582" t="s" s="82">
        <v>125</v>
      </c>
      <c r="AE582" s="67"/>
    </row>
    <row r="583" ht="15" customHeight="1">
      <c r="A583" t="s" s="87">
        <v>32</v>
      </c>
      <c r="B583" s="69">
        <v>8.5</v>
      </c>
      <c r="C583" t="b" s="70">
        <v>0</v>
      </c>
      <c r="D583" s="71"/>
      <c r="E583" t="s" s="72">
        <v>1181</v>
      </c>
      <c r="F583" t="s" s="72">
        <v>180</v>
      </c>
      <c r="G583" s="73">
        <v>2</v>
      </c>
      <c r="H583" t="s" s="72">
        <v>175</v>
      </c>
      <c r="I583" t="s" s="72">
        <v>203</v>
      </c>
      <c r="J583" s="73">
        <v>20</v>
      </c>
      <c r="K583" t="s" s="72">
        <v>1182</v>
      </c>
      <c r="L583" s="71"/>
      <c r="M583" s="71"/>
      <c r="N583" s="71"/>
      <c r="O583" s="71"/>
      <c r="P583" s="71"/>
      <c r="Q583" s="71"/>
      <c r="R583" s="71"/>
      <c r="S583" s="71"/>
      <c r="T583" s="71"/>
      <c r="U583" s="71"/>
      <c r="V583" s="71"/>
      <c r="W583" s="71"/>
      <c r="X583" s="71"/>
      <c r="Y583" s="71"/>
      <c r="Z583" s="71"/>
      <c r="AA583" s="71"/>
      <c r="AB583" t="s" s="72">
        <v>125</v>
      </c>
      <c r="AC583" s="71"/>
      <c r="AD583" t="s" s="75">
        <v>125</v>
      </c>
      <c r="AE583" s="67"/>
    </row>
    <row r="584" ht="15" customHeight="1">
      <c r="A584" t="s" s="87">
        <v>32</v>
      </c>
      <c r="B584" s="76">
        <v>7.5</v>
      </c>
      <c r="C584" t="b" s="77">
        <v>0</v>
      </c>
      <c r="D584" s="78"/>
      <c r="E584" t="s" s="79">
        <v>1183</v>
      </c>
      <c r="F584" t="s" s="79">
        <v>134</v>
      </c>
      <c r="G584" s="80">
        <v>1</v>
      </c>
      <c r="H584" t="s" s="79">
        <v>175</v>
      </c>
      <c r="I584" t="s" s="79">
        <v>1184</v>
      </c>
      <c r="J584" s="80">
        <v>19</v>
      </c>
      <c r="K584" t="s" s="79">
        <v>639</v>
      </c>
      <c r="L584" t="s" s="79">
        <v>258</v>
      </c>
      <c r="M584" t="s" s="79">
        <v>272</v>
      </c>
      <c r="N584" s="78"/>
      <c r="O584" s="78"/>
      <c r="P584" s="78"/>
      <c r="Q584" s="78"/>
      <c r="R584" s="78"/>
      <c r="S584" s="78"/>
      <c r="T584" s="78"/>
      <c r="U584" s="78"/>
      <c r="V584" s="78"/>
      <c r="W584" s="78"/>
      <c r="X584" s="78"/>
      <c r="Y584" s="78"/>
      <c r="Z584" s="78"/>
      <c r="AA584" s="78"/>
      <c r="AB584" t="s" s="79">
        <v>125</v>
      </c>
      <c r="AC584" s="78"/>
      <c r="AD584" t="s" s="82">
        <v>125</v>
      </c>
      <c r="AE584" s="67"/>
    </row>
    <row r="585" ht="15" customHeight="1">
      <c r="A585" t="s" s="87">
        <v>32</v>
      </c>
      <c r="B585" s="69">
        <v>4.5</v>
      </c>
      <c r="C585" t="b" s="70">
        <v>0</v>
      </c>
      <c r="D585" s="71"/>
      <c r="E585" t="s" s="72">
        <v>1185</v>
      </c>
      <c r="F585" t="s" s="72">
        <v>156</v>
      </c>
      <c r="G585" s="73">
        <v>1</v>
      </c>
      <c r="H585" t="s" s="72">
        <v>175</v>
      </c>
      <c r="I585" t="s" s="72">
        <v>203</v>
      </c>
      <c r="J585" s="73">
        <v>18</v>
      </c>
      <c r="K585" t="s" s="72">
        <v>1186</v>
      </c>
      <c r="L585" s="71"/>
      <c r="M585" s="71"/>
      <c r="N585" s="71"/>
      <c r="O585" s="71"/>
      <c r="P585" s="71"/>
      <c r="Q585" s="71"/>
      <c r="R585" s="71"/>
      <c r="S585" s="71"/>
      <c r="T585" s="71"/>
      <c r="U585" s="71"/>
      <c r="V585" s="71"/>
      <c r="W585" s="71"/>
      <c r="X585" s="71"/>
      <c r="Y585" s="71"/>
      <c r="Z585" s="71"/>
      <c r="AA585" s="71"/>
      <c r="AB585" t="s" s="72">
        <v>125</v>
      </c>
      <c r="AC585" s="71"/>
      <c r="AD585" t="s" s="75">
        <v>125</v>
      </c>
      <c r="AE585" s="67"/>
    </row>
    <row r="586" ht="15" customHeight="1">
      <c r="A586" t="s" s="87">
        <v>32</v>
      </c>
      <c r="B586" s="76">
        <v>4.5</v>
      </c>
      <c r="C586" t="b" s="77">
        <v>0</v>
      </c>
      <c r="D586" s="78"/>
      <c r="E586" t="s" s="79">
        <v>1187</v>
      </c>
      <c r="F586" t="s" s="79">
        <v>130</v>
      </c>
      <c r="G586" s="80">
        <v>1</v>
      </c>
      <c r="H586" t="s" s="79">
        <v>175</v>
      </c>
      <c r="I586" t="s" s="79">
        <v>203</v>
      </c>
      <c r="J586" s="80">
        <v>19</v>
      </c>
      <c r="K586" t="s" s="79">
        <v>416</v>
      </c>
      <c r="L586" t="s" s="79">
        <v>154</v>
      </c>
      <c r="M586" s="78"/>
      <c r="N586" s="78"/>
      <c r="O586" s="78"/>
      <c r="P586" s="78"/>
      <c r="Q586" s="78"/>
      <c r="R586" s="78"/>
      <c r="S586" s="78"/>
      <c r="T586" s="78"/>
      <c r="U586" s="78"/>
      <c r="V586" s="80">
        <v>0</v>
      </c>
      <c r="W586" s="81">
        <v>0</v>
      </c>
      <c r="X586" s="81">
        <v>0</v>
      </c>
      <c r="Y586" s="80">
        <v>0</v>
      </c>
      <c r="Z586" s="80">
        <v>0</v>
      </c>
      <c r="AA586" t="s" s="79">
        <v>123</v>
      </c>
      <c r="AB586" t="s" s="79">
        <v>125</v>
      </c>
      <c r="AC586" s="78"/>
      <c r="AD586" t="s" s="82">
        <v>125</v>
      </c>
      <c r="AE586" s="67"/>
    </row>
    <row r="587" ht="15" customHeight="1">
      <c r="A587" t="s" s="87">
        <v>32</v>
      </c>
      <c r="B587" s="69">
        <v>4.5</v>
      </c>
      <c r="C587" t="b" s="70">
        <v>0</v>
      </c>
      <c r="D587" s="71"/>
      <c r="E587" t="s" s="72">
        <v>1188</v>
      </c>
      <c r="F587" t="s" s="72">
        <v>170</v>
      </c>
      <c r="G587" s="73">
        <v>1</v>
      </c>
      <c r="H587" t="s" s="72">
        <v>175</v>
      </c>
      <c r="I587" t="s" s="72">
        <v>203</v>
      </c>
      <c r="J587" s="73">
        <v>16</v>
      </c>
      <c r="K587" t="s" s="72">
        <v>204</v>
      </c>
      <c r="L587" s="71"/>
      <c r="M587" s="71"/>
      <c r="N587" s="71"/>
      <c r="O587" s="71"/>
      <c r="P587" s="71"/>
      <c r="Q587" s="71"/>
      <c r="R587" s="71"/>
      <c r="S587" s="71"/>
      <c r="T587" s="71"/>
      <c r="U587" s="71"/>
      <c r="V587" s="71"/>
      <c r="W587" s="71"/>
      <c r="X587" s="71"/>
      <c r="Y587" s="71"/>
      <c r="Z587" s="71"/>
      <c r="AA587" s="71"/>
      <c r="AB587" t="s" s="72">
        <v>125</v>
      </c>
      <c r="AC587" s="71"/>
      <c r="AD587" t="s" s="75">
        <v>125</v>
      </c>
      <c r="AE587" s="67"/>
    </row>
    <row r="588" ht="15" customHeight="1">
      <c r="A588" t="s" s="87">
        <v>32</v>
      </c>
      <c r="B588" s="76">
        <v>4.5</v>
      </c>
      <c r="C588" t="b" s="77">
        <v>0</v>
      </c>
      <c r="D588" s="78"/>
      <c r="E588" t="s" s="79">
        <v>1189</v>
      </c>
      <c r="F588" t="s" s="79">
        <v>172</v>
      </c>
      <c r="G588" s="80">
        <v>1</v>
      </c>
      <c r="H588" t="s" s="79">
        <v>175</v>
      </c>
      <c r="I588" t="s" s="79">
        <v>203</v>
      </c>
      <c r="J588" s="80">
        <v>18</v>
      </c>
      <c r="K588" t="s" s="79">
        <v>1190</v>
      </c>
      <c r="L588" s="78"/>
      <c r="M588" s="78"/>
      <c r="N588" s="78"/>
      <c r="O588" s="78"/>
      <c r="P588" s="78"/>
      <c r="Q588" s="78"/>
      <c r="R588" s="78"/>
      <c r="S588" s="78"/>
      <c r="T588" s="78"/>
      <c r="U588" s="78"/>
      <c r="V588" s="78"/>
      <c r="W588" s="78"/>
      <c r="X588" s="78"/>
      <c r="Y588" s="78"/>
      <c r="Z588" s="78"/>
      <c r="AA588" s="78"/>
      <c r="AB588" t="s" s="79">
        <v>125</v>
      </c>
      <c r="AC588" s="78"/>
      <c r="AD588" t="s" s="82">
        <v>125</v>
      </c>
      <c r="AE588" s="67"/>
    </row>
    <row r="589" ht="15" customHeight="1">
      <c r="A589" t="s" s="87">
        <v>32</v>
      </c>
      <c r="B589" s="69">
        <v>4.5</v>
      </c>
      <c r="C589" t="b" s="70">
        <v>0</v>
      </c>
      <c r="D589" s="71"/>
      <c r="E589" t="s" s="72">
        <v>1191</v>
      </c>
      <c r="F589" t="s" s="72">
        <v>159</v>
      </c>
      <c r="G589" s="73">
        <v>1</v>
      </c>
      <c r="H589" t="s" s="72">
        <v>175</v>
      </c>
      <c r="I589" t="s" s="72">
        <v>203</v>
      </c>
      <c r="J589" s="73">
        <v>19</v>
      </c>
      <c r="K589" t="s" s="72">
        <v>204</v>
      </c>
      <c r="L589" s="71"/>
      <c r="M589" s="71"/>
      <c r="N589" s="71"/>
      <c r="O589" s="71"/>
      <c r="P589" s="71"/>
      <c r="Q589" s="71"/>
      <c r="R589" s="71"/>
      <c r="S589" s="71"/>
      <c r="T589" s="71"/>
      <c r="U589" s="71"/>
      <c r="V589" s="71"/>
      <c r="W589" s="71"/>
      <c r="X589" s="71"/>
      <c r="Y589" s="71"/>
      <c r="Z589" s="71"/>
      <c r="AA589" s="71"/>
      <c r="AB589" t="s" s="72">
        <v>125</v>
      </c>
      <c r="AC589" s="71"/>
      <c r="AD589" t="s" s="75">
        <v>125</v>
      </c>
      <c r="AE589" s="67"/>
    </row>
    <row r="590" ht="15" customHeight="1">
      <c r="A590" t="s" s="87">
        <v>32</v>
      </c>
      <c r="B590" s="76">
        <v>4.5</v>
      </c>
      <c r="C590" t="b" s="77">
        <v>0</v>
      </c>
      <c r="D590" s="78"/>
      <c r="E590" t="s" s="79">
        <v>1192</v>
      </c>
      <c r="F590" t="s" s="79">
        <v>168</v>
      </c>
      <c r="G590" s="80">
        <v>1</v>
      </c>
      <c r="H590" t="s" s="79">
        <v>175</v>
      </c>
      <c r="I590" t="s" s="79">
        <v>203</v>
      </c>
      <c r="J590" s="80">
        <v>19</v>
      </c>
      <c r="K590" t="s" s="79">
        <v>206</v>
      </c>
      <c r="L590" t="s" s="79">
        <v>154</v>
      </c>
      <c r="M590" s="78"/>
      <c r="N590" s="78"/>
      <c r="O590" s="78"/>
      <c r="P590" s="80">
        <v>0</v>
      </c>
      <c r="Q590" s="81">
        <v>0</v>
      </c>
      <c r="R590" s="81">
        <v>0</v>
      </c>
      <c r="S590" s="80">
        <v>0</v>
      </c>
      <c r="T590" s="80">
        <v>0</v>
      </c>
      <c r="U590" t="s" s="79">
        <v>122</v>
      </c>
      <c r="V590" s="78"/>
      <c r="W590" s="78"/>
      <c r="X590" s="78"/>
      <c r="Y590" s="78"/>
      <c r="Z590" s="78"/>
      <c r="AA590" s="78"/>
      <c r="AB590" t="s" s="79">
        <v>124</v>
      </c>
      <c r="AC590" t="s" s="79">
        <v>124</v>
      </c>
      <c r="AD590" t="s" s="82">
        <v>125</v>
      </c>
      <c r="AE590" s="67"/>
    </row>
    <row r="591" ht="15" customHeight="1">
      <c r="A591" t="s" s="87">
        <v>32</v>
      </c>
      <c r="B591" s="69">
        <v>4.5</v>
      </c>
      <c r="C591" t="b" s="70">
        <v>0</v>
      </c>
      <c r="D591" s="71"/>
      <c r="E591" t="s" s="72">
        <v>1193</v>
      </c>
      <c r="F591" t="s" s="72">
        <v>134</v>
      </c>
      <c r="G591" s="73">
        <v>1</v>
      </c>
      <c r="H591" t="s" s="72">
        <v>175</v>
      </c>
      <c r="I591" t="s" s="72">
        <v>203</v>
      </c>
      <c r="J591" s="73">
        <v>19</v>
      </c>
      <c r="K591" t="s" s="72">
        <v>204</v>
      </c>
      <c r="L591" s="71"/>
      <c r="M591" s="71"/>
      <c r="N591" s="71"/>
      <c r="O591" s="71"/>
      <c r="P591" s="71"/>
      <c r="Q591" s="71"/>
      <c r="R591" s="71"/>
      <c r="S591" s="71"/>
      <c r="T591" s="71"/>
      <c r="U591" s="71"/>
      <c r="V591" s="73">
        <v>0</v>
      </c>
      <c r="W591" s="74">
        <v>0</v>
      </c>
      <c r="X591" s="74">
        <v>0</v>
      </c>
      <c r="Y591" s="73">
        <v>0</v>
      </c>
      <c r="Z591" s="73">
        <v>0</v>
      </c>
      <c r="AA591" t="s" s="72">
        <v>123</v>
      </c>
      <c r="AB591" t="s" s="72">
        <v>125</v>
      </c>
      <c r="AC591" s="71"/>
      <c r="AD591" t="s" s="75">
        <v>125</v>
      </c>
      <c r="AE591" s="67"/>
    </row>
    <row r="592" ht="15" customHeight="1">
      <c r="A592" t="s" s="87">
        <v>32</v>
      </c>
      <c r="B592" s="76">
        <v>4.5</v>
      </c>
      <c r="C592" t="b" s="77">
        <v>0</v>
      </c>
      <c r="D592" s="78"/>
      <c r="E592" t="s" s="79">
        <v>1194</v>
      </c>
      <c r="F592" t="s" s="79">
        <v>168</v>
      </c>
      <c r="G592" s="80">
        <v>1</v>
      </c>
      <c r="H592" t="s" s="79">
        <v>175</v>
      </c>
      <c r="I592" t="s" s="79">
        <v>203</v>
      </c>
      <c r="J592" s="80">
        <v>20</v>
      </c>
      <c r="K592" t="s" s="79">
        <v>184</v>
      </c>
      <c r="L592" t="s" s="79">
        <v>258</v>
      </c>
      <c r="M592" s="78"/>
      <c r="N592" s="78"/>
      <c r="O592" s="78"/>
      <c r="P592" s="78"/>
      <c r="Q592" s="78"/>
      <c r="R592" s="78"/>
      <c r="S592" s="78"/>
      <c r="T592" s="78"/>
      <c r="U592" s="78"/>
      <c r="V592" s="78"/>
      <c r="W592" s="78"/>
      <c r="X592" s="78"/>
      <c r="Y592" s="78"/>
      <c r="Z592" s="78"/>
      <c r="AA592" s="78"/>
      <c r="AB592" t="s" s="79">
        <v>125</v>
      </c>
      <c r="AC592" s="78"/>
      <c r="AD592" t="s" s="82">
        <v>125</v>
      </c>
      <c r="AE592" s="67"/>
    </row>
    <row r="593" ht="15" customHeight="1">
      <c r="A593" t="s" s="87">
        <v>32</v>
      </c>
      <c r="B593" s="69">
        <v>4.5</v>
      </c>
      <c r="C593" t="b" s="70">
        <v>0</v>
      </c>
      <c r="D593" s="71"/>
      <c r="E593" t="s" s="72">
        <v>1195</v>
      </c>
      <c r="F593" t="s" s="72">
        <v>183</v>
      </c>
      <c r="G593" s="73">
        <v>1</v>
      </c>
      <c r="H593" t="s" s="72">
        <v>175</v>
      </c>
      <c r="I593" t="s" s="72">
        <v>203</v>
      </c>
      <c r="J593" s="73">
        <v>19</v>
      </c>
      <c r="K593" t="s" s="72">
        <v>190</v>
      </c>
      <c r="L593" s="71"/>
      <c r="M593" s="71"/>
      <c r="N593" s="71"/>
      <c r="O593" s="71"/>
      <c r="P593" s="71"/>
      <c r="Q593" s="71"/>
      <c r="R593" s="71"/>
      <c r="S593" s="71"/>
      <c r="T593" s="71"/>
      <c r="U593" s="71"/>
      <c r="V593" s="71"/>
      <c r="W593" s="71"/>
      <c r="X593" s="71"/>
      <c r="Y593" s="71"/>
      <c r="Z593" s="71"/>
      <c r="AA593" s="71"/>
      <c r="AB593" t="s" s="72">
        <v>125</v>
      </c>
      <c r="AC593" s="71"/>
      <c r="AD593" t="s" s="75">
        <v>125</v>
      </c>
      <c r="AE593" s="67"/>
    </row>
    <row r="594" ht="15" customHeight="1">
      <c r="A594" t="s" s="89">
        <v>32</v>
      </c>
      <c r="B594" s="90">
        <v>0</v>
      </c>
      <c r="C594" t="b" s="91">
        <v>0</v>
      </c>
      <c r="D594" s="92"/>
      <c r="E594" t="s" s="93">
        <v>1196</v>
      </c>
      <c r="F594" t="s" s="93">
        <v>156</v>
      </c>
      <c r="G594" s="94">
        <v>1</v>
      </c>
      <c r="H594" t="s" s="93">
        <v>175</v>
      </c>
      <c r="I594" t="s" s="93">
        <v>1147</v>
      </c>
      <c r="J594" s="94">
        <v>19</v>
      </c>
      <c r="K594" t="s" s="93">
        <v>1190</v>
      </c>
      <c r="L594" s="92"/>
      <c r="M594" s="92"/>
      <c r="N594" s="92"/>
      <c r="O594" t="s" s="95">
        <v>889</v>
      </c>
      <c r="P594" s="92"/>
      <c r="Q594" s="92"/>
      <c r="R594" s="92"/>
      <c r="S594" s="92"/>
      <c r="T594" s="92"/>
      <c r="U594" s="92"/>
      <c r="V594" s="92"/>
      <c r="W594" s="92"/>
      <c r="X594" s="92"/>
      <c r="Y594" s="92"/>
      <c r="Z594" s="92"/>
      <c r="AA594" s="92"/>
      <c r="AB594" t="s" s="93">
        <v>125</v>
      </c>
      <c r="AC594" s="92"/>
      <c r="AD594" t="s" s="96">
        <v>125</v>
      </c>
      <c r="AE594" s="67"/>
    </row>
    <row r="595" ht="13.55" customHeight="1">
      <c r="A595" s="97"/>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c r="AE595" s="99"/>
    </row>
  </sheetData>
  <mergeCells count="2">
    <mergeCell ref="A2:AD2"/>
    <mergeCell ref="A1:AD1"/>
  </mergeCells>
  <hyperlinks>
    <hyperlink ref="AA5" r:id="rId1" location="" tooltip="" display="0/0"/>
    <hyperlink ref="AB5" r:id="rId2" location="" tooltip="" display="Apri"/>
    <hyperlink ref="AC5" r:id="rId3" location="" tooltip="" display="Apri"/>
    <hyperlink ref="AA6" r:id="rId4" location="" tooltip="" display="0/0"/>
    <hyperlink ref="AB6" r:id="rId5" location="" tooltip="" display="Apri"/>
    <hyperlink ref="AC6" r:id="rId6" location="" tooltip="" display="Apri"/>
    <hyperlink ref="AA7" r:id="rId7" location="" tooltip="" display="0/0"/>
    <hyperlink ref="AB7" r:id="rId8" location="" tooltip="" display="Apri"/>
    <hyperlink ref="AC7" r:id="rId9" location="" tooltip="" display="Apri"/>
    <hyperlink ref="AA8" r:id="rId10" location="" tooltip="" display="0/0"/>
    <hyperlink ref="AB8" r:id="rId11" location="" tooltip="" display="Apri"/>
    <hyperlink ref="AC8" r:id="rId12" location="" tooltip="" display="Apri"/>
    <hyperlink ref="AB9" r:id="rId13" location="" tooltip="" display="Apri"/>
    <hyperlink ref="AC9" r:id="rId14" location="" tooltip="" display="Apri"/>
    <hyperlink ref="AA10" r:id="rId15" location="" tooltip="" display="0/0"/>
    <hyperlink ref="AB10" r:id="rId16" location="" tooltip="" display="Apri"/>
    <hyperlink ref="AC10" r:id="rId17" location="" tooltip="" display="Apri"/>
    <hyperlink ref="AA11" r:id="rId18" location="" tooltip="" display="0/0"/>
    <hyperlink ref="AB11" r:id="rId19" location="" tooltip="" display="Apri"/>
    <hyperlink ref="AC11" r:id="rId20" location="" tooltip="" display="Apri"/>
    <hyperlink ref="AA12" r:id="rId21" location="" tooltip="" display="0/0"/>
    <hyperlink ref="AB12" r:id="rId22" location="" tooltip="" display="Apri"/>
    <hyperlink ref="AC12" r:id="rId23" location="" tooltip="" display="Apri"/>
    <hyperlink ref="AA13" r:id="rId24" location="" tooltip="" display="0/0"/>
    <hyperlink ref="AB13" r:id="rId25" location="" tooltip="" display="Apri"/>
    <hyperlink ref="AC13" r:id="rId26" location="" tooltip="" display="Apri"/>
    <hyperlink ref="AA14" r:id="rId27" location="" tooltip="" display="0/0"/>
    <hyperlink ref="AB14" r:id="rId28" location="" tooltip="" display="Apri"/>
    <hyperlink ref="AC14" r:id="rId29" location="" tooltip="" display="Apri"/>
    <hyperlink ref="AA15" r:id="rId30" location="" tooltip="" display="0/0"/>
    <hyperlink ref="AB15" r:id="rId31" location="" tooltip="" display="Apri"/>
    <hyperlink ref="AC15" r:id="rId32" location="" tooltip="" display="Apri"/>
    <hyperlink ref="AA16" r:id="rId33" location="" tooltip="" display="0/0"/>
    <hyperlink ref="AB16" r:id="rId34" location="" tooltip="" display="Apri"/>
    <hyperlink ref="AC16" r:id="rId35" location="" tooltip="" display="Apri"/>
    <hyperlink ref="AB17" r:id="rId36" location="" tooltip="" display="Apri"/>
    <hyperlink ref="AC17" r:id="rId37" location="" tooltip="" display="Apri"/>
    <hyperlink ref="AA18" r:id="rId38" location="" tooltip="" display="0/0"/>
    <hyperlink ref="AB18" r:id="rId39" location="" tooltip="" display="Apri"/>
    <hyperlink ref="AC18" r:id="rId40" location="" tooltip="" display="Apri"/>
    <hyperlink ref="AA19" r:id="rId41" location="" tooltip="" display="0/0"/>
    <hyperlink ref="AB19" r:id="rId42" location="" tooltip="" display="Apri"/>
    <hyperlink ref="AC19" r:id="rId43" location="" tooltip="" display="Apri"/>
    <hyperlink ref="AA20" r:id="rId44" location="" tooltip="" display="0/0"/>
    <hyperlink ref="AB20" r:id="rId45" location="" tooltip="" display="Apri"/>
    <hyperlink ref="AC20" r:id="rId46" location="" tooltip="" display="Apri"/>
    <hyperlink ref="AA21" r:id="rId47" location="" tooltip="" display="0/0"/>
    <hyperlink ref="AB21" r:id="rId48" location="" tooltip="" display="Apri"/>
    <hyperlink ref="AC21" r:id="rId49" location="" tooltip="" display="Apri"/>
    <hyperlink ref="AB22" r:id="rId50" location="" tooltip="" display="Apri"/>
    <hyperlink ref="AC22" r:id="rId51" location="" tooltip="" display="Apri"/>
    <hyperlink ref="AB23" r:id="rId52" location="" tooltip="" display="Apri"/>
    <hyperlink ref="AC23" r:id="rId53" location="" tooltip="" display="Apri"/>
    <hyperlink ref="AA24" r:id="rId54" location="" tooltip="" display="0/0"/>
    <hyperlink ref="AB24" r:id="rId55" location="" tooltip="" display="Apri"/>
    <hyperlink ref="AC24" r:id="rId56" location="" tooltip="" display="Apri"/>
    <hyperlink ref="AB25" r:id="rId57" location="" tooltip="" display="Apri"/>
    <hyperlink ref="AC25" r:id="rId58" location="" tooltip="" display="Apri"/>
    <hyperlink ref="AB26" r:id="rId59" location="" tooltip="" display="Apri"/>
    <hyperlink ref="AC26" r:id="rId60" location="" tooltip="" display="Apri"/>
    <hyperlink ref="AA27" r:id="rId61" location="" tooltip="" display="0/0"/>
    <hyperlink ref="AB27" r:id="rId62" location="" tooltip="" display="Apri"/>
    <hyperlink ref="AC27" r:id="rId63" location="" tooltip="" display="Apri"/>
    <hyperlink ref="AA28" r:id="rId64" location="" tooltip="" display="0/0"/>
    <hyperlink ref="AB28" r:id="rId65" location="" tooltip="" display="Apri"/>
    <hyperlink ref="AC28" r:id="rId66" location="" tooltip="" display="Apri"/>
    <hyperlink ref="AA29" r:id="rId67" location="" tooltip="" display="0/0"/>
    <hyperlink ref="AB29" r:id="rId68" location="" tooltip="" display="Apri"/>
    <hyperlink ref="AC29" r:id="rId69" location="" tooltip="" display="Apri"/>
    <hyperlink ref="AA30" r:id="rId70" location="" tooltip="" display="0/0"/>
    <hyperlink ref="AB30" r:id="rId71" location="" tooltip="" display="Apri"/>
    <hyperlink ref="AC30" r:id="rId72" location="" tooltip="" display="Apri"/>
    <hyperlink ref="AA31" r:id="rId73" location="" tooltip="" display="0/0"/>
    <hyperlink ref="AA32" r:id="rId74" location="" tooltip="" display="0/0"/>
    <hyperlink ref="AB32" r:id="rId75" location="" tooltip="" display="Apri"/>
    <hyperlink ref="AC32" r:id="rId76" location="" tooltip="" display="Apri"/>
    <hyperlink ref="AA33" r:id="rId77" location="" tooltip="" display="0/0"/>
    <hyperlink ref="AB33" r:id="rId78" location="" tooltip="" display="Apri"/>
    <hyperlink ref="AC33" r:id="rId79" location="" tooltip="" display="Apri"/>
    <hyperlink ref="AB34" r:id="rId80" location="" tooltip="" display="Apri"/>
    <hyperlink ref="AC34" r:id="rId81" location="" tooltip="" display="Apri"/>
    <hyperlink ref="AA35" r:id="rId82" location="" tooltip="" display="0/0"/>
    <hyperlink ref="AB35" r:id="rId83" location="" tooltip="" display="Apri"/>
    <hyperlink ref="AC35" r:id="rId84" location="" tooltip="" display="Apri"/>
    <hyperlink ref="AA36" r:id="rId85" location="" tooltip="" display="0/0"/>
    <hyperlink ref="AB36" r:id="rId86" location="" tooltip="" display="Apri"/>
    <hyperlink ref="AC36" r:id="rId87" location="" tooltip="" display="Apri"/>
    <hyperlink ref="AA37" r:id="rId88" location="" tooltip="" display="0/0"/>
    <hyperlink ref="AB37" r:id="rId89" location="" tooltip="" display="Apri"/>
    <hyperlink ref="AC37" r:id="rId90" location="" tooltip="" display="Apri"/>
    <hyperlink ref="AA38" r:id="rId91" location="" tooltip="" display="0/0"/>
    <hyperlink ref="AB38" r:id="rId92" location="" tooltip="" display="Apri"/>
    <hyperlink ref="AC38" r:id="rId93" location="" tooltip="" display="Apri"/>
    <hyperlink ref="AA39" r:id="rId94" location="" tooltip="" display="0/0"/>
    <hyperlink ref="AA40" r:id="rId95" location="" tooltip="" display="0/0"/>
    <hyperlink ref="AB40" r:id="rId96" location="" tooltip="" display="Apri"/>
    <hyperlink ref="AC40" r:id="rId97" location="" tooltip="" display="Apri"/>
    <hyperlink ref="AA41" r:id="rId98" location="" tooltip="" display="0/0"/>
    <hyperlink ref="AB41" r:id="rId99" location="" tooltip="" display="Apri"/>
    <hyperlink ref="AC41" r:id="rId100" location="" tooltip="" display="Apri"/>
    <hyperlink ref="AA42" r:id="rId101" location="" tooltip="" display="0/0"/>
    <hyperlink ref="AB42" r:id="rId102" location="" tooltip="" display="Apri"/>
    <hyperlink ref="AC42" r:id="rId103" location="" tooltip="" display="Apri"/>
    <hyperlink ref="AB43" r:id="rId104" location="" tooltip="" display="Apri"/>
    <hyperlink ref="AC43" r:id="rId105" location="" tooltip="" display="Apri"/>
    <hyperlink ref="AA44" r:id="rId106" location="" tooltip="" display="0/0"/>
    <hyperlink ref="AB44" r:id="rId107" location="" tooltip="" display="Apri"/>
    <hyperlink ref="AC44" r:id="rId108" location="" tooltip="" display="Apri"/>
    <hyperlink ref="AB45" r:id="rId109" location="" tooltip="" display="Apri"/>
    <hyperlink ref="AC45" r:id="rId110" location="" tooltip="" display="Apri"/>
    <hyperlink ref="AB46" r:id="rId111" location="" tooltip="" display="Apri"/>
    <hyperlink ref="AC46" r:id="rId112" location="" tooltip="" display="Apri"/>
    <hyperlink ref="AB47" r:id="rId113" location="" tooltip="" display="Apri"/>
    <hyperlink ref="AC47" r:id="rId114" location="" tooltip="" display="Apri"/>
    <hyperlink ref="AA48" r:id="rId115" location="" tooltip="" display="0/0"/>
    <hyperlink ref="AB48" r:id="rId116" location="" tooltip="" display="Apri"/>
    <hyperlink ref="AC48" r:id="rId117" location="" tooltip="" display="Apri"/>
    <hyperlink ref="AA49" r:id="rId118" location="" tooltip="" display="0/0"/>
    <hyperlink ref="AB49" r:id="rId119" location="" tooltip="" display="Apri"/>
    <hyperlink ref="AC49" r:id="rId120" location="" tooltip="" display="Apri"/>
    <hyperlink ref="AB50" r:id="rId121" location="" tooltip="" display="Apri"/>
    <hyperlink ref="AC50" r:id="rId122" location="" tooltip="" display="Apri"/>
    <hyperlink ref="AA51" r:id="rId123" location="" tooltip="" display="0/0"/>
    <hyperlink ref="AB52" r:id="rId124" location="" tooltip="" display="Apri"/>
    <hyperlink ref="AC52" r:id="rId125" location="" tooltip="" display="Apri"/>
    <hyperlink ref="AB53" r:id="rId126" location="" tooltip="" display="Apri"/>
    <hyperlink ref="AC53" r:id="rId127" location="" tooltip="" display="Apri"/>
    <hyperlink ref="AA54" r:id="rId128" location="" tooltip="" display="0/0"/>
    <hyperlink ref="AB54" r:id="rId129" location="" tooltip="" display="Apri"/>
    <hyperlink ref="AC54" r:id="rId130" location="" tooltip="" display="Apri"/>
    <hyperlink ref="AB55" r:id="rId131" location="" tooltip="" display="Apri"/>
    <hyperlink ref="AC55" r:id="rId132" location="" tooltip="" display="Apri"/>
    <hyperlink ref="AA56" r:id="rId133" location="" tooltip="" display="0/0"/>
    <hyperlink ref="AB56" r:id="rId134" location="" tooltip="" display="Apri"/>
    <hyperlink ref="AC56" r:id="rId135" location="" tooltip="" display="Apri"/>
    <hyperlink ref="AB57" r:id="rId136" location="" tooltip="" display="Apri"/>
    <hyperlink ref="AC57" r:id="rId137" location="" tooltip="" display="Apri"/>
    <hyperlink ref="AB58" r:id="rId138" location="" tooltip="" display="Apri"/>
    <hyperlink ref="AC58" r:id="rId139" location="" tooltip="" display="Apri"/>
    <hyperlink ref="AA59" r:id="rId140" location="" tooltip="" display="0/0"/>
    <hyperlink ref="AB59" r:id="rId141" location="" tooltip="" display="Apri"/>
    <hyperlink ref="AC59" r:id="rId142" location="" tooltip="" display="Apri"/>
    <hyperlink ref="AA60" r:id="rId143" location="" tooltip="" display="0/0"/>
    <hyperlink ref="AB60" r:id="rId144" location="" tooltip="" display="Apri"/>
    <hyperlink ref="AC60" r:id="rId145" location="" tooltip="" display="Apri"/>
    <hyperlink ref="AA61" r:id="rId146" location="" tooltip="" display="0/0"/>
    <hyperlink ref="AB61" r:id="rId147" location="" tooltip="" display="Apri"/>
    <hyperlink ref="AC61" r:id="rId148" location="" tooltip="" display="Apri"/>
    <hyperlink ref="AB62" r:id="rId149" location="" tooltip="" display="Apri"/>
    <hyperlink ref="AC62" r:id="rId150" location="" tooltip="" display="Apri"/>
    <hyperlink ref="AB63" r:id="rId151" location="" tooltip="" display="Apri"/>
    <hyperlink ref="AC63" r:id="rId152" location="" tooltip="" display="Apri"/>
    <hyperlink ref="AB64" r:id="rId153" location="" tooltip="" display="Apri"/>
    <hyperlink ref="AC64" r:id="rId154" location="" tooltip="" display="Apri"/>
    <hyperlink ref="AA66" r:id="rId155" location="" tooltip="" display="0/0"/>
    <hyperlink ref="AB66" r:id="rId156" location="" tooltip="" display="Apri"/>
    <hyperlink ref="AC66" r:id="rId157" location="" tooltip="" display="Apri"/>
    <hyperlink ref="AA67" r:id="rId158" location="" tooltip="" display="0/0"/>
    <hyperlink ref="AB67" r:id="rId159" location="" tooltip="" display="Apri"/>
    <hyperlink ref="AC67" r:id="rId160" location="" tooltip="" display="Apri"/>
    <hyperlink ref="AA68" r:id="rId161" location="" tooltip="" display="0/0"/>
    <hyperlink ref="AB68" r:id="rId162" location="" tooltip="" display="Apri"/>
    <hyperlink ref="AC68" r:id="rId163" location="" tooltip="" display="Apri"/>
    <hyperlink ref="AB70" r:id="rId164" location="" tooltip="" display="Apri"/>
    <hyperlink ref="AC70" r:id="rId165" location="" tooltip="" display="Apri"/>
    <hyperlink ref="AA72" r:id="rId166" location="" tooltip="" display="0/0"/>
    <hyperlink ref="AB72" r:id="rId167" location="" tooltip="" display="Apri"/>
    <hyperlink ref="AC72" r:id="rId168" location="" tooltip="" display="Apri"/>
    <hyperlink ref="AB73" r:id="rId169" location="" tooltip="" display="Apri"/>
    <hyperlink ref="AC73" r:id="rId170" location="" tooltip="" display="Apri"/>
    <hyperlink ref="AB74" r:id="rId171" location="" tooltip="" display="Apri"/>
    <hyperlink ref="AC74" r:id="rId172" location="" tooltip="" display="Apri"/>
    <hyperlink ref="AB75" r:id="rId173" location="" tooltip="" display="Apri"/>
    <hyperlink ref="AC75" r:id="rId174" location="" tooltip="" display="Apri"/>
    <hyperlink ref="AA76" r:id="rId175" location="" tooltip="" display="0/0"/>
    <hyperlink ref="AA77" r:id="rId176" location="" tooltip="" display="0/0"/>
    <hyperlink ref="AB77" r:id="rId177" location="" tooltip="" display="Apri"/>
    <hyperlink ref="AC77" r:id="rId178" location="" tooltip="" display="Apri"/>
    <hyperlink ref="AA78" r:id="rId179" location="" tooltip="" display="0/0"/>
    <hyperlink ref="AB78" r:id="rId180" location="" tooltip="" display="Apri"/>
    <hyperlink ref="AC78" r:id="rId181" location="" tooltip="" display="Apri"/>
    <hyperlink ref="AA79" r:id="rId182" location="" tooltip="" display="0/0"/>
    <hyperlink ref="AB79" r:id="rId183" location="" tooltip="" display="Apri"/>
    <hyperlink ref="AC79" r:id="rId184" location="" tooltip="" display="Apri"/>
    <hyperlink ref="AA80" r:id="rId185" location="" tooltip="" display="0/0"/>
    <hyperlink ref="AB80" r:id="rId186" location="" tooltip="" display="Apri"/>
    <hyperlink ref="AC80" r:id="rId187" location="" tooltip="" display="Apri"/>
    <hyperlink ref="AA81" r:id="rId188" location="" tooltip="" display="0/0"/>
    <hyperlink ref="AB81" r:id="rId189" location="" tooltip="" display="Apri"/>
    <hyperlink ref="AC81" r:id="rId190" location="" tooltip="" display="Apri"/>
    <hyperlink ref="AA82" r:id="rId191" location="" tooltip="" display="0/0"/>
    <hyperlink ref="AB82" r:id="rId192" location="" tooltip="" display="Apri"/>
    <hyperlink ref="AC82" r:id="rId193" location="" tooltip="" display="Apri"/>
    <hyperlink ref="AA83" r:id="rId194" location="" tooltip="" display="0/0"/>
    <hyperlink ref="AB83" r:id="rId195" location="" tooltip="" display="Apri"/>
    <hyperlink ref="AC83" r:id="rId196" location="" tooltip="" display="Apri"/>
    <hyperlink ref="AA84" r:id="rId197" location="" tooltip="" display="0/0"/>
    <hyperlink ref="AB84" r:id="rId198" location="" tooltip="" display="Apri"/>
    <hyperlink ref="AC84" r:id="rId199" location="" tooltip="" display="Apri"/>
    <hyperlink ref="AA85" r:id="rId200" location="" tooltip="" display="1/1"/>
    <hyperlink ref="AB85" r:id="rId201" location="" tooltip="" display="Apri"/>
    <hyperlink ref="AC85" r:id="rId202" location="" tooltip="" display="Apri"/>
    <hyperlink ref="AA86" r:id="rId203" location="" tooltip="" display="0/0"/>
    <hyperlink ref="AB86" r:id="rId204" location="" tooltip="" display="Apri"/>
    <hyperlink ref="AC86" r:id="rId205" location="" tooltip="" display="Apri"/>
    <hyperlink ref="AA87" r:id="rId206" location="" tooltip="" display="0/0"/>
    <hyperlink ref="AB87" r:id="rId207" location="" tooltip="" display="Apri"/>
    <hyperlink ref="AC87" r:id="rId208" location="" tooltip="" display="Apri"/>
    <hyperlink ref="AA88" r:id="rId209" location="" tooltip="" display="0/0"/>
    <hyperlink ref="AB88" r:id="rId210" location="" tooltip="" display="Apri"/>
    <hyperlink ref="AC88" r:id="rId211" location="" tooltip="" display="Apri"/>
    <hyperlink ref="AA89" r:id="rId212" location="" tooltip="" display="0/0"/>
    <hyperlink ref="AB89" r:id="rId213" location="" tooltip="" display="Apri"/>
    <hyperlink ref="AC89" r:id="rId214" location="" tooltip="" display="Apri"/>
    <hyperlink ref="AB90" r:id="rId215" location="" tooltip="" display="Apri"/>
    <hyperlink ref="AC90" r:id="rId216" location="" tooltip="" display="Apri"/>
    <hyperlink ref="AA91" r:id="rId217" location="" tooltip="" display="0/0"/>
    <hyperlink ref="AB91" r:id="rId218" location="" tooltip="" display="Apri"/>
    <hyperlink ref="AC91" r:id="rId219" location="" tooltip="" display="Apri"/>
    <hyperlink ref="AA92" r:id="rId220" location="" tooltip="" display="0/0"/>
    <hyperlink ref="AB92" r:id="rId221" location="" tooltip="" display="Apri"/>
    <hyperlink ref="AC92" r:id="rId222" location="" tooltip="" display="Apri"/>
    <hyperlink ref="AA93" r:id="rId223" location="" tooltip="" display="0/0"/>
    <hyperlink ref="AB93" r:id="rId224" location="" tooltip="" display="Apri"/>
    <hyperlink ref="AC93" r:id="rId225" location="" tooltip="" display="Apri"/>
    <hyperlink ref="AA94" r:id="rId226" location="" tooltip="" display="0/0"/>
    <hyperlink ref="AB94" r:id="rId227" location="" tooltip="" display="Apri"/>
    <hyperlink ref="AC94" r:id="rId228" location="" tooltip="" display="Apri"/>
    <hyperlink ref="AB95" r:id="rId229" location="" tooltip="" display="Apri"/>
    <hyperlink ref="AC95" r:id="rId230" location="" tooltip="" display="Apri"/>
    <hyperlink ref="AA96" r:id="rId231" location="" tooltip="" display="0/0"/>
    <hyperlink ref="AB96" r:id="rId232" location="" tooltip="" display="Apri"/>
    <hyperlink ref="AC96" r:id="rId233" location="" tooltip="" display="Apri"/>
    <hyperlink ref="AA97" r:id="rId234" location="" tooltip="" display="0/0"/>
    <hyperlink ref="AB97" r:id="rId235" location="" tooltip="" display="Apri"/>
    <hyperlink ref="AC97" r:id="rId236" location="" tooltip="" display="Apri"/>
    <hyperlink ref="AA98" r:id="rId237" location="" tooltip="" display="0/0"/>
    <hyperlink ref="AB98" r:id="rId238" location="" tooltip="" display="Apri"/>
    <hyperlink ref="AC98" r:id="rId239" location="" tooltip="" display="Apri"/>
    <hyperlink ref="AA99" r:id="rId240" location="" tooltip="" display="0/0"/>
    <hyperlink ref="AB99" r:id="rId241" location="" tooltip="" display="Apri"/>
    <hyperlink ref="AC99" r:id="rId242" location="" tooltip="" display="Apri"/>
    <hyperlink ref="AA100" r:id="rId243" location="" tooltip="" display="0/0"/>
    <hyperlink ref="AB100" r:id="rId244" location="" tooltip="" display="Apri"/>
    <hyperlink ref="AC100" r:id="rId245" location="" tooltip="" display="Apri"/>
    <hyperlink ref="AA101" r:id="rId246" location="" tooltip="" display="0/0"/>
    <hyperlink ref="AB101" r:id="rId247" location="" tooltip="" display="Apri"/>
    <hyperlink ref="AC101" r:id="rId248" location="" tooltip="" display="Apri"/>
    <hyperlink ref="AA102" r:id="rId249" location="" tooltip="" display="0/0"/>
    <hyperlink ref="AB102" r:id="rId250" location="" tooltip="" display="Apri"/>
    <hyperlink ref="AC102" r:id="rId251" location="" tooltip="" display="Apri"/>
    <hyperlink ref="AA103" r:id="rId252" location="" tooltip="" display="0/0"/>
    <hyperlink ref="AB103" r:id="rId253" location="" tooltip="" display="Apri"/>
    <hyperlink ref="AC103" r:id="rId254" location="" tooltip="" display="Apri"/>
    <hyperlink ref="AA104" r:id="rId255" location="" tooltip="" display="0/0"/>
    <hyperlink ref="AB104" r:id="rId256" location="" tooltip="" display="Apri"/>
    <hyperlink ref="AC104" r:id="rId257" location="" tooltip="" display="Apri"/>
    <hyperlink ref="AB105" r:id="rId258" location="" tooltip="" display="Apri"/>
    <hyperlink ref="AC105" r:id="rId259" location="" tooltip="" display="Apri"/>
    <hyperlink ref="AA106" r:id="rId260" location="" tooltip="" display="0/0"/>
    <hyperlink ref="AB106" r:id="rId261" location="" tooltip="" display="Apri"/>
    <hyperlink ref="AC106" r:id="rId262" location="" tooltip="" display="Apri"/>
    <hyperlink ref="AB107" r:id="rId263" location="" tooltip="" display="Apri"/>
    <hyperlink ref="AC107" r:id="rId264" location="" tooltip="" display="Apri"/>
    <hyperlink ref="AA108" r:id="rId265" location="" tooltip="" display="0/0"/>
    <hyperlink ref="AB108" r:id="rId266" location="" tooltip="" display="Apri"/>
    <hyperlink ref="AC108" r:id="rId267" location="" tooltip="" display="Apri"/>
    <hyperlink ref="AA109" r:id="rId268" location="" tooltip="" display="0/0"/>
    <hyperlink ref="AB109" r:id="rId269" location="" tooltip="" display="Apri"/>
    <hyperlink ref="AC109" r:id="rId270" location="" tooltip="" display="Apri"/>
    <hyperlink ref="AA110" r:id="rId271" location="" tooltip="" display="0/0"/>
    <hyperlink ref="AB110" r:id="rId272" location="" tooltip="" display="Apri"/>
    <hyperlink ref="AC110" r:id="rId273" location="" tooltip="" display="Apri"/>
    <hyperlink ref="AA111" r:id="rId274" location="" tooltip="" display="0/0"/>
    <hyperlink ref="AB111" r:id="rId275" location="" tooltip="" display="Apri"/>
    <hyperlink ref="AC111" r:id="rId276" location="" tooltip="" display="Apri"/>
    <hyperlink ref="AA112" r:id="rId277" location="" tooltip="" display="0/0"/>
    <hyperlink ref="AB112" r:id="rId278" location="" tooltip="" display="Apri"/>
    <hyperlink ref="AC112" r:id="rId279" location="" tooltip="" display="Apri"/>
    <hyperlink ref="AA113" r:id="rId280" location="" tooltip="" display="0/0"/>
    <hyperlink ref="AB113" r:id="rId281" location="" tooltip="" display="Apri"/>
    <hyperlink ref="AC113" r:id="rId282" location="" tooltip="" display="Apri"/>
    <hyperlink ref="AA114" r:id="rId283" location="" tooltip="" display="0/0"/>
    <hyperlink ref="AB114" r:id="rId284" location="" tooltip="" display="Apri"/>
    <hyperlink ref="AC114" r:id="rId285" location="" tooltip="" display="Apri"/>
    <hyperlink ref="AB115" r:id="rId286" location="" tooltip="" display="Apri"/>
    <hyperlink ref="AC115" r:id="rId287" location="" tooltip="" display="Apri"/>
    <hyperlink ref="AA116" r:id="rId288" location="" tooltip="" display="0/0"/>
    <hyperlink ref="AB116" r:id="rId289" location="" tooltip="" display="Apri"/>
    <hyperlink ref="AC116" r:id="rId290" location="" tooltip="" display="Apri"/>
    <hyperlink ref="AA117" r:id="rId291" location="" tooltip="" display="0/0"/>
    <hyperlink ref="AB117" r:id="rId292" location="" tooltip="" display="Apri"/>
    <hyperlink ref="AC117" r:id="rId293" location="" tooltip="" display="Apri"/>
    <hyperlink ref="AA118" r:id="rId294" location="" tooltip="" display="0/0"/>
    <hyperlink ref="AB118" r:id="rId295" location="" tooltip="" display="Apri"/>
    <hyperlink ref="AC118" r:id="rId296" location="" tooltip="" display="Apri"/>
    <hyperlink ref="AA119" r:id="rId297" location="" tooltip="" display="0/0"/>
    <hyperlink ref="AB119" r:id="rId298" location="" tooltip="" display="Apri"/>
    <hyperlink ref="AC119" r:id="rId299" location="" tooltip="" display="Apri"/>
    <hyperlink ref="AA120" r:id="rId300" location="" tooltip="" display="0/0"/>
    <hyperlink ref="AB120" r:id="rId301" location="" tooltip="" display="Apri"/>
    <hyperlink ref="AC120" r:id="rId302" location="" tooltip="" display="Apri"/>
    <hyperlink ref="AA121" r:id="rId303" location="" tooltip="" display="0/0"/>
    <hyperlink ref="AB121" r:id="rId304" location="" tooltip="" display="Apri"/>
    <hyperlink ref="AC121" r:id="rId305" location="" tooltip="" display="Apri"/>
    <hyperlink ref="AA122" r:id="rId306" location="" tooltip="" display="0/0"/>
    <hyperlink ref="AB122" r:id="rId307" location="" tooltip="" display="Apri"/>
    <hyperlink ref="AC122" r:id="rId308" location="" tooltip="" display="Apri"/>
    <hyperlink ref="AA123" r:id="rId309" location="" tooltip="" display="0/0"/>
    <hyperlink ref="AB123" r:id="rId310" location="" tooltip="" display="Apri"/>
    <hyperlink ref="AC123" r:id="rId311" location="" tooltip="" display="Apri"/>
    <hyperlink ref="AA124" r:id="rId312" location="" tooltip="" display="0/0"/>
    <hyperlink ref="AB124" r:id="rId313" location="" tooltip="" display="Apri"/>
    <hyperlink ref="AC124" r:id="rId314" location="" tooltip="" display="Apri"/>
    <hyperlink ref="AA125" r:id="rId315" location="" tooltip="" display="0/0"/>
    <hyperlink ref="AB125" r:id="rId316" location="" tooltip="" display="Apri"/>
    <hyperlink ref="AC125" r:id="rId317" location="" tooltip="" display="Apri"/>
    <hyperlink ref="AA126" r:id="rId318" location="" tooltip="" display="0/0"/>
    <hyperlink ref="AB126" r:id="rId319" location="" tooltip="" display="Apri"/>
    <hyperlink ref="AC126" r:id="rId320" location="" tooltip="" display="Apri"/>
    <hyperlink ref="AA127" r:id="rId321" location="" tooltip="" display="0/0"/>
    <hyperlink ref="AB127" r:id="rId322" location="" tooltip="" display="Apri"/>
    <hyperlink ref="AC127" r:id="rId323" location="" tooltip="" display="Apri"/>
    <hyperlink ref="AA128" r:id="rId324" location="" tooltip="" display="0/0"/>
    <hyperlink ref="AB128" r:id="rId325" location="" tooltip="" display="Apri"/>
    <hyperlink ref="AC128" r:id="rId326" location="" tooltip="" display="Apri"/>
    <hyperlink ref="AA129" r:id="rId327" location="" tooltip="" display="0/0"/>
    <hyperlink ref="AB129" r:id="rId328" location="" tooltip="" display="Apri"/>
    <hyperlink ref="AC129" r:id="rId329" location="" tooltip="" display="Apri"/>
    <hyperlink ref="AB130" r:id="rId330" location="" tooltip="" display="Apri"/>
    <hyperlink ref="AC130" r:id="rId331" location="" tooltip="" display="Apri"/>
    <hyperlink ref="AB131" r:id="rId332" location="" tooltip="" display="Apri"/>
    <hyperlink ref="AC131" r:id="rId333" location="" tooltip="" display="Apri"/>
    <hyperlink ref="AB132" r:id="rId334" location="" tooltip="" display="Apri"/>
    <hyperlink ref="AC132" r:id="rId335" location="" tooltip="" display="Apri"/>
    <hyperlink ref="AB133" r:id="rId336" location="" tooltip="" display="Apri"/>
    <hyperlink ref="AC133" r:id="rId337" location="" tooltip="" display="Apri"/>
    <hyperlink ref="AA134" r:id="rId338" location="" tooltip="" display="0/0"/>
    <hyperlink ref="AB134" r:id="rId339" location="" tooltip="" display="Apri"/>
    <hyperlink ref="AC134" r:id="rId340" location="" tooltip="" display="Apri"/>
    <hyperlink ref="AA135" r:id="rId341" location="" tooltip="" display="0/0"/>
    <hyperlink ref="AB135" r:id="rId342" location="" tooltip="" display="Apri"/>
    <hyperlink ref="AC135" r:id="rId343" location="" tooltip="" display="Apri"/>
    <hyperlink ref="AB136" r:id="rId344" location="" tooltip="" display="Apri"/>
    <hyperlink ref="AC136" r:id="rId345" location="" tooltip="" display="Apri"/>
    <hyperlink ref="AA137" r:id="rId346" location="" tooltip="" display="0/0"/>
    <hyperlink ref="AB137" r:id="rId347" location="" tooltip="" display="Apri"/>
    <hyperlink ref="AC137" r:id="rId348" location="" tooltip="" display="Apri"/>
    <hyperlink ref="AA138" r:id="rId349" location="" tooltip="" display="0/0"/>
    <hyperlink ref="AB138" r:id="rId350" location="" tooltip="" display="Apri"/>
    <hyperlink ref="AC138" r:id="rId351" location="" tooltip="" display="Apri"/>
    <hyperlink ref="AA139" r:id="rId352" location="" tooltip="" display="0/0"/>
    <hyperlink ref="AB139" r:id="rId353" location="" tooltip="" display="Apri"/>
    <hyperlink ref="AC139" r:id="rId354" location="" tooltip="" display="Apri"/>
    <hyperlink ref="AB140" r:id="rId355" location="" tooltip="" display="Apri"/>
    <hyperlink ref="AC140" r:id="rId356" location="" tooltip="" display="Apri"/>
    <hyperlink ref="AA141" r:id="rId357" location="" tooltip="" display="0/0"/>
    <hyperlink ref="AB141" r:id="rId358" location="" tooltip="" display="Apri"/>
    <hyperlink ref="AC141" r:id="rId359" location="" tooltip="" display="Apri"/>
    <hyperlink ref="AA142" r:id="rId360" location="" tooltip="" display="0/0"/>
    <hyperlink ref="AB142" r:id="rId361" location="" tooltip="" display="Apri"/>
    <hyperlink ref="AC142" r:id="rId362" location="" tooltip="" display="Apri"/>
    <hyperlink ref="AB143" r:id="rId363" location="" tooltip="" display="Apri"/>
    <hyperlink ref="AC143" r:id="rId364" location="" tooltip="" display="Apri"/>
    <hyperlink ref="AB144" r:id="rId365" location="" tooltip="" display="Apri"/>
    <hyperlink ref="AC144" r:id="rId366" location="" tooltip="" display="Apri"/>
    <hyperlink ref="AB145" r:id="rId367" location="" tooltip="" display="Apri"/>
    <hyperlink ref="AC145" r:id="rId368" location="" tooltip="" display="Apri"/>
    <hyperlink ref="AA146" r:id="rId369" location="" tooltip="" display="0/0"/>
    <hyperlink ref="AB146" r:id="rId370" location="" tooltip="" display="Apri"/>
    <hyperlink ref="AC146" r:id="rId371" location="" tooltip="" display="Apri"/>
    <hyperlink ref="AA147" r:id="rId372" location="" tooltip="" display="0/0"/>
    <hyperlink ref="AB147" r:id="rId373" location="" tooltip="" display="Apri"/>
    <hyperlink ref="AC147" r:id="rId374" location="" tooltip="" display="Apri"/>
    <hyperlink ref="AA148" r:id="rId375" location="" tooltip="" display="0/0"/>
    <hyperlink ref="AB148" r:id="rId376" location="" tooltip="" display="Apri"/>
    <hyperlink ref="AC148" r:id="rId377" location="" tooltip="" display="Apri"/>
    <hyperlink ref="AA149" r:id="rId378" location="" tooltip="" display="0/0"/>
    <hyperlink ref="AB149" r:id="rId379" location="" tooltip="" display="Apri"/>
    <hyperlink ref="AC149" r:id="rId380" location="" tooltip="" display="Apri"/>
    <hyperlink ref="AA150" r:id="rId381" location="" tooltip="" display="0/0"/>
    <hyperlink ref="AB150" r:id="rId382" location="" tooltip="" display="Apri"/>
    <hyperlink ref="AC150" r:id="rId383" location="" tooltip="" display="Apri"/>
    <hyperlink ref="AA151" r:id="rId384" location="" tooltip="" display="0/0"/>
    <hyperlink ref="AB151" r:id="rId385" location="" tooltip="" display="Apri"/>
    <hyperlink ref="AC151" r:id="rId386" location="" tooltip="" display="Apri"/>
    <hyperlink ref="AA152" r:id="rId387" location="" tooltip="" display="0/0"/>
    <hyperlink ref="AB152" r:id="rId388" location="" tooltip="" display="Apri"/>
    <hyperlink ref="AC152" r:id="rId389" location="" tooltip="" display="Apri"/>
    <hyperlink ref="AA153" r:id="rId390" location="" tooltip="" display="0/0"/>
    <hyperlink ref="AB153" r:id="rId391" location="" tooltip="" display="Apri"/>
    <hyperlink ref="AC153" r:id="rId392" location="" tooltip="" display="Apri"/>
    <hyperlink ref="AA154" r:id="rId393" location="" tooltip="" display="0/0"/>
    <hyperlink ref="AB154" r:id="rId394" location="" tooltip="" display="Apri"/>
    <hyperlink ref="AC154" r:id="rId395" location="" tooltip="" display="Apri"/>
    <hyperlink ref="AA155" r:id="rId396" location="" tooltip="" display="0/0"/>
    <hyperlink ref="AB155" r:id="rId397" location="" tooltip="" display="Apri"/>
    <hyperlink ref="AC155" r:id="rId398" location="" tooltip="" display="Apri"/>
    <hyperlink ref="AB156" r:id="rId399" location="" tooltip="" display="Apri"/>
    <hyperlink ref="AC156" r:id="rId400" location="" tooltip="" display="Apri"/>
    <hyperlink ref="AA157" r:id="rId401" location="" tooltip="" display="0/0"/>
    <hyperlink ref="AB157" r:id="rId402" location="" tooltip="" display="Apri"/>
    <hyperlink ref="AC157" r:id="rId403" location="" tooltip="" display="Apri"/>
    <hyperlink ref="AA158" r:id="rId404" location="" tooltip="" display="0/0"/>
    <hyperlink ref="AB158" r:id="rId405" location="" tooltip="" display="Apri"/>
    <hyperlink ref="AC158" r:id="rId406" location="" tooltip="" display="Apri"/>
    <hyperlink ref="AA159" r:id="rId407" location="" tooltip="" display="0/0"/>
    <hyperlink ref="AB159" r:id="rId408" location="" tooltip="" display="Apri"/>
    <hyperlink ref="AC159" r:id="rId409" location="" tooltip="" display="Apri"/>
    <hyperlink ref="AA160" r:id="rId410" location="" tooltip="" display="0/0"/>
    <hyperlink ref="AB160" r:id="rId411" location="" tooltip="" display="Apri"/>
    <hyperlink ref="AC160" r:id="rId412" location="" tooltip="" display="Apri"/>
    <hyperlink ref="AB161" r:id="rId413" location="" tooltip="" display="Apri"/>
    <hyperlink ref="AC161" r:id="rId414" location="" tooltip="" display="Apri"/>
    <hyperlink ref="AA162" r:id="rId415" location="" tooltip="" display="0/0"/>
    <hyperlink ref="AB162" r:id="rId416" location="" tooltip="" display="Apri"/>
    <hyperlink ref="AC162" r:id="rId417" location="" tooltip="" display="Apri"/>
    <hyperlink ref="AA163" r:id="rId418" location="" tooltip="" display="0/0"/>
    <hyperlink ref="AB163" r:id="rId419" location="" tooltip="" display="Apri"/>
    <hyperlink ref="AC163" r:id="rId420" location="" tooltip="" display="Apri"/>
    <hyperlink ref="AA164" r:id="rId421" location="" tooltip="" display="0/0"/>
    <hyperlink ref="AB164" r:id="rId422" location="" tooltip="" display="Apri"/>
    <hyperlink ref="AC164" r:id="rId423" location="" tooltip="" display="Apri"/>
    <hyperlink ref="AB165" r:id="rId424" location="" tooltip="" display="Apri"/>
    <hyperlink ref="AC165" r:id="rId425" location="" tooltip="" display="Apri"/>
    <hyperlink ref="AA166" r:id="rId426" location="" tooltip="" display="0/0"/>
    <hyperlink ref="AB166" r:id="rId427" location="" tooltip="" display="Apri"/>
    <hyperlink ref="AC166" r:id="rId428" location="" tooltip="" display="Apri"/>
    <hyperlink ref="AA167" r:id="rId429" location="" tooltip="" display="0/0"/>
    <hyperlink ref="AB167" r:id="rId430" location="" tooltip="" display="Apri"/>
    <hyperlink ref="AC167" r:id="rId431" location="" tooltip="" display="Apri"/>
    <hyperlink ref="AB168" r:id="rId432" location="" tooltip="" display="Apri"/>
    <hyperlink ref="AC168" r:id="rId433" location="" tooltip="" display="Apri"/>
    <hyperlink ref="AB169" r:id="rId434" location="" tooltip="" display="Apri"/>
    <hyperlink ref="AC169" r:id="rId435" location="" tooltip="" display="Apri"/>
    <hyperlink ref="AB170" r:id="rId436" location="" tooltip="" display="Apri"/>
    <hyperlink ref="AC170" r:id="rId437" location="" tooltip="" display="Apri"/>
    <hyperlink ref="AA171" r:id="rId438" location="" tooltip="" display="0/0"/>
    <hyperlink ref="AB171" r:id="rId439" location="" tooltip="" display="Apri"/>
    <hyperlink ref="AC171" r:id="rId440" location="" tooltip="" display="Apri"/>
    <hyperlink ref="AB172" r:id="rId441" location="" tooltip="" display="Apri"/>
    <hyperlink ref="AC172" r:id="rId442" location="" tooltip="" display="Apri"/>
    <hyperlink ref="AA173" r:id="rId443" location="" tooltip="" display="0/0"/>
    <hyperlink ref="AB173" r:id="rId444" location="" tooltip="" display="Apri"/>
    <hyperlink ref="AC173" r:id="rId445" location="" tooltip="" display="Apri"/>
    <hyperlink ref="AA174" r:id="rId446" location="" tooltip="" display="0/0"/>
    <hyperlink ref="AB174" r:id="rId447" location="" tooltip="" display="Apri"/>
    <hyperlink ref="AC174" r:id="rId448" location="" tooltip="" display="Apri"/>
    <hyperlink ref="AA175" r:id="rId449" location="" tooltip="" display="0/0"/>
    <hyperlink ref="AB175" r:id="rId450" location="" tooltip="" display="Apri"/>
    <hyperlink ref="AC175" r:id="rId451" location="" tooltip="" display="Apri"/>
    <hyperlink ref="AA176" r:id="rId452" location="" tooltip="" display="0/0"/>
    <hyperlink ref="AB176" r:id="rId453" location="" tooltip="" display="Apri"/>
    <hyperlink ref="AC176" r:id="rId454" location="" tooltip="" display="Apri"/>
    <hyperlink ref="AA177" r:id="rId455" location="" tooltip="" display="0/0"/>
    <hyperlink ref="AB177" r:id="rId456" location="" tooltip="" display="Apri"/>
    <hyperlink ref="AC177" r:id="rId457" location="" tooltip="" display="Apri"/>
    <hyperlink ref="AB178" r:id="rId458" location="" tooltip="" display="Apri"/>
    <hyperlink ref="AC178" r:id="rId459" location="" tooltip="" display="Apri"/>
    <hyperlink ref="AA179" r:id="rId460" location="" tooltip="" display="0/0"/>
    <hyperlink ref="AB179" r:id="rId461" location="" tooltip="" display="Apri"/>
    <hyperlink ref="AC179" r:id="rId462" location="" tooltip="" display="Apri"/>
    <hyperlink ref="AB180" r:id="rId463" location="" tooltip="" display="Apri"/>
    <hyperlink ref="AC180" r:id="rId464" location="" tooltip="" display="Apri"/>
    <hyperlink ref="AB181" r:id="rId465" location="" tooltip="" display="Apri"/>
    <hyperlink ref="AC181" r:id="rId466" location="" tooltip="" display="Apri"/>
    <hyperlink ref="AB182" r:id="rId467" location="" tooltip="" display="Apri"/>
    <hyperlink ref="AC182" r:id="rId468" location="" tooltip="" display="Apri"/>
    <hyperlink ref="AB183" r:id="rId469" location="" tooltip="" display="Apri"/>
    <hyperlink ref="AC183" r:id="rId470" location="" tooltip="" display="Apri"/>
    <hyperlink ref="AB184" r:id="rId471" location="" tooltip="" display="Apri"/>
    <hyperlink ref="AC184" r:id="rId472" location="" tooltip="" display="Apri"/>
    <hyperlink ref="AB185" r:id="rId473" location="" tooltip="" display="Apri"/>
    <hyperlink ref="AC185" r:id="rId474" location="" tooltip="" display="Apri"/>
    <hyperlink ref="AB186" r:id="rId475" location="" tooltip="" display="Apri"/>
    <hyperlink ref="AC186" r:id="rId476" location="" tooltip="" display="Apri"/>
    <hyperlink ref="AB187" r:id="rId477" location="" tooltip="" display="Apri"/>
    <hyperlink ref="AC187" r:id="rId478" location="" tooltip="" display="Apri"/>
    <hyperlink ref="AB188" r:id="rId479" location="" tooltip="" display="Apri"/>
    <hyperlink ref="AC188" r:id="rId480" location="" tooltip="" display="Apri"/>
    <hyperlink ref="AB189" r:id="rId481" location="" tooltip="" display="Apri"/>
    <hyperlink ref="AC189" r:id="rId482" location="" tooltip="" display="Apri"/>
    <hyperlink ref="AA190" r:id="rId483" location="" tooltip="" display="0/0"/>
    <hyperlink ref="AB190" r:id="rId484" location="" tooltip="" display="Apri"/>
    <hyperlink ref="AC190" r:id="rId485" location="" tooltip="" display="Apri"/>
    <hyperlink ref="AA191" r:id="rId486" location="" tooltip="" display="0/0"/>
    <hyperlink ref="AB191" r:id="rId487" location="" tooltip="" display="Apri"/>
    <hyperlink ref="AC191" r:id="rId488" location="" tooltip="" display="Apri"/>
    <hyperlink ref="AA192" r:id="rId489" location="" tooltip="" display="0/0"/>
    <hyperlink ref="AB192" r:id="rId490" location="" tooltip="" display="Apri"/>
    <hyperlink ref="AC192" r:id="rId491" location="" tooltip="" display="Apri"/>
    <hyperlink ref="AB193" r:id="rId492" location="" tooltip="" display="Apri"/>
    <hyperlink ref="AC193" r:id="rId493" location="" tooltip="" display="Apri"/>
    <hyperlink ref="AB194" r:id="rId494" location="" tooltip="" display="Apri"/>
    <hyperlink ref="AC194" r:id="rId495" location="" tooltip="" display="Apri"/>
    <hyperlink ref="AA195" r:id="rId496" location="" tooltip="" display="0/0"/>
    <hyperlink ref="AB195" r:id="rId497" location="" tooltip="" display="Apri"/>
    <hyperlink ref="AC195" r:id="rId498" location="" tooltip="" display="Apri"/>
    <hyperlink ref="AA196" r:id="rId499" location="" tooltip="" display="0/0"/>
    <hyperlink ref="AB196" r:id="rId500" location="" tooltip="" display="Apri"/>
    <hyperlink ref="AC196" r:id="rId501" location="" tooltip="" display="Apri"/>
    <hyperlink ref="AA197" r:id="rId502" location="" tooltip="" display="0/0"/>
    <hyperlink ref="AB197" r:id="rId503" location="" tooltip="" display="Apri"/>
    <hyperlink ref="AC197" r:id="rId504" location="" tooltip="" display="Apri"/>
    <hyperlink ref="AB198" r:id="rId505" location="" tooltip="" display="Apri"/>
    <hyperlink ref="AC198" r:id="rId506" location="" tooltip="" display="Apri"/>
    <hyperlink ref="AA199" r:id="rId507" location="" tooltip="" display="0/0"/>
    <hyperlink ref="AB199" r:id="rId508" location="" tooltip="" display="Apri"/>
    <hyperlink ref="AC199" r:id="rId509" location="" tooltip="" display="Apri"/>
    <hyperlink ref="AA200" r:id="rId510" location="" tooltip="" display="0/0"/>
    <hyperlink ref="AB200" r:id="rId511" location="" tooltip="" display="Apri"/>
    <hyperlink ref="AC200" r:id="rId512" location="" tooltip="" display="Apri"/>
    <hyperlink ref="AA201" r:id="rId513" location="" tooltip="" display="0/0"/>
    <hyperlink ref="AB201" r:id="rId514" location="" tooltip="" display="Apri"/>
    <hyperlink ref="AC201" r:id="rId515" location="" tooltip="" display="Apri"/>
    <hyperlink ref="AA202" r:id="rId516" location="" tooltip="" display="0/0"/>
    <hyperlink ref="AB202" r:id="rId517" location="" tooltip="" display="Apri"/>
    <hyperlink ref="AC202" r:id="rId518" location="" tooltip="" display="Apri"/>
    <hyperlink ref="AB203" r:id="rId519" location="" tooltip="" display="Apri"/>
    <hyperlink ref="AC203" r:id="rId520" location="" tooltip="" display="Apri"/>
    <hyperlink ref="AB204" r:id="rId521" location="" tooltip="" display="Apri"/>
    <hyperlink ref="AC204" r:id="rId522" location="" tooltip="" display="Apri"/>
    <hyperlink ref="AA205" r:id="rId523" location="" tooltip="" display="0/0"/>
    <hyperlink ref="AB205" r:id="rId524" location="" tooltip="" display="Apri"/>
    <hyperlink ref="AC205" r:id="rId525" location="" tooltip="" display="Apri"/>
    <hyperlink ref="AA206" r:id="rId526" location="" tooltip="" display="0/0"/>
    <hyperlink ref="AB206" r:id="rId527" location="" tooltip="" display="Apri"/>
    <hyperlink ref="AC206" r:id="rId528" location="" tooltip="" display="Apri"/>
    <hyperlink ref="AA207" r:id="rId529" location="" tooltip="" display="0/0"/>
    <hyperlink ref="AB207" r:id="rId530" location="" tooltip="" display="Apri"/>
    <hyperlink ref="AC207" r:id="rId531" location="" tooltip="" display="Apri"/>
    <hyperlink ref="AB208" r:id="rId532" location="" tooltip="" display="Apri"/>
    <hyperlink ref="AC208" r:id="rId533" location="" tooltip="" display="Apri"/>
    <hyperlink ref="AA209" r:id="rId534" location="" tooltip="" display="0/0"/>
    <hyperlink ref="AB209" r:id="rId535" location="" tooltip="" display="Apri"/>
    <hyperlink ref="AC209" r:id="rId536" location="" tooltip="" display="Apri"/>
    <hyperlink ref="AA210" r:id="rId537" location="" tooltip="" display="0/0"/>
    <hyperlink ref="AB210" r:id="rId538" location="" tooltip="" display="Apri"/>
    <hyperlink ref="AC210" r:id="rId539" location="" tooltip="" display="Apri"/>
    <hyperlink ref="AB211" r:id="rId540" location="" tooltip="" display="Apri"/>
    <hyperlink ref="AC211" r:id="rId541" location="" tooltip="" display="Apri"/>
    <hyperlink ref="AA212" r:id="rId542" location="" tooltip="" display="0/0"/>
    <hyperlink ref="AB212" r:id="rId543" location="" tooltip="" display="Apri"/>
    <hyperlink ref="AC212" r:id="rId544" location="" tooltip="" display="Apri"/>
    <hyperlink ref="AA213" r:id="rId545" location="" tooltip="" display="0/0"/>
    <hyperlink ref="AB213" r:id="rId546" location="" tooltip="" display="Apri"/>
    <hyperlink ref="AC213" r:id="rId547" location="" tooltip="" display="Apri"/>
    <hyperlink ref="AB214" r:id="rId548" location="" tooltip="" display="Apri"/>
    <hyperlink ref="AC214" r:id="rId549" location="" tooltip="" display="Apri"/>
    <hyperlink ref="AA215" r:id="rId550" location="" tooltip="" display="0/0"/>
    <hyperlink ref="AB215" r:id="rId551" location="" tooltip="" display="Apri"/>
    <hyperlink ref="AC215" r:id="rId552" location="" tooltip="" display="Apri"/>
    <hyperlink ref="AA216" r:id="rId553" location="" tooltip="" display="0/0"/>
    <hyperlink ref="AB216" r:id="rId554" location="" tooltip="" display="Apri"/>
    <hyperlink ref="AC216" r:id="rId555" location="" tooltip="" display="Apri"/>
    <hyperlink ref="AA217" r:id="rId556" location="" tooltip="" display="0/0"/>
    <hyperlink ref="AB217" r:id="rId557" location="" tooltip="" display="Apri"/>
    <hyperlink ref="AC217" r:id="rId558" location="" tooltip="" display="Apri"/>
    <hyperlink ref="AB218" r:id="rId559" location="" tooltip="" display="Apri"/>
    <hyperlink ref="AC218" r:id="rId560" location="" tooltip="" display="Apri"/>
    <hyperlink ref="AA219" r:id="rId561" location="" tooltip="" display="0/0"/>
    <hyperlink ref="AB219" r:id="rId562" location="" tooltip="" display="Apri"/>
    <hyperlink ref="AC219" r:id="rId563" location="" tooltip="" display="Apri"/>
    <hyperlink ref="AB220" r:id="rId564" location="" tooltip="" display="Apri"/>
    <hyperlink ref="AC220" r:id="rId565" location="" tooltip="" display="Apri"/>
    <hyperlink ref="AA221" r:id="rId566" location="" tooltip="" display="0/0"/>
    <hyperlink ref="AB221" r:id="rId567" location="" tooltip="" display="Apri"/>
    <hyperlink ref="AC221" r:id="rId568" location="" tooltip="" display="Apri"/>
    <hyperlink ref="AA222" r:id="rId569" location="" tooltip="" display="0/0"/>
    <hyperlink ref="AB222" r:id="rId570" location="" tooltip="" display="Apri"/>
    <hyperlink ref="AC222" r:id="rId571" location="" tooltip="" display="Apri"/>
    <hyperlink ref="AA223" r:id="rId572" location="" tooltip="" display="0/0"/>
    <hyperlink ref="AB223" r:id="rId573" location="" tooltip="" display="Apri"/>
    <hyperlink ref="AC223" r:id="rId574" location="" tooltip="" display="Apri"/>
    <hyperlink ref="AA224" r:id="rId575" location="" tooltip="" display="0/0"/>
    <hyperlink ref="AB224" r:id="rId576" location="" tooltip="" display="Apri"/>
    <hyperlink ref="AC224" r:id="rId577" location="" tooltip="" display="Apri"/>
    <hyperlink ref="AB225" r:id="rId578" location="" tooltip="" display="Apri"/>
    <hyperlink ref="AC225" r:id="rId579" location="" tooltip="" display="Apri"/>
    <hyperlink ref="AA226" r:id="rId580" location="" tooltip="" display="0/0"/>
    <hyperlink ref="AA227" r:id="rId581" location="" tooltip="" display="0/0"/>
    <hyperlink ref="AB227" r:id="rId582" location="" tooltip="" display="Apri"/>
    <hyperlink ref="AC227" r:id="rId583" location="" tooltip="" display="Apri"/>
    <hyperlink ref="AA228" r:id="rId584" location="" tooltip="" display="0/0"/>
    <hyperlink ref="AB228" r:id="rId585" location="" tooltip="" display="Apri"/>
    <hyperlink ref="AC228" r:id="rId586" location="" tooltip="" display="Apri"/>
    <hyperlink ref="AA229" r:id="rId587" location="" tooltip="" display="0/0"/>
    <hyperlink ref="AB229" r:id="rId588" location="" tooltip="" display="Apri"/>
    <hyperlink ref="AC229" r:id="rId589" location="" tooltip="" display="Apri"/>
    <hyperlink ref="AB230" r:id="rId590" location="" tooltip="" display="Apri"/>
    <hyperlink ref="AC230" r:id="rId591" location="" tooltip="" display="Apri"/>
    <hyperlink ref="AA231" r:id="rId592" location="" tooltip="" display="0/0"/>
    <hyperlink ref="AB231" r:id="rId593" location="" tooltip="" display="Apri"/>
    <hyperlink ref="AC231" r:id="rId594" location="" tooltip="" display="Apri"/>
    <hyperlink ref="AB232" r:id="rId595" location="" tooltip="" display="Apri"/>
    <hyperlink ref="AC232" r:id="rId596" location="" tooltip="" display="Apri"/>
    <hyperlink ref="AB233" r:id="rId597" location="" tooltip="" display="Apri"/>
    <hyperlink ref="AC233" r:id="rId598" location="" tooltip="" display="Apri"/>
    <hyperlink ref="AB234" r:id="rId599" location="" tooltip="" display="Apri"/>
    <hyperlink ref="AC234" r:id="rId600" location="" tooltip="" display="Apri"/>
    <hyperlink ref="AA235" r:id="rId601" location="" tooltip="" display="0/0"/>
    <hyperlink ref="AB235" r:id="rId602" location="" tooltip="" display="Apri"/>
    <hyperlink ref="AC235" r:id="rId603" location="" tooltip="" display="Apri"/>
    <hyperlink ref="AA236" r:id="rId604" location="" tooltip="" display="0/0"/>
    <hyperlink ref="AB236" r:id="rId605" location="" tooltip="" display="Apri"/>
    <hyperlink ref="AC236" r:id="rId606" location="" tooltip="" display="Apri"/>
    <hyperlink ref="AA237" r:id="rId607" location="" tooltip="" display="0/0"/>
    <hyperlink ref="AB237" r:id="rId608" location="" tooltip="" display="Apri"/>
    <hyperlink ref="AC237" r:id="rId609" location="" tooltip="" display="Apri"/>
    <hyperlink ref="AA238" r:id="rId610" location="" tooltip="" display="0/0"/>
    <hyperlink ref="AB238" r:id="rId611" location="" tooltip="" display="Apri"/>
    <hyperlink ref="AC238" r:id="rId612" location="" tooltip="" display="Apri"/>
    <hyperlink ref="AA239" r:id="rId613" location="" tooltip="" display="0/0"/>
    <hyperlink ref="AB239" r:id="rId614" location="" tooltip="" display="Apri"/>
    <hyperlink ref="AC239" r:id="rId615" location="" tooltip="" display="Apri"/>
    <hyperlink ref="AB240" r:id="rId616" location="" tooltip="" display="Apri"/>
    <hyperlink ref="AC240" r:id="rId617" location="" tooltip="" display="Apri"/>
    <hyperlink ref="AA241" r:id="rId618" location="" tooltip="" display="0/0"/>
    <hyperlink ref="AB241" r:id="rId619" location="" tooltip="" display="Apri"/>
    <hyperlink ref="AC241" r:id="rId620" location="" tooltip="" display="Apri"/>
    <hyperlink ref="AA242" r:id="rId621" location="" tooltip="" display="0/0"/>
    <hyperlink ref="AB242" r:id="rId622" location="" tooltip="" display="Apri"/>
    <hyperlink ref="AC242" r:id="rId623" location="" tooltip="" display="Apri"/>
    <hyperlink ref="AA243" r:id="rId624" location="" tooltip="" display="0/0"/>
    <hyperlink ref="AB243" r:id="rId625" location="" tooltip="" display="Apri"/>
    <hyperlink ref="AC243" r:id="rId626" location="" tooltip="" display="Apri"/>
    <hyperlink ref="AA244" r:id="rId627" location="" tooltip="" display="0/0"/>
    <hyperlink ref="AB244" r:id="rId628" location="" tooltip="" display="Apri"/>
    <hyperlink ref="AC244" r:id="rId629" location="" tooltip="" display="Apri"/>
    <hyperlink ref="AB245" r:id="rId630" location="" tooltip="" display="Apri"/>
    <hyperlink ref="AC245" r:id="rId631" location="" tooltip="" display="Apri"/>
    <hyperlink ref="AB246" r:id="rId632" location="" tooltip="" display="Apri"/>
    <hyperlink ref="AC246" r:id="rId633" location="" tooltip="" display="Apri"/>
    <hyperlink ref="AB247" r:id="rId634" location="" tooltip="" display="Apri"/>
    <hyperlink ref="AC247" r:id="rId635" location="" tooltip="" display="Apri"/>
    <hyperlink ref="AB248" r:id="rId636" location="" tooltip="" display="Apri"/>
    <hyperlink ref="AC248" r:id="rId637" location="" tooltip="" display="Apri"/>
    <hyperlink ref="AA249" r:id="rId638" location="" tooltip="" display="0/0"/>
    <hyperlink ref="AB249" r:id="rId639" location="" tooltip="" display="Apri"/>
    <hyperlink ref="AC249" r:id="rId640" location="" tooltip="" display="Apri"/>
    <hyperlink ref="AA250" r:id="rId641" location="" tooltip="" display="0/0"/>
    <hyperlink ref="AB250" r:id="rId642" location="" tooltip="" display="Apri"/>
    <hyperlink ref="AC250" r:id="rId643" location="" tooltip="" display="Apri"/>
    <hyperlink ref="AB251" r:id="rId644" location="" tooltip="" display="Apri"/>
    <hyperlink ref="AC251" r:id="rId645" location="" tooltip="" display="Apri"/>
    <hyperlink ref="AA252" r:id="rId646" location="" tooltip="" display="0/0"/>
    <hyperlink ref="AB252" r:id="rId647" location="" tooltip="" display="Apri"/>
    <hyperlink ref="AC252" r:id="rId648" location="" tooltip="" display="Apri"/>
    <hyperlink ref="AA253" r:id="rId649" location="" tooltip="" display="0/0"/>
    <hyperlink ref="AB253" r:id="rId650" location="" tooltip="" display="Apri"/>
    <hyperlink ref="AC253" r:id="rId651" location="" tooltip="" display="Apri"/>
    <hyperlink ref="AB254" r:id="rId652" location="" tooltip="" display="Apri"/>
    <hyperlink ref="AC254" r:id="rId653" location="" tooltip="" display="Apri"/>
    <hyperlink ref="AA255" r:id="rId654" location="" tooltip="" display="0/0"/>
    <hyperlink ref="AB255" r:id="rId655" location="" tooltip="" display="Apri"/>
    <hyperlink ref="AC255" r:id="rId656" location="" tooltip="" display="Apri"/>
    <hyperlink ref="AA256" r:id="rId657" location="" tooltip="" display="0/0"/>
    <hyperlink ref="AB256" r:id="rId658" location="" tooltip="" display="Apri"/>
    <hyperlink ref="AC256" r:id="rId659" location="" tooltip="" display="Apri"/>
    <hyperlink ref="AB258" r:id="rId660" location="" tooltip="" display="Apri"/>
    <hyperlink ref="AC258" r:id="rId661" location="" tooltip="" display="Apri"/>
    <hyperlink ref="AA259" r:id="rId662" location="" tooltip="" display="0/0"/>
    <hyperlink ref="AB259" r:id="rId663" location="" tooltip="" display="Apri"/>
    <hyperlink ref="AC259" r:id="rId664" location="" tooltip="" display="Apri"/>
    <hyperlink ref="AB260" r:id="rId665" location="" tooltip="" display="Apri"/>
    <hyperlink ref="AC260" r:id="rId666" location="" tooltip="" display="Apri"/>
    <hyperlink ref="AA261" r:id="rId667" location="" tooltip="" display="0/0"/>
    <hyperlink ref="AB261" r:id="rId668" location="" tooltip="" display="Apri"/>
    <hyperlink ref="AC261" r:id="rId669" location="" tooltip="" display="Apri"/>
    <hyperlink ref="AA262" r:id="rId670" location="" tooltip="" display="0/0"/>
    <hyperlink ref="AB262" r:id="rId671" location="" tooltip="" display="Apri"/>
    <hyperlink ref="AC262" r:id="rId672" location="" tooltip="" display="Apri"/>
    <hyperlink ref="AA263" r:id="rId673" location="" tooltip="" display="0/0"/>
    <hyperlink ref="AB263" r:id="rId674" location="" tooltip="" display="Apri"/>
    <hyperlink ref="AC263" r:id="rId675" location="" tooltip="" display="Apri"/>
    <hyperlink ref="AB264" r:id="rId676" location="" tooltip="" display="Apri"/>
    <hyperlink ref="AC264" r:id="rId677" location="" tooltip="" display="Apri"/>
    <hyperlink ref="AA265" r:id="rId678" location="" tooltip="" display="0/0"/>
    <hyperlink ref="AA266" r:id="rId679" location="" tooltip="" display="0/0"/>
    <hyperlink ref="AB266" r:id="rId680" location="" tooltip="" display="Apri"/>
    <hyperlink ref="AC266" r:id="rId681" location="" tooltip="" display="Apri"/>
    <hyperlink ref="AB267" r:id="rId682" location="" tooltip="" display="Apri"/>
    <hyperlink ref="AC267" r:id="rId683" location="" tooltip="" display="Apri"/>
    <hyperlink ref="AA275" r:id="rId684" location="" tooltip="" display="0/0"/>
    <hyperlink ref="AA276" r:id="rId685" location="" tooltip="" display="4/5"/>
    <hyperlink ref="AB276" r:id="rId686" location="" tooltip="" display="Apri"/>
    <hyperlink ref="AC276" r:id="rId687" location="" tooltip="" display="Apri"/>
    <hyperlink ref="AA277" r:id="rId688" location="" tooltip="" display="0/2"/>
    <hyperlink ref="AB277" r:id="rId689" location="" tooltip="" display="Apri"/>
    <hyperlink ref="AC277" r:id="rId690" location="" tooltip="" display="Apri"/>
    <hyperlink ref="AA278" r:id="rId691" location="" tooltip="" display="5/5"/>
    <hyperlink ref="AB278" r:id="rId692" location="" tooltip="" display="Apri"/>
    <hyperlink ref="AC278" r:id="rId693" location="" tooltip="" display="Apri"/>
    <hyperlink ref="AA279" r:id="rId694" location="" tooltip="" display="0/0"/>
    <hyperlink ref="AB279" r:id="rId695" location="" tooltip="" display="Apri"/>
    <hyperlink ref="AC279" r:id="rId696" location="" tooltip="" display="Apri"/>
    <hyperlink ref="AA280" r:id="rId697" location="" tooltip="" display="0/0"/>
    <hyperlink ref="AB280" r:id="rId698" location="" tooltip="" display="Apri"/>
    <hyperlink ref="AC280" r:id="rId699" location="" tooltip="" display="Apri"/>
    <hyperlink ref="AA281" r:id="rId700" location="" tooltip="" display="0/1"/>
    <hyperlink ref="AB281" r:id="rId701" location="" tooltip="" display="Apri"/>
    <hyperlink ref="AC281" r:id="rId702" location="" tooltip="" display="Apri"/>
    <hyperlink ref="AA282" r:id="rId703" location="" tooltip="" display="4/6"/>
    <hyperlink ref="AB282" r:id="rId704" location="" tooltip="" display="Apri"/>
    <hyperlink ref="AC282" r:id="rId705" location="" tooltip="" display="Apri"/>
    <hyperlink ref="AA283" r:id="rId706" location="" tooltip="" display="0/0"/>
    <hyperlink ref="AB283" r:id="rId707" location="" tooltip="" display="Apri"/>
    <hyperlink ref="AC283" r:id="rId708" location="" tooltip="" display="Apri"/>
    <hyperlink ref="AA284" r:id="rId709" location="" tooltip="" display="0/1"/>
    <hyperlink ref="AB284" r:id="rId710" location="" tooltip="" display="Apri"/>
    <hyperlink ref="AC284" r:id="rId711" location="" tooltip="" display="Apri"/>
    <hyperlink ref="AA285" r:id="rId712" location="" tooltip="" display="3/3"/>
    <hyperlink ref="AB285" r:id="rId713" location="" tooltip="" display="Apri"/>
    <hyperlink ref="AC285" r:id="rId714" location="" tooltip="" display="Apri"/>
    <hyperlink ref="AA286" r:id="rId715" location="" tooltip="" display="1/1"/>
    <hyperlink ref="AB286" r:id="rId716" location="" tooltip="" display="Apri"/>
    <hyperlink ref="AC286" r:id="rId717" location="" tooltip="" display="Apri"/>
    <hyperlink ref="AA287" r:id="rId718" location="" tooltip="" display="4/4"/>
    <hyperlink ref="AB287" r:id="rId719" location="" tooltip="" display="Apri"/>
    <hyperlink ref="AC287" r:id="rId720" location="" tooltip="" display="Apri"/>
    <hyperlink ref="AA288" r:id="rId721" location="" tooltip="" display="0/0"/>
    <hyperlink ref="AB288" r:id="rId722" location="" tooltip="" display="Apri"/>
    <hyperlink ref="AC288" r:id="rId723" location="" tooltip="" display="Apri"/>
    <hyperlink ref="AA289" r:id="rId724" location="" tooltip="" display="0/0"/>
    <hyperlink ref="AB289" r:id="rId725" location="" tooltip="" display="Apri"/>
    <hyperlink ref="AC289" r:id="rId726" location="" tooltip="" display="Apri"/>
    <hyperlink ref="AA290" r:id="rId727" location="" tooltip="" display="0/0"/>
    <hyperlink ref="AB290" r:id="rId728" location="" tooltip="" display="Apri"/>
    <hyperlink ref="AC290" r:id="rId729" location="" tooltip="" display="Apri"/>
    <hyperlink ref="AA291" r:id="rId730" location="" tooltip="" display="0/0"/>
    <hyperlink ref="AB291" r:id="rId731" location="" tooltip="" display="Apri"/>
    <hyperlink ref="AC291" r:id="rId732" location="" tooltip="" display="Apri"/>
    <hyperlink ref="AA292" r:id="rId733" location="" tooltip="" display="0/0"/>
    <hyperlink ref="AB292" r:id="rId734" location="" tooltip="" display="Apri"/>
    <hyperlink ref="AC292" r:id="rId735" location="" tooltip="" display="Apri"/>
    <hyperlink ref="AA293" r:id="rId736" location="" tooltip="" display="0/1"/>
    <hyperlink ref="AB293" r:id="rId737" location="" tooltip="" display="Apri"/>
    <hyperlink ref="AC293" r:id="rId738" location="" tooltip="" display="Apri"/>
    <hyperlink ref="AA294" r:id="rId739" location="" tooltip="" display="0/0"/>
    <hyperlink ref="AB294" r:id="rId740" location="" tooltip="" display="Apri"/>
    <hyperlink ref="AC294" r:id="rId741" location="" tooltip="" display="Apri"/>
    <hyperlink ref="AA295" r:id="rId742" location="" tooltip="" display="1/1"/>
    <hyperlink ref="AB295" r:id="rId743" location="" tooltip="" display="Apri"/>
    <hyperlink ref="AC295" r:id="rId744" location="" tooltip="" display="Apri"/>
    <hyperlink ref="AA296" r:id="rId745" location="" tooltip="" display="0/1"/>
    <hyperlink ref="AB296" r:id="rId746" location="" tooltip="" display="Apri"/>
    <hyperlink ref="AC296" r:id="rId747" location="" tooltip="" display="Apri"/>
    <hyperlink ref="AA297" r:id="rId748" location="" tooltip="" display="0/0"/>
    <hyperlink ref="AB297" r:id="rId749" location="" tooltip="" display="Apri"/>
    <hyperlink ref="AC297" r:id="rId750" location="" tooltip="" display="Apri"/>
    <hyperlink ref="AA298" r:id="rId751" location="" tooltip="" display="0/0"/>
    <hyperlink ref="AB298" r:id="rId752" location="" tooltip="" display="Apri"/>
    <hyperlink ref="AC298" r:id="rId753" location="" tooltip="" display="Apri"/>
    <hyperlink ref="AA299" r:id="rId754" location="" tooltip="" display="1/1"/>
    <hyperlink ref="AB299" r:id="rId755" location="" tooltip="" display="Apri"/>
    <hyperlink ref="AC299" r:id="rId756" location="" tooltip="" display="Apri"/>
    <hyperlink ref="AA300" r:id="rId757" location="" tooltip="" display="0/0"/>
    <hyperlink ref="AB300" r:id="rId758" location="" tooltip="" display="Apri"/>
    <hyperlink ref="AC300" r:id="rId759" location="" tooltip="" display="Apri"/>
    <hyperlink ref="AB301" r:id="rId760" location="" tooltip="" display="Apri"/>
    <hyperlink ref="AC301" r:id="rId761" location="" tooltip="" display="Apri"/>
    <hyperlink ref="AA302" r:id="rId762" location="" tooltip="" display="0/0"/>
    <hyperlink ref="AB302" r:id="rId763" location="" tooltip="" display="Apri"/>
    <hyperlink ref="AC302" r:id="rId764" location="" tooltip="" display="Apri"/>
    <hyperlink ref="AA303" r:id="rId765" location="" tooltip="" display="0/0"/>
    <hyperlink ref="AB303" r:id="rId766" location="" tooltip="" display="Apri"/>
    <hyperlink ref="AC303" r:id="rId767" location="" tooltip="" display="Apri"/>
    <hyperlink ref="AA304" r:id="rId768" location="" tooltip="" display="0/0"/>
    <hyperlink ref="AB304" r:id="rId769" location="" tooltip="" display="Apri"/>
    <hyperlink ref="AC304" r:id="rId770" location="" tooltip="" display="Apri"/>
    <hyperlink ref="AA305" r:id="rId771" location="" tooltip="" display="0/0"/>
    <hyperlink ref="AB305" r:id="rId772" location="" tooltip="" display="Apri"/>
    <hyperlink ref="AC305" r:id="rId773" location="" tooltip="" display="Apri"/>
    <hyperlink ref="AB306" r:id="rId774" location="" tooltip="" display="Apri"/>
    <hyperlink ref="AC306" r:id="rId775" location="" tooltip="" display="Apri"/>
    <hyperlink ref="AA307" r:id="rId776" location="" tooltip="" display="0/0"/>
    <hyperlink ref="AB307" r:id="rId777" location="" tooltip="" display="Apri"/>
    <hyperlink ref="AC307" r:id="rId778" location="" tooltip="" display="Apri"/>
    <hyperlink ref="AA308" r:id="rId779" location="" tooltip="" display="0/0"/>
    <hyperlink ref="AB308" r:id="rId780" location="" tooltip="" display="Apri"/>
    <hyperlink ref="AC308" r:id="rId781" location="" tooltip="" display="Apri"/>
    <hyperlink ref="AA309" r:id="rId782" location="" tooltip="" display="3/3"/>
    <hyperlink ref="AB309" r:id="rId783" location="" tooltip="" display="Apri"/>
    <hyperlink ref="AC309" r:id="rId784" location="" tooltip="" display="Apri"/>
    <hyperlink ref="AA310" r:id="rId785" location="" tooltip="" display="1/1"/>
    <hyperlink ref="AB310" r:id="rId786" location="" tooltip="" display="Apri"/>
    <hyperlink ref="AC310" r:id="rId787" location="" tooltip="" display="Apri"/>
    <hyperlink ref="AB311" r:id="rId788" location="" tooltip="" display="Apri"/>
    <hyperlink ref="AC311" r:id="rId789" location="" tooltip="" display="Apri"/>
    <hyperlink ref="AA312" r:id="rId790" location="" tooltip="" display="0/0"/>
    <hyperlink ref="AB312" r:id="rId791" location="" tooltip="" display="Apri"/>
    <hyperlink ref="AC312" r:id="rId792" location="" tooltip="" display="Apri"/>
    <hyperlink ref="AA313" r:id="rId793" location="" tooltip="" display="0/0"/>
    <hyperlink ref="AB313" r:id="rId794" location="" tooltip="" display="Apri"/>
    <hyperlink ref="AC313" r:id="rId795" location="" tooltip="" display="Apri"/>
    <hyperlink ref="AA314" r:id="rId796" location="" tooltip="" display="0/0"/>
    <hyperlink ref="AB314" r:id="rId797" location="" tooltip="" display="Apri"/>
    <hyperlink ref="AC314" r:id="rId798" location="" tooltip="" display="Apri"/>
    <hyperlink ref="AB315" r:id="rId799" location="" tooltip="" display="Apri"/>
    <hyperlink ref="AC315" r:id="rId800" location="" tooltip="" display="Apri"/>
    <hyperlink ref="AA316" r:id="rId801" location="" tooltip="" display="0/0"/>
    <hyperlink ref="AB316" r:id="rId802" location="" tooltip="" display="Apri"/>
    <hyperlink ref="AC316" r:id="rId803" location="" tooltip="" display="Apri"/>
    <hyperlink ref="AA317" r:id="rId804" location="" tooltip="" display="0/0"/>
    <hyperlink ref="AB317" r:id="rId805" location="" tooltip="" display="Apri"/>
    <hyperlink ref="AC317" r:id="rId806" location="" tooltip="" display="Apri"/>
    <hyperlink ref="AB318" r:id="rId807" location="" tooltip="" display="Apri"/>
    <hyperlink ref="AC318" r:id="rId808" location="" tooltip="" display="Apri"/>
    <hyperlink ref="AA319" r:id="rId809" location="" tooltip="" display="0/0"/>
    <hyperlink ref="AB319" r:id="rId810" location="" tooltip="" display="Apri"/>
    <hyperlink ref="AC319" r:id="rId811" location="" tooltip="" display="Apri"/>
    <hyperlink ref="AA320" r:id="rId812" location="" tooltip="" display="0/0"/>
    <hyperlink ref="AB320" r:id="rId813" location="" tooltip="" display="Apri"/>
    <hyperlink ref="AC320" r:id="rId814" location="" tooltip="" display="Apri"/>
    <hyperlink ref="AA321" r:id="rId815" location="" tooltip="" display="2/2"/>
    <hyperlink ref="AB321" r:id="rId816" location="" tooltip="" display="Apri"/>
    <hyperlink ref="AC321" r:id="rId817" location="" tooltip="" display="Apri"/>
    <hyperlink ref="AB322" r:id="rId818" location="" tooltip="" display="Apri"/>
    <hyperlink ref="AC322" r:id="rId819" location="" tooltip="" display="Apri"/>
    <hyperlink ref="AA323" r:id="rId820" location="" tooltip="" display="2/2"/>
    <hyperlink ref="AB323" r:id="rId821" location="" tooltip="" display="Apri"/>
    <hyperlink ref="AC323" r:id="rId822" location="" tooltip="" display="Apri"/>
    <hyperlink ref="AA324" r:id="rId823" location="" tooltip="" display="0/0"/>
    <hyperlink ref="AB324" r:id="rId824" location="" tooltip="" display="Apri"/>
    <hyperlink ref="AC324" r:id="rId825" location="" tooltip="" display="Apri"/>
    <hyperlink ref="AA325" r:id="rId826" location="" tooltip="" display="0/0"/>
    <hyperlink ref="AB325" r:id="rId827" location="" tooltip="" display="Apri"/>
    <hyperlink ref="AC325" r:id="rId828" location="" tooltip="" display="Apri"/>
    <hyperlink ref="AA326" r:id="rId829" location="" tooltip="" display="0/0"/>
    <hyperlink ref="AB326" r:id="rId830" location="" tooltip="" display="Apri"/>
    <hyperlink ref="AC326" r:id="rId831" location="" tooltip="" display="Apri"/>
    <hyperlink ref="AA327" r:id="rId832" location="" tooltip="" display="0/0"/>
    <hyperlink ref="AB327" r:id="rId833" location="" tooltip="" display="Apri"/>
    <hyperlink ref="AC327" r:id="rId834" location="" tooltip="" display="Apri"/>
    <hyperlink ref="AA328" r:id="rId835" location="" tooltip="" display="0/0"/>
    <hyperlink ref="AB328" r:id="rId836" location="" tooltip="" display="Apri"/>
    <hyperlink ref="AC328" r:id="rId837" location="" tooltip="" display="Apri"/>
    <hyperlink ref="AA329" r:id="rId838" location="" tooltip="" display="0/0"/>
    <hyperlink ref="AB329" r:id="rId839" location="" tooltip="" display="Apri"/>
    <hyperlink ref="AC329" r:id="rId840" location="" tooltip="" display="Apri"/>
    <hyperlink ref="AA330" r:id="rId841" location="" tooltip="" display="0/0"/>
    <hyperlink ref="AB330" r:id="rId842" location="" tooltip="" display="Apri"/>
    <hyperlink ref="AC330" r:id="rId843" location="" tooltip="" display="Apri"/>
    <hyperlink ref="AA331" r:id="rId844" location="" tooltip="" display="0/0"/>
    <hyperlink ref="AB331" r:id="rId845" location="" tooltip="" display="Apri"/>
    <hyperlink ref="AC331" r:id="rId846" location="" tooltip="" display="Apri"/>
    <hyperlink ref="AA332" r:id="rId847" location="" tooltip="" display="0/0"/>
    <hyperlink ref="AB332" r:id="rId848" location="" tooltip="" display="Apri"/>
    <hyperlink ref="AC332" r:id="rId849" location="" tooltip="" display="Apri"/>
    <hyperlink ref="AA333" r:id="rId850" location="" tooltip="" display="0/0"/>
    <hyperlink ref="AB333" r:id="rId851" location="" tooltip="" display="Apri"/>
    <hyperlink ref="AC333" r:id="rId852" location="" tooltip="" display="Apri"/>
    <hyperlink ref="AA334" r:id="rId853" location="" tooltip="" display="0/0"/>
    <hyperlink ref="AB334" r:id="rId854" location="" tooltip="" display="Apri"/>
    <hyperlink ref="AC334" r:id="rId855" location="" tooltip="" display="Apri"/>
    <hyperlink ref="AA335" r:id="rId856" location="" tooltip="" display="0/0"/>
    <hyperlink ref="AB335" r:id="rId857" location="" tooltip="" display="Apri"/>
    <hyperlink ref="AC335" r:id="rId858" location="" tooltip="" display="Apri"/>
    <hyperlink ref="AA336" r:id="rId859" location="" tooltip="" display="0/0"/>
    <hyperlink ref="AB336" r:id="rId860" location="" tooltip="" display="Apri"/>
    <hyperlink ref="AC336" r:id="rId861" location="" tooltip="" display="Apri"/>
    <hyperlink ref="AA337" r:id="rId862" location="" tooltip="" display="0/0"/>
    <hyperlink ref="AB337" r:id="rId863" location="" tooltip="" display="Apri"/>
    <hyperlink ref="AC337" r:id="rId864" location="" tooltip="" display="Apri"/>
    <hyperlink ref="AA338" r:id="rId865" location="" tooltip="" display="0/0"/>
    <hyperlink ref="AB338" r:id="rId866" location="" tooltip="" display="Apri"/>
    <hyperlink ref="AC338" r:id="rId867" location="" tooltip="" display="Apri"/>
    <hyperlink ref="AA339" r:id="rId868" location="" tooltip="" display="0/0"/>
    <hyperlink ref="AB339" r:id="rId869" location="" tooltip="" display="Apri"/>
    <hyperlink ref="AC339" r:id="rId870" location="" tooltip="" display="Apri"/>
    <hyperlink ref="AA340" r:id="rId871" location="" tooltip="" display="0/0"/>
    <hyperlink ref="AB340" r:id="rId872" location="" tooltip="" display="Apri"/>
    <hyperlink ref="AC340" r:id="rId873" location="" tooltip="" display="Apri"/>
    <hyperlink ref="AA341" r:id="rId874" location="" tooltip="" display="0/0"/>
    <hyperlink ref="AB341" r:id="rId875" location="" tooltip="" display="Apri"/>
    <hyperlink ref="AC341" r:id="rId876" location="" tooltip="" display="Apri"/>
    <hyperlink ref="AA342" r:id="rId877" location="" tooltip="" display="0/0"/>
    <hyperlink ref="AB342" r:id="rId878" location="" tooltip="" display="Apri"/>
    <hyperlink ref="AC342" r:id="rId879" location="" tooltip="" display="Apri"/>
    <hyperlink ref="AA343" r:id="rId880" location="" tooltip="" display="0/0"/>
    <hyperlink ref="AB343" r:id="rId881" location="" tooltip="" display="Apri"/>
    <hyperlink ref="AC343" r:id="rId882" location="" tooltip="" display="Apri"/>
    <hyperlink ref="AA344" r:id="rId883" location="" tooltip="" display="0/0"/>
    <hyperlink ref="AB344" r:id="rId884" location="" tooltip="" display="Apri"/>
    <hyperlink ref="AC344" r:id="rId885" location="" tooltip="" display="Apri"/>
    <hyperlink ref="AB345" r:id="rId886" location="" tooltip="" display="Apri"/>
    <hyperlink ref="AC345" r:id="rId887" location="" tooltip="" display="Apri"/>
    <hyperlink ref="AA346" r:id="rId888" location="" tooltip="" display="0/0"/>
    <hyperlink ref="AB346" r:id="rId889" location="" tooltip="" display="Apri"/>
    <hyperlink ref="AC346" r:id="rId890" location="" tooltip="" display="Apri"/>
    <hyperlink ref="AA347" r:id="rId891" location="" tooltip="" display="1/1"/>
    <hyperlink ref="AB347" r:id="rId892" location="" tooltip="" display="Apri"/>
    <hyperlink ref="AC347" r:id="rId893" location="" tooltip="" display="Apri"/>
    <hyperlink ref="AA348" r:id="rId894" location="" tooltip="" display="0/0"/>
    <hyperlink ref="AB348" r:id="rId895" location="" tooltip="" display="Apri"/>
    <hyperlink ref="AC348" r:id="rId896" location="" tooltip="" display="Apri"/>
    <hyperlink ref="AA349" r:id="rId897" location="" tooltip="" display="0/0"/>
    <hyperlink ref="AB349" r:id="rId898" location="" tooltip="" display="Apri"/>
    <hyperlink ref="AC349" r:id="rId899" location="" tooltip="" display="Apri"/>
    <hyperlink ref="AA350" r:id="rId900" location="" tooltip="" display="0/0"/>
    <hyperlink ref="AB350" r:id="rId901" location="" tooltip="" display="Apri"/>
    <hyperlink ref="AC350" r:id="rId902" location="" tooltip="" display="Apri"/>
    <hyperlink ref="AA351" r:id="rId903" location="" tooltip="" display="0/0"/>
    <hyperlink ref="AB351" r:id="rId904" location="" tooltip="" display="Apri"/>
    <hyperlink ref="AC351" r:id="rId905" location="" tooltip="" display="Apri"/>
    <hyperlink ref="AA352" r:id="rId906" location="" tooltip="" display="0/0"/>
    <hyperlink ref="AB352" r:id="rId907" location="" tooltip="" display="Apri"/>
    <hyperlink ref="AC352" r:id="rId908" location="" tooltip="" display="Apri"/>
    <hyperlink ref="AA353" r:id="rId909" location="" tooltip="" display="0/0"/>
    <hyperlink ref="AB353" r:id="rId910" location="" tooltip="" display="Apri"/>
    <hyperlink ref="AC353" r:id="rId911" location="" tooltip="" display="Apri"/>
    <hyperlink ref="AA354" r:id="rId912" location="" tooltip="" display="0/0"/>
    <hyperlink ref="AB354" r:id="rId913" location="" tooltip="" display="Apri"/>
    <hyperlink ref="AC354" r:id="rId914" location="" tooltip="" display="Apri"/>
    <hyperlink ref="AA355" r:id="rId915" location="" tooltip="" display="0/0"/>
    <hyperlink ref="AB355" r:id="rId916" location="" tooltip="" display="Apri"/>
    <hyperlink ref="AC355" r:id="rId917" location="" tooltip="" display="Apri"/>
    <hyperlink ref="AA356" r:id="rId918" location="" tooltip="" display="0/0"/>
    <hyperlink ref="AB356" r:id="rId919" location="" tooltip="" display="Apri"/>
    <hyperlink ref="AC356" r:id="rId920" location="" tooltip="" display="Apri"/>
    <hyperlink ref="AA357" r:id="rId921" location="" tooltip="" display="0/0"/>
    <hyperlink ref="AB357" r:id="rId922" location="" tooltip="" display="Apri"/>
    <hyperlink ref="AC357" r:id="rId923" location="" tooltip="" display="Apri"/>
    <hyperlink ref="AA358" r:id="rId924" location="" tooltip="" display="0/0"/>
    <hyperlink ref="AB358" r:id="rId925" location="" tooltip="" display="Apri"/>
    <hyperlink ref="AC358" r:id="rId926" location="" tooltip="" display="Apri"/>
    <hyperlink ref="AB359" r:id="rId927" location="" tooltip="" display="Apri"/>
    <hyperlink ref="AC359" r:id="rId928" location="" tooltip="" display="Apri"/>
    <hyperlink ref="AA360" r:id="rId929" location="" tooltip="" display="0/0"/>
    <hyperlink ref="AB360" r:id="rId930" location="" tooltip="" display="Apri"/>
    <hyperlink ref="AC360" r:id="rId931" location="" tooltip="" display="Apri"/>
    <hyperlink ref="AA361" r:id="rId932" location="" tooltip="" display="0/0"/>
    <hyperlink ref="AB361" r:id="rId933" location="" tooltip="" display="Apri"/>
    <hyperlink ref="AC361" r:id="rId934" location="" tooltip="" display="Apri"/>
    <hyperlink ref="AB362" r:id="rId935" location="" tooltip="" display="Apri"/>
    <hyperlink ref="AC362" r:id="rId936" location="" tooltip="" display="Apri"/>
    <hyperlink ref="AB363" r:id="rId937" location="" tooltip="" display="Apri"/>
    <hyperlink ref="AC363" r:id="rId938" location="" tooltip="" display="Apri"/>
    <hyperlink ref="AA364" r:id="rId939" location="" tooltip="" display="0/0"/>
    <hyperlink ref="AB364" r:id="rId940" location="" tooltip="" display="Apri"/>
    <hyperlink ref="AC364" r:id="rId941" location="" tooltip="" display="Apri"/>
    <hyperlink ref="AB365" r:id="rId942" location="" tooltip="" display="Apri"/>
    <hyperlink ref="AC365" r:id="rId943" location="" tooltip="" display="Apri"/>
    <hyperlink ref="AA366" r:id="rId944" location="" tooltip="" display="0/0"/>
    <hyperlink ref="AB366" r:id="rId945" location="" tooltip="" display="Apri"/>
    <hyperlink ref="AC366" r:id="rId946" location="" tooltip="" display="Apri"/>
    <hyperlink ref="AA367" r:id="rId947" location="" tooltip="" display="0/0"/>
    <hyperlink ref="AB367" r:id="rId948" location="" tooltip="" display="Apri"/>
    <hyperlink ref="AC367" r:id="rId949" location="" tooltip="" display="Apri"/>
    <hyperlink ref="AB368" r:id="rId950" location="" tooltip="" display="Apri"/>
    <hyperlink ref="AC368" r:id="rId951" location="" tooltip="" display="Apri"/>
    <hyperlink ref="AB369" r:id="rId952" location="" tooltip="" display="Apri"/>
    <hyperlink ref="AC369" r:id="rId953" location="" tooltip="" display="Apri"/>
    <hyperlink ref="AA370" r:id="rId954" location="" tooltip="" display="0/0"/>
    <hyperlink ref="AB370" r:id="rId955" location="" tooltip="" display="Apri"/>
    <hyperlink ref="AC370" r:id="rId956" location="" tooltip="" display="Apri"/>
    <hyperlink ref="AA371" r:id="rId957" location="" tooltip="" display="0/0"/>
    <hyperlink ref="AB371" r:id="rId958" location="" tooltip="" display="Apri"/>
    <hyperlink ref="AC371" r:id="rId959" location="" tooltip="" display="Apri"/>
    <hyperlink ref="AB372" r:id="rId960" location="" tooltip="" display="Apri"/>
    <hyperlink ref="AC372" r:id="rId961" location="" tooltip="" display="Apri"/>
    <hyperlink ref="AB373" r:id="rId962" location="" tooltip="" display="Apri"/>
    <hyperlink ref="AC373" r:id="rId963" location="" tooltip="" display="Apri"/>
    <hyperlink ref="AA374" r:id="rId964" location="" tooltip="" display="0/0"/>
    <hyperlink ref="AB374" r:id="rId965" location="" tooltip="" display="Apri"/>
    <hyperlink ref="AC374" r:id="rId966" location="" tooltip="" display="Apri"/>
    <hyperlink ref="AB375" r:id="rId967" location="" tooltip="" display="Apri"/>
    <hyperlink ref="AC375" r:id="rId968" location="" tooltip="" display="Apri"/>
    <hyperlink ref="AA376" r:id="rId969" location="" tooltip="" display="0/0"/>
    <hyperlink ref="AB376" r:id="rId970" location="" tooltip="" display="Apri"/>
    <hyperlink ref="AC376" r:id="rId971" location="" tooltip="" display="Apri"/>
    <hyperlink ref="AA377" r:id="rId972" location="" tooltip="" display="0/0"/>
    <hyperlink ref="AB377" r:id="rId973" location="" tooltip="" display="Apri"/>
    <hyperlink ref="AC377" r:id="rId974" location="" tooltip="" display="Apri"/>
    <hyperlink ref="AB378" r:id="rId975" location="" tooltip="" display="Apri"/>
    <hyperlink ref="AC378" r:id="rId976" location="" tooltip="" display="Apri"/>
    <hyperlink ref="AA379" r:id="rId977" location="" tooltip="" display="0/0"/>
    <hyperlink ref="AB379" r:id="rId978" location="" tooltip="" display="Apri"/>
    <hyperlink ref="AC379" r:id="rId979" location="" tooltip="" display="Apri"/>
    <hyperlink ref="AA380" r:id="rId980" location="" tooltip="" display="0/0"/>
    <hyperlink ref="AB380" r:id="rId981" location="" tooltip="" display="Apri"/>
    <hyperlink ref="AC380" r:id="rId982" location="" tooltip="" display="Apri"/>
    <hyperlink ref="AA381" r:id="rId983" location="" tooltip="" display="2/2"/>
    <hyperlink ref="AB381" r:id="rId984" location="" tooltip="" display="Apri"/>
    <hyperlink ref="AC381" r:id="rId985" location="" tooltip="" display="Apri"/>
    <hyperlink ref="AA382" r:id="rId986" location="" tooltip="" display="0/0"/>
    <hyperlink ref="AB382" r:id="rId987" location="" tooltip="" display="Apri"/>
    <hyperlink ref="AC382" r:id="rId988" location="" tooltip="" display="Apri"/>
    <hyperlink ref="AB383" r:id="rId989" location="" tooltip="" display="Apri"/>
    <hyperlink ref="AC383" r:id="rId990" location="" tooltip="" display="Apri"/>
    <hyperlink ref="AA384" r:id="rId991" location="" tooltip="" display="0/0"/>
    <hyperlink ref="AB384" r:id="rId992" location="" tooltip="" display="Apri"/>
    <hyperlink ref="AC384" r:id="rId993" location="" tooltip="" display="Apri"/>
    <hyperlink ref="AA385" r:id="rId994" location="" tooltip="" display="0/0"/>
    <hyperlink ref="AB385" r:id="rId995" location="" tooltip="" display="Apri"/>
    <hyperlink ref="AC385" r:id="rId996" location="" tooltip="" display="Apri"/>
    <hyperlink ref="AA386" r:id="rId997" location="" tooltip="" display="0/0"/>
    <hyperlink ref="AB386" r:id="rId998" location="" tooltip="" display="Apri"/>
    <hyperlink ref="AC386" r:id="rId999" location="" tooltip="" display="Apri"/>
    <hyperlink ref="AA387" r:id="rId1000" location="" tooltip="" display="0/0"/>
    <hyperlink ref="AB387" r:id="rId1001" location="" tooltip="" display="Apri"/>
    <hyperlink ref="AC387" r:id="rId1002" location="" tooltip="" display="Apri"/>
    <hyperlink ref="AB388" r:id="rId1003" location="" tooltip="" display="Apri"/>
    <hyperlink ref="AC388" r:id="rId1004" location="" tooltip="" display="Apri"/>
    <hyperlink ref="AB389" r:id="rId1005" location="" tooltip="" display="Apri"/>
    <hyperlink ref="AC389" r:id="rId1006" location="" tooltip="" display="Apri"/>
    <hyperlink ref="AA390" r:id="rId1007" location="" tooltip="" display="0/0"/>
    <hyperlink ref="AB390" r:id="rId1008" location="" tooltip="" display="Apri"/>
    <hyperlink ref="AC390" r:id="rId1009" location="" tooltip="" display="Apri"/>
    <hyperlink ref="AA391" r:id="rId1010" location="" tooltip="" display="0/0"/>
    <hyperlink ref="AB391" r:id="rId1011" location="" tooltip="" display="Apri"/>
    <hyperlink ref="AC391" r:id="rId1012" location="" tooltip="" display="Apri"/>
    <hyperlink ref="AA392" r:id="rId1013" location="" tooltip="" display="0/0"/>
    <hyperlink ref="AB392" r:id="rId1014" location="" tooltip="" display="Apri"/>
    <hyperlink ref="AC392" r:id="rId1015" location="" tooltip="" display="Apri"/>
    <hyperlink ref="AB393" r:id="rId1016" location="" tooltip="" display="Apri"/>
    <hyperlink ref="AC393" r:id="rId1017" location="" tooltip="" display="Apri"/>
    <hyperlink ref="AA394" r:id="rId1018" location="" tooltip="" display="0/0"/>
    <hyperlink ref="AB394" r:id="rId1019" location="" tooltip="" display="Apri"/>
    <hyperlink ref="AC394" r:id="rId1020" location="" tooltip="" display="Apri"/>
    <hyperlink ref="AB395" r:id="rId1021" location="" tooltip="" display="Apri"/>
    <hyperlink ref="AC395" r:id="rId1022" location="" tooltip="" display="Apri"/>
    <hyperlink ref="AB396" r:id="rId1023" location="" tooltip="" display="Apri"/>
    <hyperlink ref="AC396" r:id="rId1024" location="" tooltip="" display="Apri"/>
    <hyperlink ref="AA397" r:id="rId1025" location="" tooltip="" display="0/0"/>
    <hyperlink ref="AB397" r:id="rId1026" location="" tooltip="" display="Apri"/>
    <hyperlink ref="AC397" r:id="rId1027" location="" tooltip="" display="Apri"/>
    <hyperlink ref="AA398" r:id="rId1028" location="" tooltip="" display="0/0"/>
    <hyperlink ref="AB398" r:id="rId1029" location="" tooltip="" display="Apri"/>
    <hyperlink ref="AC398" r:id="rId1030" location="" tooltip="" display="Apri"/>
    <hyperlink ref="AB399" r:id="rId1031" location="" tooltip="" display="Apri"/>
    <hyperlink ref="AC399" r:id="rId1032" location="" tooltip="" display="Apri"/>
    <hyperlink ref="AB400" r:id="rId1033" location="" tooltip="" display="Apri"/>
    <hyperlink ref="AC400" r:id="rId1034" location="" tooltip="" display="Apri"/>
    <hyperlink ref="AA401" r:id="rId1035" location="" tooltip="" display="0/0"/>
    <hyperlink ref="AB401" r:id="rId1036" location="" tooltip="" display="Apri"/>
    <hyperlink ref="AC401" r:id="rId1037" location="" tooltip="" display="Apri"/>
    <hyperlink ref="AA402" r:id="rId1038" location="" tooltip="" display="0/0"/>
    <hyperlink ref="AB402" r:id="rId1039" location="" tooltip="" display="Apri"/>
    <hyperlink ref="AC402" r:id="rId1040" location="" tooltip="" display="Apri"/>
    <hyperlink ref="AA403" r:id="rId1041" location="" tooltip="" display="0/0"/>
    <hyperlink ref="AB403" r:id="rId1042" location="" tooltip="" display="Apri"/>
    <hyperlink ref="AC403" r:id="rId1043" location="" tooltip="" display="Apri"/>
    <hyperlink ref="AA404" r:id="rId1044" location="" tooltip="" display="0/0"/>
    <hyperlink ref="AB404" r:id="rId1045" location="" tooltip="" display="Apri"/>
    <hyperlink ref="AC404" r:id="rId1046" location="" tooltip="" display="Apri"/>
    <hyperlink ref="AA405" r:id="rId1047" location="" tooltip="" display="0/0"/>
    <hyperlink ref="AB405" r:id="rId1048" location="" tooltip="" display="Apri"/>
    <hyperlink ref="AC405" r:id="rId1049" location="" tooltip="" display="Apri"/>
    <hyperlink ref="AA406" r:id="rId1050" location="" tooltip="" display="0/0"/>
    <hyperlink ref="AB406" r:id="rId1051" location="" tooltip="" display="Apri"/>
    <hyperlink ref="AC406" r:id="rId1052" location="" tooltip="" display="Apri"/>
    <hyperlink ref="AA407" r:id="rId1053" location="" tooltip="" display="0/0"/>
    <hyperlink ref="AB407" r:id="rId1054" location="" tooltip="" display="Apri"/>
    <hyperlink ref="AC407" r:id="rId1055" location="" tooltip="" display="Apri"/>
    <hyperlink ref="AA408" r:id="rId1056" location="" tooltip="" display="0/0"/>
    <hyperlink ref="AB408" r:id="rId1057" location="" tooltip="" display="Apri"/>
    <hyperlink ref="AC408" r:id="rId1058" location="" tooltip="" display="Apri"/>
    <hyperlink ref="AB409" r:id="rId1059" location="" tooltip="" display="Apri"/>
    <hyperlink ref="AC409" r:id="rId1060" location="" tooltip="" display="Apri"/>
    <hyperlink ref="AA410" r:id="rId1061" location="" tooltip="" display="0/0"/>
    <hyperlink ref="AB410" r:id="rId1062" location="" tooltip="" display="Apri"/>
    <hyperlink ref="AC410" r:id="rId1063" location="" tooltip="" display="Apri"/>
    <hyperlink ref="AA411" r:id="rId1064" location="" tooltip="" display="0/0"/>
    <hyperlink ref="AB411" r:id="rId1065" location="" tooltip="" display="Apri"/>
    <hyperlink ref="AC411" r:id="rId1066" location="" tooltip="" display="Apri"/>
    <hyperlink ref="AA412" r:id="rId1067" location="" tooltip="" display="0/0"/>
    <hyperlink ref="AB412" r:id="rId1068" location="" tooltip="" display="Apri"/>
    <hyperlink ref="AC412" r:id="rId1069" location="" tooltip="" display="Apri"/>
    <hyperlink ref="AA413" r:id="rId1070" location="" tooltip="" display="0/0"/>
    <hyperlink ref="AB413" r:id="rId1071" location="" tooltip="" display="Apri"/>
    <hyperlink ref="AC413" r:id="rId1072" location="" tooltip="" display="Apri"/>
    <hyperlink ref="AB414" r:id="rId1073" location="" tooltip="" display="Apri"/>
    <hyperlink ref="AC414" r:id="rId1074" location="" tooltip="" display="Apri"/>
    <hyperlink ref="AB415" r:id="rId1075" location="" tooltip="" display="Apri"/>
    <hyperlink ref="AC415" r:id="rId1076" location="" tooltip="" display="Apri"/>
    <hyperlink ref="AA416" r:id="rId1077" location="" tooltip="" display="0/0"/>
    <hyperlink ref="AB416" r:id="rId1078" location="" tooltip="" display="Apri"/>
    <hyperlink ref="AC416" r:id="rId1079" location="" tooltip="" display="Apri"/>
    <hyperlink ref="AA417" r:id="rId1080" location="" tooltip="" display="0/0"/>
    <hyperlink ref="AB418" r:id="rId1081" location="" tooltip="" display="Apri"/>
    <hyperlink ref="AC418" r:id="rId1082" location="" tooltip="" display="Apri"/>
    <hyperlink ref="AB419" r:id="rId1083" location="" tooltip="" display="Apri"/>
    <hyperlink ref="AC419" r:id="rId1084" location="" tooltip="" display="Apri"/>
    <hyperlink ref="AA420" r:id="rId1085" location="" tooltip="" display="0/0"/>
    <hyperlink ref="AB420" r:id="rId1086" location="" tooltip="" display="Apri"/>
    <hyperlink ref="AC420" r:id="rId1087" location="" tooltip="" display="Apri"/>
    <hyperlink ref="AA421" r:id="rId1088" location="" tooltip="" display="0/0"/>
    <hyperlink ref="AB421" r:id="rId1089" location="" tooltip="" display="Apri"/>
    <hyperlink ref="AC421" r:id="rId1090" location="" tooltip="" display="Apri"/>
    <hyperlink ref="AA422" r:id="rId1091" location="" tooltip="" display="0/0"/>
    <hyperlink ref="AB422" r:id="rId1092" location="" tooltip="" display="Apri"/>
    <hyperlink ref="AC422" r:id="rId1093" location="" tooltip="" display="Apri"/>
    <hyperlink ref="AA423" r:id="rId1094" location="" tooltip="" display="0/0"/>
    <hyperlink ref="AB423" r:id="rId1095" location="" tooltip="" display="Apri"/>
    <hyperlink ref="AC423" r:id="rId1096" location="" tooltip="" display="Apri"/>
    <hyperlink ref="AA424" r:id="rId1097" location="" tooltip="" display="0/0"/>
    <hyperlink ref="AB424" r:id="rId1098" location="" tooltip="" display="Apri"/>
    <hyperlink ref="AC424" r:id="rId1099" location="" tooltip="" display="Apri"/>
    <hyperlink ref="AA425" r:id="rId1100" location="" tooltip="" display="0/0"/>
    <hyperlink ref="AB426" r:id="rId1101" location="" tooltip="" display="Apri"/>
    <hyperlink ref="AC426" r:id="rId1102" location="" tooltip="" display="Apri"/>
    <hyperlink ref="AB427" r:id="rId1103" location="" tooltip="" display="Apri"/>
    <hyperlink ref="AC427" r:id="rId1104" location="" tooltip="" display="Apri"/>
    <hyperlink ref="AA428" r:id="rId1105" location="" tooltip="" display="0/0"/>
    <hyperlink ref="AB428" r:id="rId1106" location="" tooltip="" display="Apri"/>
    <hyperlink ref="AC428" r:id="rId1107" location="" tooltip="" display="Apri"/>
    <hyperlink ref="AA429" r:id="rId1108" location="" tooltip="" display="0/0"/>
    <hyperlink ref="AB429" r:id="rId1109" location="" tooltip="" display="Apri"/>
    <hyperlink ref="AC429" r:id="rId1110" location="" tooltip="" display="Apri"/>
    <hyperlink ref="AA430" r:id="rId1111" location="" tooltip="" display="0/0"/>
    <hyperlink ref="AB430" r:id="rId1112" location="" tooltip="" display="Apri"/>
    <hyperlink ref="AC430" r:id="rId1113" location="" tooltip="" display="Apri"/>
    <hyperlink ref="AB431" r:id="rId1114" location="" tooltip="" display="Apri"/>
    <hyperlink ref="AC431" r:id="rId1115" location="" tooltip="" display="Apri"/>
    <hyperlink ref="AB432" r:id="rId1116" location="" tooltip="" display="Apri"/>
    <hyperlink ref="AC432" r:id="rId1117" location="" tooltip="" display="Apri"/>
    <hyperlink ref="AA433" r:id="rId1118" location="" tooltip="" display="0/0"/>
    <hyperlink ref="AA434" r:id="rId1119" location="" tooltip="" display="0/0"/>
    <hyperlink ref="AB434" r:id="rId1120" location="" tooltip="" display="Apri"/>
    <hyperlink ref="AC434" r:id="rId1121" location="" tooltip="" display="Apri"/>
    <hyperlink ref="AA435" r:id="rId1122" location="" tooltip="" display="0/0"/>
    <hyperlink ref="AB435" r:id="rId1123" location="" tooltip="" display="Apri"/>
    <hyperlink ref="AC435" r:id="rId1124" location="" tooltip="" display="Apri"/>
    <hyperlink ref="AA436" r:id="rId1125" location="" tooltip="" display="0/0"/>
    <hyperlink ref="AB436" r:id="rId1126" location="" tooltip="" display="Apri"/>
    <hyperlink ref="AC436" r:id="rId1127" location="" tooltip="" display="Apri"/>
    <hyperlink ref="AB437" r:id="rId1128" location="" tooltip="" display="Apri"/>
    <hyperlink ref="AC437" r:id="rId1129" location="" tooltip="" display="Apri"/>
    <hyperlink ref="AB438" r:id="rId1130" location="" tooltip="" display="Apri"/>
    <hyperlink ref="AC438" r:id="rId1131" location="" tooltip="" display="Apri"/>
    <hyperlink ref="AB439" r:id="rId1132" location="" tooltip="" display="Apri"/>
    <hyperlink ref="AC439" r:id="rId1133" location="" tooltip="" display="Apri"/>
    <hyperlink ref="AA440" r:id="rId1134" location="" tooltip="" display="0/0"/>
    <hyperlink ref="AB440" r:id="rId1135" location="" tooltip="" display="Apri"/>
    <hyperlink ref="AC440" r:id="rId1136" location="" tooltip="" display="Apri"/>
    <hyperlink ref="AB441" r:id="rId1137" location="" tooltip="" display="Apri"/>
    <hyperlink ref="AC441" r:id="rId1138" location="" tooltip="" display="Apri"/>
    <hyperlink ref="AB442" r:id="rId1139" location="" tooltip="" display="Apri"/>
    <hyperlink ref="AC442" r:id="rId1140" location="" tooltip="" display="Apri"/>
    <hyperlink ref="AB443" r:id="rId1141" location="" tooltip="" display="Apri"/>
    <hyperlink ref="AC443" r:id="rId1142" location="" tooltip="" display="Apri"/>
    <hyperlink ref="AA444" r:id="rId1143" location="" tooltip="" display="0/0"/>
    <hyperlink ref="AB444" r:id="rId1144" location="" tooltip="" display="Apri"/>
    <hyperlink ref="AC444" r:id="rId1145" location="" tooltip="" display="Apri"/>
    <hyperlink ref="AB445" r:id="rId1146" location="" tooltip="" display="Apri"/>
    <hyperlink ref="AC445" r:id="rId1147" location="" tooltip="" display="Apri"/>
    <hyperlink ref="AB446" r:id="rId1148" location="" tooltip="" display="Apri"/>
    <hyperlink ref="AC446" r:id="rId1149" location="" tooltip="" display="Apri"/>
    <hyperlink ref="AA447" r:id="rId1150" location="" tooltip="" display="0/0"/>
    <hyperlink ref="AB447" r:id="rId1151" location="" tooltip="" display="Apri"/>
    <hyperlink ref="AC447" r:id="rId1152" location="" tooltip="" display="Apri"/>
    <hyperlink ref="AB448" r:id="rId1153" location="" tooltip="" display="Apri"/>
    <hyperlink ref="AC448" r:id="rId1154" location="" tooltip="" display="Apri"/>
    <hyperlink ref="AA450" r:id="rId1155" location="" tooltip="" display="0/0"/>
    <hyperlink ref="AB450" r:id="rId1156" location="" tooltip="" display="Apri"/>
    <hyperlink ref="AC450" r:id="rId1157" location="" tooltip="" display="Apri"/>
    <hyperlink ref="AA451" r:id="rId1158" location="" tooltip="" display="0/0"/>
    <hyperlink ref="AB451" r:id="rId1159" location="" tooltip="" display="Apri"/>
    <hyperlink ref="AC451" r:id="rId1160" location="" tooltip="" display="Apri"/>
    <hyperlink ref="AB452" r:id="rId1161" location="" tooltip="" display="Apri"/>
    <hyperlink ref="AC452" r:id="rId1162" location="" tooltip="" display="Apri"/>
    <hyperlink ref="AA453" r:id="rId1163" location="" tooltip="" display="2/3"/>
    <hyperlink ref="AA454" r:id="rId1164" location="" tooltip="" display="0/0"/>
    <hyperlink ref="AB454" r:id="rId1165" location="" tooltip="" display="Apri"/>
    <hyperlink ref="AC454" r:id="rId1166" location="" tooltip="" display="Apri"/>
    <hyperlink ref="AA455" r:id="rId1167" location="" tooltip="" display="0/0"/>
    <hyperlink ref="AB455" r:id="rId1168" location="" tooltip="" display="Apri"/>
    <hyperlink ref="AC455" r:id="rId1169" location="" tooltip="" display="Apri"/>
    <hyperlink ref="AA456" r:id="rId1170" location="" tooltip="" display="0/1"/>
    <hyperlink ref="AB457" r:id="rId1171" location="" tooltip="" display="Apri"/>
    <hyperlink ref="AC457" r:id="rId1172" location="" tooltip="" display="Apri"/>
    <hyperlink ref="AB461" r:id="rId1173" location="" tooltip="" display="Apri"/>
    <hyperlink ref="AC461" r:id="rId1174" location="" tooltip="" display="Apri"/>
    <hyperlink ref="AA462" r:id="rId1175" location="" tooltip="" display="0/0"/>
    <hyperlink ref="AA463" r:id="rId1176" location="" tooltip="" display="0/0"/>
    <hyperlink ref="AB463" r:id="rId1177" location="" tooltip="" display="Apri"/>
    <hyperlink ref="AC463" r:id="rId1178" location="" tooltip="" display="Apri"/>
    <hyperlink ref="AA464" r:id="rId1179" location="" tooltip="" display="0/0"/>
    <hyperlink ref="AB467" r:id="rId1180" location="" tooltip="" display="Apri"/>
    <hyperlink ref="AC467" r:id="rId1181" location="" tooltip="" display="Apri"/>
    <hyperlink ref="AA475" r:id="rId1182" location="" tooltip="" display="3/4"/>
    <hyperlink ref="AB475" r:id="rId1183" location="" tooltip="" display="Apri"/>
    <hyperlink ref="AC475" r:id="rId1184" location="" tooltip="" display="Apri"/>
    <hyperlink ref="AA476" r:id="rId1185" location="" tooltip="" display="0/0"/>
    <hyperlink ref="AB476" r:id="rId1186" location="" tooltip="" display="Apri"/>
    <hyperlink ref="AC476" r:id="rId1187" location="" tooltip="" display="Apri"/>
    <hyperlink ref="AA477" r:id="rId1188" location="" tooltip="" display="1/1"/>
    <hyperlink ref="AB477" r:id="rId1189" location="" tooltip="" display="Apri"/>
    <hyperlink ref="AC477" r:id="rId1190" location="" tooltip="" display="Apri"/>
    <hyperlink ref="AA478" r:id="rId1191" location="" tooltip="" display="0/0"/>
    <hyperlink ref="AB478" r:id="rId1192" location="" tooltip="" display="Apri"/>
    <hyperlink ref="AC478" r:id="rId1193" location="" tooltip="" display="Apri"/>
    <hyperlink ref="AB479" r:id="rId1194" location="" tooltip="" display="Apri"/>
    <hyperlink ref="AC479" r:id="rId1195" location="" tooltip="" display="Apri"/>
    <hyperlink ref="AA480" r:id="rId1196" location="" tooltip="" display="4/4"/>
    <hyperlink ref="AB480" r:id="rId1197" location="" tooltip="" display="Apri"/>
    <hyperlink ref="AC480" r:id="rId1198" location="" tooltip="" display="Apri"/>
    <hyperlink ref="AA481" r:id="rId1199" location="" tooltip="" display="2/2"/>
    <hyperlink ref="AB481" r:id="rId1200" location="" tooltip="" display="Apri"/>
    <hyperlink ref="AC481" r:id="rId1201" location="" tooltip="" display="Apri"/>
    <hyperlink ref="AB482" r:id="rId1202" location="" tooltip="" display="Apri"/>
    <hyperlink ref="AC482" r:id="rId1203" location="" tooltip="" display="Apri"/>
    <hyperlink ref="AA483" r:id="rId1204" location="" tooltip="" display="2/2"/>
    <hyperlink ref="AB483" r:id="rId1205" location="" tooltip="" display="Apri"/>
    <hyperlink ref="AC483" r:id="rId1206" location="" tooltip="" display="Apri"/>
    <hyperlink ref="AA484" r:id="rId1207" location="" tooltip="" display="0/1"/>
    <hyperlink ref="AB484" r:id="rId1208" location="" tooltip="" display="Apri"/>
    <hyperlink ref="AC484" r:id="rId1209" location="" tooltip="" display="Apri"/>
    <hyperlink ref="AA485" r:id="rId1210" location="" tooltip="" display="0/0"/>
    <hyperlink ref="AB485" r:id="rId1211" location="" tooltip="" display="Apri"/>
    <hyperlink ref="AC485" r:id="rId1212" location="" tooltip="" display="Apri"/>
    <hyperlink ref="AA486" r:id="rId1213" location="" tooltip="" display="0/0"/>
    <hyperlink ref="AB486" r:id="rId1214" location="" tooltip="" display="Apri"/>
    <hyperlink ref="AC486" r:id="rId1215" location="" tooltip="" display="Apri"/>
    <hyperlink ref="AA487" r:id="rId1216" location="" tooltip="" display="2/3"/>
    <hyperlink ref="AB487" r:id="rId1217" location="" tooltip="" display="Apri"/>
    <hyperlink ref="AC487" r:id="rId1218" location="" tooltip="" display="Apri"/>
    <hyperlink ref="AA488" r:id="rId1219" location="" tooltip="" display="1/2"/>
    <hyperlink ref="AB488" r:id="rId1220" location="" tooltip="" display="Apri"/>
    <hyperlink ref="AC488" r:id="rId1221" location="" tooltip="" display="Apri"/>
    <hyperlink ref="AA489" r:id="rId1222" location="" tooltip="" display="1/1"/>
    <hyperlink ref="AB489" r:id="rId1223" location="" tooltip="" display="Apri"/>
    <hyperlink ref="AC489" r:id="rId1224" location="" tooltip="" display="Apri"/>
    <hyperlink ref="AA490" r:id="rId1225" location="" tooltip="" display="0/1"/>
    <hyperlink ref="AB490" r:id="rId1226" location="" tooltip="" display="Apri"/>
    <hyperlink ref="AC490" r:id="rId1227" location="" tooltip="" display="Apri"/>
    <hyperlink ref="AA491" r:id="rId1228" location="" tooltip="" display="0/0"/>
    <hyperlink ref="AB491" r:id="rId1229" location="" tooltip="" display="Apri"/>
    <hyperlink ref="AC491" r:id="rId1230" location="" tooltip="" display="Apri"/>
    <hyperlink ref="AA492" r:id="rId1231" location="" tooltip="" display="0/0"/>
    <hyperlink ref="AB492" r:id="rId1232" location="" tooltip="" display="Apri"/>
    <hyperlink ref="AC492" r:id="rId1233" location="" tooltip="" display="Apri"/>
    <hyperlink ref="AB493" r:id="rId1234" location="" tooltip="" display="Apri"/>
    <hyperlink ref="AC493" r:id="rId1235" location="" tooltip="" display="Apri"/>
    <hyperlink ref="AA494" r:id="rId1236" location="" tooltip="" display="1/2"/>
    <hyperlink ref="AB494" r:id="rId1237" location="" tooltip="" display="Apri"/>
    <hyperlink ref="AC494" r:id="rId1238" location="" tooltip="" display="Apri"/>
    <hyperlink ref="AA495" r:id="rId1239" location="" tooltip="" display="0/0"/>
    <hyperlink ref="AB495" r:id="rId1240" location="" tooltip="" display="Apri"/>
    <hyperlink ref="AC495" r:id="rId1241" location="" tooltip="" display="Apri"/>
    <hyperlink ref="AA496" r:id="rId1242" location="" tooltip="" display="0/0"/>
    <hyperlink ref="AB496" r:id="rId1243" location="" tooltip="" display="Apri"/>
    <hyperlink ref="AC496" r:id="rId1244" location="" tooltip="" display="Apri"/>
    <hyperlink ref="AA497" r:id="rId1245" location="" tooltip="" display="0/0"/>
    <hyperlink ref="AB497" r:id="rId1246" location="" tooltip="" display="Apri"/>
    <hyperlink ref="AC497" r:id="rId1247" location="" tooltip="" display="Apri"/>
    <hyperlink ref="AA498" r:id="rId1248" location="" tooltip="" display="1/1"/>
    <hyperlink ref="AB498" r:id="rId1249" location="" tooltip="" display="Apri"/>
    <hyperlink ref="AC498" r:id="rId1250" location="" tooltip="" display="Apri"/>
    <hyperlink ref="AB499" r:id="rId1251" location="" tooltip="" display="Apri"/>
    <hyperlink ref="AC499" r:id="rId1252" location="" tooltip="" display="Apri"/>
    <hyperlink ref="AA500" r:id="rId1253" location="" tooltip="" display="0/0"/>
    <hyperlink ref="AB500" r:id="rId1254" location="" tooltip="" display="Apri"/>
    <hyperlink ref="AC500" r:id="rId1255" location="" tooltip="" display="Apri"/>
    <hyperlink ref="AA501" r:id="rId1256" location="" tooltip="" display="0/0"/>
    <hyperlink ref="AB501" r:id="rId1257" location="" tooltip="" display="Apri"/>
    <hyperlink ref="AC501" r:id="rId1258" location="" tooltip="" display="Apri"/>
    <hyperlink ref="AA502" r:id="rId1259" location="" tooltip="" display="0/0"/>
    <hyperlink ref="AB502" r:id="rId1260" location="" tooltip="" display="Apri"/>
    <hyperlink ref="AC502" r:id="rId1261" location="" tooltip="" display="Apri"/>
    <hyperlink ref="AA503" r:id="rId1262" location="" tooltip="" display="0/0"/>
    <hyperlink ref="AB503" r:id="rId1263" location="" tooltip="" display="Apri"/>
    <hyperlink ref="AC503" r:id="rId1264" location="" tooltip="" display="Apri"/>
    <hyperlink ref="AA504" r:id="rId1265" location="" tooltip="" display="1/1"/>
    <hyperlink ref="AB504" r:id="rId1266" location="" tooltip="" display="Apri"/>
    <hyperlink ref="AC504" r:id="rId1267" location="" tooltip="" display="Apri"/>
    <hyperlink ref="AA505" r:id="rId1268" location="" tooltip="" display="0/0"/>
    <hyperlink ref="AB505" r:id="rId1269" location="" tooltip="" display="Apri"/>
    <hyperlink ref="AC505" r:id="rId1270" location="" tooltip="" display="Apri"/>
    <hyperlink ref="AB506" r:id="rId1271" location="" tooltip="" display="Apri"/>
    <hyperlink ref="AC506" r:id="rId1272" location="" tooltip="" display="Apri"/>
    <hyperlink ref="AA507" r:id="rId1273" location="" tooltip="" display="0/0"/>
    <hyperlink ref="AB507" r:id="rId1274" location="" tooltip="" display="Apri"/>
    <hyperlink ref="AC507" r:id="rId1275" location="" tooltip="" display="Apri"/>
    <hyperlink ref="AA508" r:id="rId1276" location="" tooltip="" display="0/0"/>
    <hyperlink ref="AB508" r:id="rId1277" location="" tooltip="" display="Apri"/>
    <hyperlink ref="AC508" r:id="rId1278" location="" tooltip="" display="Apri"/>
    <hyperlink ref="AA509" r:id="rId1279" location="" tooltip="" display="0/0"/>
    <hyperlink ref="AB509" r:id="rId1280" location="" tooltip="" display="Apri"/>
    <hyperlink ref="AC509" r:id="rId1281" location="" tooltip="" display="Apri"/>
    <hyperlink ref="AB510" r:id="rId1282" location="" tooltip="" display="Apri"/>
    <hyperlink ref="AC510" r:id="rId1283" location="" tooltip="" display="Apri"/>
    <hyperlink ref="AA511" r:id="rId1284" location="" tooltip="" display="0/0"/>
    <hyperlink ref="AB511" r:id="rId1285" location="" tooltip="" display="Apri"/>
    <hyperlink ref="AC511" r:id="rId1286" location="" tooltip="" display="Apri"/>
    <hyperlink ref="AA512" r:id="rId1287" location="" tooltip="" display="0/0"/>
    <hyperlink ref="AB512" r:id="rId1288" location="" tooltip="" display="Apri"/>
    <hyperlink ref="AC512" r:id="rId1289" location="" tooltip="" display="Apri"/>
    <hyperlink ref="AA513" r:id="rId1290" location="" tooltip="" display="0/1"/>
    <hyperlink ref="AB513" r:id="rId1291" location="" tooltip="" display="Apri"/>
    <hyperlink ref="AC513" r:id="rId1292" location="" tooltip="" display="Apri"/>
    <hyperlink ref="AA514" r:id="rId1293" location="" tooltip="" display="0/0"/>
    <hyperlink ref="AB514" r:id="rId1294" location="" tooltip="" display="Apri"/>
    <hyperlink ref="AC514" r:id="rId1295" location="" tooltip="" display="Apri"/>
    <hyperlink ref="AA515" r:id="rId1296" location="" tooltip="" display="0/0"/>
    <hyperlink ref="AB515" r:id="rId1297" location="" tooltip="" display="Apri"/>
    <hyperlink ref="AC515" r:id="rId1298" location="" tooltip="" display="Apri"/>
    <hyperlink ref="AA516" r:id="rId1299" location="" tooltip="" display="0/0"/>
    <hyperlink ref="AB516" r:id="rId1300" location="" tooltip="" display="Apri"/>
    <hyperlink ref="AC516" r:id="rId1301" location="" tooltip="" display="Apri"/>
    <hyperlink ref="AA517" r:id="rId1302" location="" tooltip="" display="1/1"/>
    <hyperlink ref="AB517" r:id="rId1303" location="" tooltip="" display="Apri"/>
    <hyperlink ref="AC517" r:id="rId1304" location="" tooltip="" display="Apri"/>
    <hyperlink ref="AB518" r:id="rId1305" location="" tooltip="" display="Apri"/>
    <hyperlink ref="AC518" r:id="rId1306" location="" tooltip="" display="Apri"/>
    <hyperlink ref="AA519" r:id="rId1307" location="" tooltip="" display="0/0"/>
    <hyperlink ref="AB519" r:id="rId1308" location="" tooltip="" display="Apri"/>
    <hyperlink ref="AC519" r:id="rId1309" location="" tooltip="" display="Apri"/>
    <hyperlink ref="AA520" r:id="rId1310" location="" tooltip="" display="0/0"/>
    <hyperlink ref="AB520" r:id="rId1311" location="" tooltip="" display="Apri"/>
    <hyperlink ref="AC520" r:id="rId1312" location="" tooltip="" display="Apri"/>
    <hyperlink ref="AB521" r:id="rId1313" location="" tooltip="" display="Apri"/>
    <hyperlink ref="AC521" r:id="rId1314" location="" tooltip="" display="Apri"/>
    <hyperlink ref="AA522" r:id="rId1315" location="" tooltip="" display="0/0"/>
    <hyperlink ref="AB522" r:id="rId1316" location="" tooltip="" display="Apri"/>
    <hyperlink ref="AC522" r:id="rId1317" location="" tooltip="" display="Apri"/>
    <hyperlink ref="AA523" r:id="rId1318" location="" tooltip="" display="0/0"/>
    <hyperlink ref="AB523" r:id="rId1319" location="" tooltip="" display="Apri"/>
    <hyperlink ref="AC523" r:id="rId1320" location="" tooltip="" display="Apri"/>
    <hyperlink ref="AA524" r:id="rId1321" location="" tooltip="" display="0/0"/>
    <hyperlink ref="AB524" r:id="rId1322" location="" tooltip="" display="Apri"/>
    <hyperlink ref="AC524" r:id="rId1323" location="" tooltip="" display="Apri"/>
    <hyperlink ref="AB525" r:id="rId1324" location="" tooltip="" display="Apri"/>
    <hyperlink ref="AC525" r:id="rId1325" location="" tooltip="" display="Apri"/>
    <hyperlink ref="AB526" r:id="rId1326" location="" tooltip="" display="Apri"/>
    <hyperlink ref="AC526" r:id="rId1327" location="" tooltip="" display="Apri"/>
    <hyperlink ref="AB527" r:id="rId1328" location="" tooltip="" display="Apri"/>
    <hyperlink ref="AC527" r:id="rId1329" location="" tooltip="" display="Apri"/>
    <hyperlink ref="AB528" r:id="rId1330" location="" tooltip="" display="Apri"/>
    <hyperlink ref="AC528" r:id="rId1331" location="" tooltip="" display="Apri"/>
    <hyperlink ref="AA529" r:id="rId1332" location="" tooltip="" display="0/0"/>
    <hyperlink ref="AB529" r:id="rId1333" location="" tooltip="" display="Apri"/>
    <hyperlink ref="AC529" r:id="rId1334" location="" tooltip="" display="Apri"/>
    <hyperlink ref="AA530" r:id="rId1335" location="" tooltip="" display="0/0"/>
    <hyperlink ref="AB530" r:id="rId1336" location="" tooltip="" display="Apri"/>
    <hyperlink ref="AC530" r:id="rId1337" location="" tooltip="" display="Apri"/>
    <hyperlink ref="AA531" r:id="rId1338" location="" tooltip="" display="0/0"/>
    <hyperlink ref="AB531" r:id="rId1339" location="" tooltip="" display="Apri"/>
    <hyperlink ref="AC531" r:id="rId1340" location="" tooltip="" display="Apri"/>
    <hyperlink ref="AB532" r:id="rId1341" location="" tooltip="" display="Apri"/>
    <hyperlink ref="AC532" r:id="rId1342" location="" tooltip="" display="Apri"/>
    <hyperlink ref="AA533" r:id="rId1343" location="" tooltip="" display="0/0"/>
    <hyperlink ref="AB533" r:id="rId1344" location="" tooltip="" display="Apri"/>
    <hyperlink ref="AC533" r:id="rId1345" location="" tooltip="" display="Apri"/>
    <hyperlink ref="AA534" r:id="rId1346" location="" tooltip="" display="0/0"/>
    <hyperlink ref="AB534" r:id="rId1347" location="" tooltip="" display="Apri"/>
    <hyperlink ref="AC534" r:id="rId1348" location="" tooltip="" display="Apri"/>
    <hyperlink ref="AA535" r:id="rId1349" location="" tooltip="" display="0/0"/>
    <hyperlink ref="AB535" r:id="rId1350" location="" tooltip="" display="Apri"/>
    <hyperlink ref="AC535" r:id="rId1351" location="" tooltip="" display="Apri"/>
    <hyperlink ref="AB536" r:id="rId1352" location="" tooltip="" display="Apri"/>
    <hyperlink ref="AC536" r:id="rId1353" location="" tooltip="" display="Apri"/>
    <hyperlink ref="AA537" r:id="rId1354" location="" tooltip="" display="0/0"/>
    <hyperlink ref="AB537" r:id="rId1355" location="" tooltip="" display="Apri"/>
    <hyperlink ref="AC537" r:id="rId1356" location="" tooltip="" display="Apri"/>
    <hyperlink ref="AA538" r:id="rId1357" location="" tooltip="" display="0/0"/>
    <hyperlink ref="AB538" r:id="rId1358" location="" tooltip="" display="Apri"/>
    <hyperlink ref="AC538" r:id="rId1359" location="" tooltip="" display="Apri"/>
    <hyperlink ref="AB539" r:id="rId1360" location="" tooltip="" display="Apri"/>
    <hyperlink ref="AC539" r:id="rId1361" location="" tooltip="" display="Apri"/>
    <hyperlink ref="AA540" r:id="rId1362" location="" tooltip="" display="2/3"/>
    <hyperlink ref="AB540" r:id="rId1363" location="" tooltip="" display="Apri"/>
    <hyperlink ref="AC540" r:id="rId1364" location="" tooltip="" display="Apri"/>
    <hyperlink ref="AB541" r:id="rId1365" location="" tooltip="" display="Apri"/>
    <hyperlink ref="AC541" r:id="rId1366" location="" tooltip="" display="Apri"/>
    <hyperlink ref="AB542" r:id="rId1367" location="" tooltip="" display="Apri"/>
    <hyperlink ref="AC542" r:id="rId1368" location="" tooltip="" display="Apri"/>
    <hyperlink ref="AA543" r:id="rId1369" location="" tooltip="" display="0/0"/>
    <hyperlink ref="AB543" r:id="rId1370" location="" tooltip="" display="Apri"/>
    <hyperlink ref="AC543" r:id="rId1371" location="" tooltip="" display="Apri"/>
    <hyperlink ref="AB544" r:id="rId1372" location="" tooltip="" display="Apri"/>
    <hyperlink ref="AC544" r:id="rId1373" location="" tooltip="" display="Apri"/>
    <hyperlink ref="AA545" r:id="rId1374" location="" tooltip="" display="0/0"/>
    <hyperlink ref="AB545" r:id="rId1375" location="" tooltip="" display="Apri"/>
    <hyperlink ref="AC545" r:id="rId1376" location="" tooltip="" display="Apri"/>
    <hyperlink ref="AA546" r:id="rId1377" location="" tooltip="" display="0/0"/>
    <hyperlink ref="AB546" r:id="rId1378" location="" tooltip="" display="Apri"/>
    <hyperlink ref="AC546" r:id="rId1379" location="" tooltip="" display="Apri"/>
    <hyperlink ref="AA547" r:id="rId1380" location="" tooltip="" display="0/0"/>
    <hyperlink ref="AB547" r:id="rId1381" location="" tooltip="" display="Apri"/>
    <hyperlink ref="AC547" r:id="rId1382" location="" tooltip="" display="Apri"/>
    <hyperlink ref="AB548" r:id="rId1383" location="" tooltip="" display="Apri"/>
    <hyperlink ref="AC548" r:id="rId1384" location="" tooltip="" display="Apri"/>
    <hyperlink ref="AA549" r:id="rId1385" location="" tooltip="" display="0/0"/>
    <hyperlink ref="AB549" r:id="rId1386" location="" tooltip="" display="Apri"/>
    <hyperlink ref="AC549" r:id="rId1387" location="" tooltip="" display="Apri"/>
    <hyperlink ref="AA550" r:id="rId1388" location="" tooltip="" display="0/0"/>
    <hyperlink ref="AB550" r:id="rId1389" location="" tooltip="" display="Apri"/>
    <hyperlink ref="AC550" r:id="rId1390" location="" tooltip="" display="Apri"/>
    <hyperlink ref="AA551" r:id="rId1391" location="" tooltip="" display="0/0"/>
    <hyperlink ref="AB551" r:id="rId1392" location="" tooltip="" display="Apri"/>
    <hyperlink ref="AC551" r:id="rId1393" location="" tooltip="" display="Apri"/>
    <hyperlink ref="AA552" r:id="rId1394" location="" tooltip="" display="0/0"/>
    <hyperlink ref="AB552" r:id="rId1395" location="" tooltip="" display="Apri"/>
    <hyperlink ref="AC552" r:id="rId1396" location="" tooltip="" display="Apri"/>
    <hyperlink ref="AB553" r:id="rId1397" location="" tooltip="" display="Apri"/>
    <hyperlink ref="AC553" r:id="rId1398" location="" tooltip="" display="Apri"/>
    <hyperlink ref="AB554" r:id="rId1399" location="" tooltip="" display="Apri"/>
    <hyperlink ref="AC554" r:id="rId1400" location="" tooltip="" display="Apri"/>
    <hyperlink ref="AB555" r:id="rId1401" location="" tooltip="" display="Apri"/>
    <hyperlink ref="AC555" r:id="rId1402" location="" tooltip="" display="Apri"/>
    <hyperlink ref="AA556" r:id="rId1403" location="" tooltip="" display="0/0"/>
    <hyperlink ref="AB556" r:id="rId1404" location="" tooltip="" display="Apri"/>
    <hyperlink ref="AC556" r:id="rId1405" location="" tooltip="" display="Apri"/>
    <hyperlink ref="AA557" r:id="rId1406" location="" tooltip="" display="0/0"/>
    <hyperlink ref="AB557" r:id="rId1407" location="" tooltip="" display="Apri"/>
    <hyperlink ref="AC557" r:id="rId1408" location="" tooltip="" display="Apri"/>
    <hyperlink ref="AA558" r:id="rId1409" location="" tooltip="" display="0/0"/>
    <hyperlink ref="AB558" r:id="rId1410" location="" tooltip="" display="Apri"/>
    <hyperlink ref="AC558" r:id="rId1411" location="" tooltip="" display="Apri"/>
    <hyperlink ref="AA559" r:id="rId1412" location="" tooltip="" display="0/0"/>
    <hyperlink ref="AB559" r:id="rId1413" location="" tooltip="" display="Apri"/>
    <hyperlink ref="AC559" r:id="rId1414" location="" tooltip="" display="Apri"/>
    <hyperlink ref="AA560" r:id="rId1415" location="" tooltip="" display="0/1"/>
    <hyperlink ref="AB560" r:id="rId1416" location="" tooltip="" display="Apri"/>
    <hyperlink ref="AC560" r:id="rId1417" location="" tooltip="" display="Apri"/>
    <hyperlink ref="AB561" r:id="rId1418" location="" tooltip="" display="Apri"/>
    <hyperlink ref="AC561" r:id="rId1419" location="" tooltip="" display="Apri"/>
    <hyperlink ref="AA563" r:id="rId1420" location="" tooltip="" display="0/0"/>
    <hyperlink ref="AB563" r:id="rId1421" location="" tooltip="" display="Apri"/>
    <hyperlink ref="AC563" r:id="rId1422" location="" tooltip="" display="Apri"/>
    <hyperlink ref="AB564" r:id="rId1423" location="" tooltip="" display="Apri"/>
    <hyperlink ref="AC564" r:id="rId1424" location="" tooltip="" display="Apri"/>
    <hyperlink ref="AA565" r:id="rId1425" location="" tooltip="" display="0/0"/>
    <hyperlink ref="AB565" r:id="rId1426" location="" tooltip="" display="Apri"/>
    <hyperlink ref="AC565" r:id="rId1427" location="" tooltip="" display="Apri"/>
    <hyperlink ref="AB566" r:id="rId1428" location="" tooltip="" display="Apri"/>
    <hyperlink ref="AC566" r:id="rId1429" location="" tooltip="" display="Apri"/>
    <hyperlink ref="AA567" r:id="rId1430" location="" tooltip="" display="0/0"/>
    <hyperlink ref="AB567" r:id="rId1431" location="" tooltip="" display="Apri"/>
    <hyperlink ref="AC567" r:id="rId1432" location="" tooltip="" display="Apri"/>
    <hyperlink ref="AB568" r:id="rId1433" location="" tooltip="" display="Apri"/>
    <hyperlink ref="AC568" r:id="rId1434" location="" tooltip="" display="Apri"/>
    <hyperlink ref="AA569" r:id="rId1435" location="" tooltip="" display="0/0"/>
    <hyperlink ref="AB569" r:id="rId1436" location="" tooltip="" display="Apri"/>
    <hyperlink ref="AC569" r:id="rId1437" location="" tooltip="" display="Apri"/>
    <hyperlink ref="AB570" r:id="rId1438" location="" tooltip="" display="Apri"/>
    <hyperlink ref="AC570" r:id="rId1439" location="" tooltip="" display="Apri"/>
    <hyperlink ref="AA571" r:id="rId1440" location="" tooltip="" display="0/0"/>
    <hyperlink ref="AA573" r:id="rId1441" location="" tooltip="" display="0/0"/>
    <hyperlink ref="AB573" r:id="rId1442" location="" tooltip="" display="Apri"/>
    <hyperlink ref="AC573" r:id="rId1443" location="" tooltip="" display="Apri"/>
    <hyperlink ref="AA574" r:id="rId1444" location="" tooltip="" display="0/1"/>
    <hyperlink ref="AB575" r:id="rId1445" location="" tooltip="" display="Apri"/>
    <hyperlink ref="AC575" r:id="rId1446" location="" tooltip="" display="Apri"/>
    <hyperlink ref="AA576" r:id="rId1447" location="" tooltip="" display="0/0"/>
    <hyperlink ref="AB576" r:id="rId1448" location="" tooltip="" display="Apri"/>
    <hyperlink ref="AC576" r:id="rId1449" location="" tooltip="" display="Apri"/>
    <hyperlink ref="AB577" r:id="rId1450" location="" tooltip="" display="Apri"/>
    <hyperlink ref="AC577" r:id="rId1451" location="" tooltip="" display="Apri"/>
    <hyperlink ref="AA578" r:id="rId1452" location="" tooltip="" display="0/0"/>
    <hyperlink ref="AA579" r:id="rId1453" location="" tooltip="" display="0/0"/>
    <hyperlink ref="AA580" r:id="rId1454" location="" tooltip="" display="0/0"/>
    <hyperlink ref="AA581" r:id="rId1455" location="" tooltip="" display="0/0"/>
    <hyperlink ref="AB581" r:id="rId1456" location="" tooltip="" display="Apri"/>
    <hyperlink ref="AC581" r:id="rId1457" location="" tooltip="" display="Apri"/>
    <hyperlink ref="AA586" r:id="rId1458" location="" tooltip="" display="0/0"/>
    <hyperlink ref="AB590" r:id="rId1459" location="" tooltip="" display="Apri"/>
    <hyperlink ref="AC590" r:id="rId1460" location="" tooltip="" display="Apri"/>
    <hyperlink ref="AA591" r:id="rId1461" location="" tooltip="" display="0/0"/>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drawing r:id="rId1462"/>
  <legacyDrawing r:id="rId1463"/>
</worksheet>
</file>

<file path=xl/worksheets/sheet5.xml><?xml version="1.0" encoding="utf-8"?>
<worksheet xmlns:r="http://schemas.openxmlformats.org/officeDocument/2006/relationships" xmlns="http://schemas.openxmlformats.org/spreadsheetml/2006/main">
  <dimension ref="A1:AE77"/>
  <sheetViews>
    <sheetView workbookViewId="0" showGridLines="0" defaultGridColor="1"/>
  </sheetViews>
  <sheetFormatPr defaultColWidth="8.66667" defaultRowHeight="15" customHeight="1" outlineLevelRow="0" outlineLevelCol="0"/>
  <cols>
    <col min="1" max="1" width="16" style="100" customWidth="1"/>
    <col min="2" max="2" width="11" style="100" customWidth="1"/>
    <col min="3" max="3" width="3.17188" style="100" customWidth="1"/>
    <col min="4" max="4" width="12" style="100" customWidth="1"/>
    <col min="5" max="5" width="22" style="100" customWidth="1"/>
    <col min="6" max="6" width="17" style="100" customWidth="1"/>
    <col min="7" max="7" width="13" style="100" customWidth="1"/>
    <col min="8" max="8" width="36" style="100" customWidth="1"/>
    <col min="9" max="9" width="54" style="100" customWidth="1"/>
    <col min="10" max="10" width="7" style="100" customWidth="1"/>
    <col min="11" max="11" width="23" style="100" customWidth="1"/>
    <col min="12" max="12" width="9" style="100" customWidth="1"/>
    <col min="13" max="14" width="10" style="100" customWidth="1"/>
    <col min="15" max="15" width="34" style="100" customWidth="1"/>
    <col min="16" max="19" width="9" style="100" customWidth="1"/>
    <col min="20" max="20" width="10" style="100" customWidth="1"/>
    <col min="21" max="21" width="12" style="100" customWidth="1"/>
    <col min="22" max="25" width="9" style="100" customWidth="1"/>
    <col min="26" max="26" width="10" style="100" customWidth="1"/>
    <col min="27" max="27" width="12" style="100" customWidth="1"/>
    <col min="28" max="28" width="16" style="100" customWidth="1"/>
    <col min="29" max="30" width="17" style="100" customWidth="1"/>
    <col min="31" max="31" width="8.67188" style="100" customWidth="1"/>
    <col min="32" max="16384" width="8.67188" style="100" customWidth="1"/>
  </cols>
  <sheetData>
    <row r="1" ht="33.75" customHeight="1">
      <c r="A1" t="s" s="7">
        <v>75</v>
      </c>
      <c r="B1" s="8"/>
      <c r="C1" s="8"/>
      <c r="D1" s="8"/>
      <c r="E1" s="8"/>
      <c r="F1" s="8"/>
      <c r="G1" s="8"/>
      <c r="H1" s="8"/>
      <c r="I1" s="8"/>
      <c r="J1" s="8"/>
      <c r="K1" s="8"/>
      <c r="L1" s="8"/>
      <c r="M1" s="8"/>
      <c r="N1" s="8"/>
      <c r="O1" s="8"/>
      <c r="P1" s="8"/>
      <c r="Q1" s="8"/>
      <c r="R1" s="8"/>
      <c r="S1" s="8"/>
      <c r="T1" s="8"/>
      <c r="U1" s="8"/>
      <c r="V1" s="8"/>
      <c r="W1" s="8"/>
      <c r="X1" s="8"/>
      <c r="Y1" s="8"/>
      <c r="Z1" s="8"/>
      <c r="AA1" s="8"/>
      <c r="AB1" s="8"/>
      <c r="AC1" s="8"/>
      <c r="AD1" s="8"/>
      <c r="AE1" s="59"/>
    </row>
    <row r="2" ht="24.75" customHeight="1">
      <c r="A2" t="s" s="10">
        <v>1197</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60"/>
    </row>
    <row r="3" ht="15" customHeight="1">
      <c r="A3" s="61"/>
      <c r="B3" s="62"/>
      <c r="C3" s="63"/>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0"/>
    </row>
    <row r="4" ht="36" customHeight="1">
      <c r="A4" t="s" s="64">
        <v>87</v>
      </c>
      <c r="B4" t="s" s="65">
        <v>88</v>
      </c>
      <c r="C4" t="s" s="65">
        <v>89</v>
      </c>
      <c r="D4" t="s" s="65">
        <v>90</v>
      </c>
      <c r="E4" t="s" s="65">
        <v>91</v>
      </c>
      <c r="F4" t="s" s="65">
        <v>92</v>
      </c>
      <c r="G4" t="s" s="65">
        <v>93</v>
      </c>
      <c r="H4" t="s" s="65">
        <v>14</v>
      </c>
      <c r="I4" t="s" s="65">
        <v>94</v>
      </c>
      <c r="J4" t="s" s="65">
        <v>95</v>
      </c>
      <c r="K4" t="s" s="65">
        <v>96</v>
      </c>
      <c r="L4" t="s" s="65">
        <v>97</v>
      </c>
      <c r="M4" t="s" s="65">
        <v>98</v>
      </c>
      <c r="N4" t="s" s="65">
        <v>99</v>
      </c>
      <c r="O4" t="s" s="65">
        <v>100</v>
      </c>
      <c r="P4" t="s" s="65">
        <v>101</v>
      </c>
      <c r="Q4" t="s" s="65">
        <v>102</v>
      </c>
      <c r="R4" t="s" s="65">
        <v>103</v>
      </c>
      <c r="S4" t="s" s="65">
        <v>104</v>
      </c>
      <c r="T4" t="s" s="65">
        <v>105</v>
      </c>
      <c r="U4" t="s" s="65">
        <v>106</v>
      </c>
      <c r="V4" t="s" s="65">
        <v>107</v>
      </c>
      <c r="W4" t="s" s="65">
        <v>108</v>
      </c>
      <c r="X4" t="s" s="65">
        <v>109</v>
      </c>
      <c r="Y4" t="s" s="65">
        <v>110</v>
      </c>
      <c r="Z4" t="s" s="65">
        <v>111</v>
      </c>
      <c r="AA4" t="s" s="65">
        <v>112</v>
      </c>
      <c r="AB4" t="s" s="65">
        <v>113</v>
      </c>
      <c r="AC4" t="s" s="65">
        <v>114</v>
      </c>
      <c r="AD4" t="s" s="66">
        <v>115</v>
      </c>
      <c r="AE4" s="67"/>
    </row>
    <row r="5" ht="15" customHeight="1">
      <c r="A5" t="s" s="68">
        <v>26</v>
      </c>
      <c r="B5" s="69">
        <v>91.3</v>
      </c>
      <c r="C5" t="b" s="70">
        <v>0</v>
      </c>
      <c r="D5" s="71"/>
      <c r="E5" t="s" s="72">
        <v>116</v>
      </c>
      <c r="F5" t="s" s="72">
        <v>117</v>
      </c>
      <c r="G5" s="73">
        <v>40</v>
      </c>
      <c r="H5" t="s" s="72">
        <v>118</v>
      </c>
      <c r="I5" t="s" s="72">
        <v>119</v>
      </c>
      <c r="J5" s="73">
        <v>27</v>
      </c>
      <c r="K5" t="s" s="72">
        <v>120</v>
      </c>
      <c r="L5" t="s" s="72">
        <v>121</v>
      </c>
      <c r="M5" s="71"/>
      <c r="N5" s="71"/>
      <c r="O5" s="71"/>
      <c r="P5" s="73">
        <v>2</v>
      </c>
      <c r="Q5" s="74">
        <v>6.25</v>
      </c>
      <c r="R5" s="74">
        <v>6.25</v>
      </c>
      <c r="S5" s="73">
        <v>0</v>
      </c>
      <c r="T5" s="73">
        <v>0</v>
      </c>
      <c r="U5" t="s" s="72">
        <v>122</v>
      </c>
      <c r="V5" s="73">
        <v>38</v>
      </c>
      <c r="W5" s="74">
        <v>6.32</v>
      </c>
      <c r="X5" s="74">
        <v>5.5</v>
      </c>
      <c r="Y5" s="73">
        <v>0</v>
      </c>
      <c r="Z5" s="73">
        <v>0</v>
      </c>
      <c r="AA5" t="s" s="72">
        <v>123</v>
      </c>
      <c r="AB5" t="s" s="72">
        <v>124</v>
      </c>
      <c r="AC5" t="s" s="72">
        <v>124</v>
      </c>
      <c r="AD5" t="s" s="75">
        <v>125</v>
      </c>
      <c r="AE5" s="67"/>
    </row>
    <row r="6" ht="15" customHeight="1">
      <c r="A6" t="s" s="68">
        <v>26</v>
      </c>
      <c r="B6" s="76">
        <v>90.40000000000001</v>
      </c>
      <c r="C6" t="b" s="77">
        <v>0</v>
      </c>
      <c r="D6" s="78"/>
      <c r="E6" t="s" s="79">
        <v>126</v>
      </c>
      <c r="F6" t="s" s="79">
        <v>127</v>
      </c>
      <c r="G6" s="80">
        <v>35</v>
      </c>
      <c r="H6" t="s" s="79">
        <v>118</v>
      </c>
      <c r="I6" t="s" s="79">
        <v>119</v>
      </c>
      <c r="J6" s="80">
        <v>26</v>
      </c>
      <c r="K6" t="s" s="79">
        <v>128</v>
      </c>
      <c r="L6" t="s" s="79">
        <v>121</v>
      </c>
      <c r="M6" s="78"/>
      <c r="N6" s="78"/>
      <c r="O6" s="78"/>
      <c r="P6" s="80">
        <v>2</v>
      </c>
      <c r="Q6" s="81">
        <v>6.75</v>
      </c>
      <c r="R6" s="81">
        <v>6.75</v>
      </c>
      <c r="S6" s="80">
        <v>0</v>
      </c>
      <c r="T6" s="80">
        <v>1</v>
      </c>
      <c r="U6" t="s" s="79">
        <v>122</v>
      </c>
      <c r="V6" s="80">
        <v>37</v>
      </c>
      <c r="W6" s="81">
        <v>6.43</v>
      </c>
      <c r="X6" s="81">
        <v>5.65</v>
      </c>
      <c r="Y6" s="80">
        <v>0</v>
      </c>
      <c r="Z6" s="80">
        <v>0</v>
      </c>
      <c r="AA6" t="s" s="79">
        <v>123</v>
      </c>
      <c r="AB6" t="s" s="79">
        <v>124</v>
      </c>
      <c r="AC6" t="s" s="79">
        <v>124</v>
      </c>
      <c r="AD6" t="s" s="82">
        <v>125</v>
      </c>
      <c r="AE6" s="67"/>
    </row>
    <row r="7" ht="15" customHeight="1">
      <c r="A7" t="s" s="68">
        <v>26</v>
      </c>
      <c r="B7" s="69">
        <v>85.3</v>
      </c>
      <c r="C7" t="b" s="70">
        <v>0</v>
      </c>
      <c r="D7" s="71"/>
      <c r="E7" t="s" s="72">
        <v>129</v>
      </c>
      <c r="F7" t="s" s="72">
        <v>130</v>
      </c>
      <c r="G7" s="73">
        <v>34</v>
      </c>
      <c r="H7" t="s" s="72">
        <v>118</v>
      </c>
      <c r="I7" t="s" s="72">
        <v>131</v>
      </c>
      <c r="J7" s="73">
        <v>31</v>
      </c>
      <c r="K7" t="s" s="72">
        <v>132</v>
      </c>
      <c r="L7" t="s" s="72">
        <v>121</v>
      </c>
      <c r="M7" s="71"/>
      <c r="N7" s="71"/>
      <c r="O7" s="71"/>
      <c r="P7" s="73">
        <v>2</v>
      </c>
      <c r="Q7" s="74">
        <v>6</v>
      </c>
      <c r="R7" s="74">
        <v>5.5</v>
      </c>
      <c r="S7" s="73">
        <v>0</v>
      </c>
      <c r="T7" s="73">
        <v>0</v>
      </c>
      <c r="U7" t="s" s="72">
        <v>122</v>
      </c>
      <c r="V7" s="73">
        <v>37</v>
      </c>
      <c r="W7" s="74">
        <v>6.3</v>
      </c>
      <c r="X7" s="74">
        <v>5.46</v>
      </c>
      <c r="Y7" s="73">
        <v>0</v>
      </c>
      <c r="Z7" s="73">
        <v>0</v>
      </c>
      <c r="AA7" t="s" s="72">
        <v>123</v>
      </c>
      <c r="AB7" t="s" s="72">
        <v>124</v>
      </c>
      <c r="AC7" t="s" s="72">
        <v>124</v>
      </c>
      <c r="AD7" t="s" s="75">
        <v>125</v>
      </c>
      <c r="AE7" s="67"/>
    </row>
    <row r="8" ht="15" customHeight="1">
      <c r="A8" t="s" s="68">
        <v>26</v>
      </c>
      <c r="B8" s="76">
        <v>84</v>
      </c>
      <c r="C8" t="b" s="77">
        <v>0</v>
      </c>
      <c r="D8" s="78"/>
      <c r="E8" t="s" s="79">
        <v>133</v>
      </c>
      <c r="F8" t="s" s="79">
        <v>134</v>
      </c>
      <c r="G8" s="80">
        <v>29</v>
      </c>
      <c r="H8" t="s" s="79">
        <v>118</v>
      </c>
      <c r="I8" t="s" s="79">
        <v>135</v>
      </c>
      <c r="J8" s="80">
        <v>28</v>
      </c>
      <c r="K8" t="s" s="79">
        <v>136</v>
      </c>
      <c r="L8" t="s" s="79">
        <v>121</v>
      </c>
      <c r="M8" s="78"/>
      <c r="N8" s="78"/>
      <c r="O8" s="78"/>
      <c r="P8" s="80">
        <v>2</v>
      </c>
      <c r="Q8" s="81">
        <v>6</v>
      </c>
      <c r="R8" s="81">
        <v>5.5</v>
      </c>
      <c r="S8" s="80">
        <v>0</v>
      </c>
      <c r="T8" s="80">
        <v>0</v>
      </c>
      <c r="U8" t="s" s="79">
        <v>122</v>
      </c>
      <c r="V8" s="80">
        <v>5</v>
      </c>
      <c r="W8" s="81">
        <v>6</v>
      </c>
      <c r="X8" s="81">
        <v>5.2</v>
      </c>
      <c r="Y8" s="80">
        <v>0</v>
      </c>
      <c r="Z8" s="80">
        <v>0</v>
      </c>
      <c r="AA8" t="s" s="79">
        <v>123</v>
      </c>
      <c r="AB8" t="s" s="79">
        <v>124</v>
      </c>
      <c r="AC8" t="s" s="79">
        <v>124</v>
      </c>
      <c r="AD8" t="s" s="82">
        <v>125</v>
      </c>
      <c r="AE8" s="67"/>
    </row>
    <row r="9" ht="15" customHeight="1">
      <c r="A9" t="s" s="68">
        <v>26</v>
      </c>
      <c r="B9" s="69">
        <v>83.7</v>
      </c>
      <c r="C9" t="b" s="70">
        <v>0</v>
      </c>
      <c r="D9" s="71"/>
      <c r="E9" t="s" s="72">
        <v>137</v>
      </c>
      <c r="F9" t="s" s="72">
        <v>138</v>
      </c>
      <c r="G9" s="73">
        <v>32</v>
      </c>
      <c r="H9" t="s" s="72">
        <v>118</v>
      </c>
      <c r="I9" t="s" s="72">
        <v>139</v>
      </c>
      <c r="J9" s="73">
        <v>29</v>
      </c>
      <c r="K9" t="s" s="72">
        <v>128</v>
      </c>
      <c r="L9" t="s" s="72">
        <v>121</v>
      </c>
      <c r="M9" s="71"/>
      <c r="N9" s="71"/>
      <c r="O9" s="71"/>
      <c r="P9" s="73">
        <v>2</v>
      </c>
      <c r="Q9" s="74">
        <v>6.5</v>
      </c>
      <c r="R9" s="74">
        <v>6.5</v>
      </c>
      <c r="S9" s="73">
        <v>0</v>
      </c>
      <c r="T9" s="73">
        <v>0</v>
      </c>
      <c r="U9" t="s" s="72">
        <v>122</v>
      </c>
      <c r="V9" s="71"/>
      <c r="W9" s="71"/>
      <c r="X9" s="71"/>
      <c r="Y9" s="71"/>
      <c r="Z9" s="71"/>
      <c r="AA9" s="71"/>
      <c r="AB9" t="s" s="72">
        <v>124</v>
      </c>
      <c r="AC9" t="s" s="72">
        <v>124</v>
      </c>
      <c r="AD9" t="s" s="75">
        <v>125</v>
      </c>
      <c r="AE9" s="67"/>
    </row>
    <row r="10" ht="15" customHeight="1">
      <c r="A10" t="s" s="68">
        <v>26</v>
      </c>
      <c r="B10" s="76">
        <v>83.7</v>
      </c>
      <c r="C10" t="b" s="77">
        <v>0</v>
      </c>
      <c r="D10" s="78"/>
      <c r="E10" t="s" s="79">
        <v>140</v>
      </c>
      <c r="F10" t="s" s="79">
        <v>141</v>
      </c>
      <c r="G10" s="80">
        <v>31</v>
      </c>
      <c r="H10" t="s" s="79">
        <v>118</v>
      </c>
      <c r="I10" t="s" s="79">
        <v>131</v>
      </c>
      <c r="J10" s="80">
        <v>31</v>
      </c>
      <c r="K10" t="s" s="79">
        <v>142</v>
      </c>
      <c r="L10" t="s" s="79">
        <v>121</v>
      </c>
      <c r="M10" s="78"/>
      <c r="N10" s="78"/>
      <c r="O10" s="78"/>
      <c r="P10" s="80">
        <v>3</v>
      </c>
      <c r="Q10" s="81">
        <v>6.17</v>
      </c>
      <c r="R10" s="81">
        <v>5.17</v>
      </c>
      <c r="S10" s="80">
        <v>0</v>
      </c>
      <c r="T10" s="80">
        <v>0</v>
      </c>
      <c r="U10" t="s" s="79">
        <v>122</v>
      </c>
      <c r="V10" s="80">
        <v>38</v>
      </c>
      <c r="W10" s="81">
        <v>6.11</v>
      </c>
      <c r="X10" s="81">
        <v>5.41</v>
      </c>
      <c r="Y10" s="80">
        <v>0</v>
      </c>
      <c r="Z10" s="80">
        <v>1</v>
      </c>
      <c r="AA10" t="s" s="79">
        <v>123</v>
      </c>
      <c r="AB10" t="s" s="79">
        <v>124</v>
      </c>
      <c r="AC10" t="s" s="79">
        <v>124</v>
      </c>
      <c r="AD10" t="s" s="82">
        <v>125</v>
      </c>
      <c r="AE10" s="67"/>
    </row>
    <row r="11" ht="15" customHeight="1">
      <c r="A11" t="s" s="68">
        <v>26</v>
      </c>
      <c r="B11" s="69">
        <v>78.2</v>
      </c>
      <c r="C11" t="b" s="70">
        <v>0</v>
      </c>
      <c r="D11" s="71"/>
      <c r="E11" t="s" s="72">
        <v>143</v>
      </c>
      <c r="F11" t="s" s="72">
        <v>144</v>
      </c>
      <c r="G11" s="73">
        <v>22</v>
      </c>
      <c r="H11" t="s" s="72">
        <v>118</v>
      </c>
      <c r="I11" t="s" s="72">
        <v>118</v>
      </c>
      <c r="J11" s="73">
        <v>35</v>
      </c>
      <c r="K11" t="s" s="72">
        <v>145</v>
      </c>
      <c r="L11" t="s" s="72">
        <v>121</v>
      </c>
      <c r="M11" s="71"/>
      <c r="N11" s="71"/>
      <c r="O11" s="71"/>
      <c r="P11" s="73">
        <v>2</v>
      </c>
      <c r="Q11" s="74">
        <v>5.25</v>
      </c>
      <c r="R11" s="74">
        <v>4.25</v>
      </c>
      <c r="S11" s="73">
        <v>0</v>
      </c>
      <c r="T11" s="73">
        <v>0</v>
      </c>
      <c r="U11" t="s" s="72">
        <v>122</v>
      </c>
      <c r="V11" s="73">
        <v>18</v>
      </c>
      <c r="W11" s="74">
        <v>6.14</v>
      </c>
      <c r="X11" s="74">
        <v>5.22</v>
      </c>
      <c r="Y11" s="73">
        <v>0</v>
      </c>
      <c r="Z11" s="73">
        <v>0</v>
      </c>
      <c r="AA11" t="s" s="72">
        <v>123</v>
      </c>
      <c r="AB11" t="s" s="72">
        <v>124</v>
      </c>
      <c r="AC11" t="s" s="72">
        <v>124</v>
      </c>
      <c r="AD11" t="s" s="75">
        <v>125</v>
      </c>
      <c r="AE11" s="67"/>
    </row>
    <row r="12" ht="15" customHeight="1">
      <c r="A12" t="s" s="68">
        <v>26</v>
      </c>
      <c r="B12" s="76">
        <v>77.5</v>
      </c>
      <c r="C12" t="b" s="77">
        <v>0</v>
      </c>
      <c r="D12" s="78"/>
      <c r="E12" t="s" s="79">
        <v>146</v>
      </c>
      <c r="F12" t="s" s="79">
        <v>147</v>
      </c>
      <c r="G12" s="80">
        <v>21</v>
      </c>
      <c r="H12" t="s" s="79">
        <v>118</v>
      </c>
      <c r="I12" t="s" s="79">
        <v>131</v>
      </c>
      <c r="J12" s="80">
        <v>25</v>
      </c>
      <c r="K12" t="s" s="79">
        <v>128</v>
      </c>
      <c r="L12" t="s" s="79">
        <v>121</v>
      </c>
      <c r="M12" s="78"/>
      <c r="N12" s="78"/>
      <c r="O12" s="78"/>
      <c r="P12" s="80">
        <v>2</v>
      </c>
      <c r="Q12" s="81">
        <v>6.5</v>
      </c>
      <c r="R12" s="81">
        <v>6</v>
      </c>
      <c r="S12" s="80">
        <v>0</v>
      </c>
      <c r="T12" s="80">
        <v>0</v>
      </c>
      <c r="U12" t="s" s="79">
        <v>122</v>
      </c>
      <c r="V12" s="80">
        <v>38</v>
      </c>
      <c r="W12" s="81">
        <v>6.29</v>
      </c>
      <c r="X12" s="81">
        <v>4.87</v>
      </c>
      <c r="Y12" s="80">
        <v>0</v>
      </c>
      <c r="Z12" s="80">
        <v>0</v>
      </c>
      <c r="AA12" t="s" s="79">
        <v>123</v>
      </c>
      <c r="AB12" t="s" s="79">
        <v>124</v>
      </c>
      <c r="AC12" t="s" s="79">
        <v>124</v>
      </c>
      <c r="AD12" t="s" s="82">
        <v>125</v>
      </c>
      <c r="AE12" s="67"/>
    </row>
    <row r="13" ht="15" customHeight="1">
      <c r="A13" t="s" s="83">
        <v>28</v>
      </c>
      <c r="B13" s="69">
        <v>77.40000000000001</v>
      </c>
      <c r="C13" t="b" s="70">
        <v>0</v>
      </c>
      <c r="D13" s="71"/>
      <c r="E13" t="s" s="72">
        <v>148</v>
      </c>
      <c r="F13" t="s" s="72">
        <v>149</v>
      </c>
      <c r="G13" s="73">
        <v>29</v>
      </c>
      <c r="H13" t="s" s="72">
        <v>118</v>
      </c>
      <c r="I13" t="s" s="72">
        <v>150</v>
      </c>
      <c r="J13" s="73">
        <v>24</v>
      </c>
      <c r="K13" t="s" s="72">
        <v>151</v>
      </c>
      <c r="L13" t="s" s="72">
        <v>121</v>
      </c>
      <c r="M13" s="71"/>
      <c r="N13" s="71"/>
      <c r="O13" s="71"/>
      <c r="P13" s="73">
        <v>2</v>
      </c>
      <c r="Q13" s="74">
        <v>6.5</v>
      </c>
      <c r="R13" s="74">
        <v>6.5</v>
      </c>
      <c r="S13" s="73">
        <v>0</v>
      </c>
      <c r="T13" s="73">
        <v>0</v>
      </c>
      <c r="U13" t="s" s="72">
        <v>122</v>
      </c>
      <c r="V13" s="73">
        <v>0</v>
      </c>
      <c r="W13" s="74">
        <v>0</v>
      </c>
      <c r="X13" s="74">
        <v>0</v>
      </c>
      <c r="Y13" s="73">
        <v>0</v>
      </c>
      <c r="Z13" s="73">
        <v>0</v>
      </c>
      <c r="AA13" t="s" s="72">
        <v>123</v>
      </c>
      <c r="AB13" t="s" s="72">
        <v>124</v>
      </c>
      <c r="AC13" t="s" s="72">
        <v>124</v>
      </c>
      <c r="AD13" t="s" s="75">
        <v>125</v>
      </c>
      <c r="AE13" s="67"/>
    </row>
    <row r="14" ht="15" customHeight="1">
      <c r="A14" t="s" s="83">
        <v>28</v>
      </c>
      <c r="B14" s="76">
        <v>75.09999999999999</v>
      </c>
      <c r="C14" t="b" s="77">
        <v>0</v>
      </c>
      <c r="D14" s="78"/>
      <c r="E14" t="s" s="79">
        <v>152</v>
      </c>
      <c r="F14" t="s" s="79">
        <v>153</v>
      </c>
      <c r="G14" s="80">
        <v>15</v>
      </c>
      <c r="H14" t="s" s="79">
        <v>118</v>
      </c>
      <c r="I14" t="s" s="79">
        <v>135</v>
      </c>
      <c r="J14" s="80">
        <v>29</v>
      </c>
      <c r="K14" t="s" s="79">
        <v>128</v>
      </c>
      <c r="L14" t="s" s="79">
        <v>154</v>
      </c>
      <c r="M14" s="78"/>
      <c r="N14" s="78"/>
      <c r="O14" s="78"/>
      <c r="P14" s="80">
        <v>2</v>
      </c>
      <c r="Q14" s="81">
        <v>6</v>
      </c>
      <c r="R14" s="81">
        <v>5</v>
      </c>
      <c r="S14" s="80">
        <v>0</v>
      </c>
      <c r="T14" s="80">
        <v>0</v>
      </c>
      <c r="U14" t="s" s="79">
        <v>122</v>
      </c>
      <c r="V14" s="80">
        <v>11</v>
      </c>
      <c r="W14" s="81">
        <v>6.18</v>
      </c>
      <c r="X14" s="81">
        <v>5.14</v>
      </c>
      <c r="Y14" s="80">
        <v>0</v>
      </c>
      <c r="Z14" s="80">
        <v>1</v>
      </c>
      <c r="AA14" t="s" s="79">
        <v>123</v>
      </c>
      <c r="AB14" t="s" s="79">
        <v>124</v>
      </c>
      <c r="AC14" t="s" s="79">
        <v>124</v>
      </c>
      <c r="AD14" t="s" s="82">
        <v>125</v>
      </c>
      <c r="AE14" s="67"/>
    </row>
    <row r="15" ht="15" customHeight="1">
      <c r="A15" t="s" s="83">
        <v>28</v>
      </c>
      <c r="B15" s="69">
        <v>75.09999999999999</v>
      </c>
      <c r="C15" t="b" s="70">
        <v>0</v>
      </c>
      <c r="D15" s="71"/>
      <c r="E15" t="s" s="72">
        <v>155</v>
      </c>
      <c r="F15" t="s" s="72">
        <v>156</v>
      </c>
      <c r="G15" s="73">
        <v>17</v>
      </c>
      <c r="H15" t="s" s="72">
        <v>118</v>
      </c>
      <c r="I15" t="s" s="72">
        <v>118</v>
      </c>
      <c r="J15" s="73">
        <v>28</v>
      </c>
      <c r="K15" t="s" s="72">
        <v>157</v>
      </c>
      <c r="L15" t="s" s="72">
        <v>121</v>
      </c>
      <c r="M15" s="71"/>
      <c r="N15" s="71"/>
      <c r="O15" s="71"/>
      <c r="P15" s="73">
        <v>3</v>
      </c>
      <c r="Q15" s="74">
        <v>5.33</v>
      </c>
      <c r="R15" s="74">
        <v>3</v>
      </c>
      <c r="S15" s="73">
        <v>0</v>
      </c>
      <c r="T15" s="73">
        <v>0</v>
      </c>
      <c r="U15" t="s" s="72">
        <v>122</v>
      </c>
      <c r="V15" s="73">
        <v>16</v>
      </c>
      <c r="W15" s="74">
        <v>6.09</v>
      </c>
      <c r="X15" s="74">
        <v>4.81</v>
      </c>
      <c r="Y15" s="73">
        <v>0</v>
      </c>
      <c r="Z15" s="73">
        <v>0</v>
      </c>
      <c r="AA15" t="s" s="72">
        <v>123</v>
      </c>
      <c r="AB15" t="s" s="72">
        <v>124</v>
      </c>
      <c r="AC15" t="s" s="72">
        <v>124</v>
      </c>
      <c r="AD15" t="s" s="75">
        <v>125</v>
      </c>
      <c r="AE15" s="67"/>
    </row>
    <row r="16" ht="15" customHeight="1">
      <c r="A16" t="s" s="83">
        <v>28</v>
      </c>
      <c r="B16" s="76">
        <v>74.3</v>
      </c>
      <c r="C16" t="b" s="77">
        <v>0</v>
      </c>
      <c r="D16" s="78"/>
      <c r="E16" t="s" s="79">
        <v>158</v>
      </c>
      <c r="F16" t="s" s="79">
        <v>159</v>
      </c>
      <c r="G16" s="80">
        <v>16</v>
      </c>
      <c r="H16" t="s" s="79">
        <v>118</v>
      </c>
      <c r="I16" t="s" s="79">
        <v>131</v>
      </c>
      <c r="J16" s="80">
        <v>27</v>
      </c>
      <c r="K16" t="s" s="79">
        <v>160</v>
      </c>
      <c r="L16" t="s" s="79">
        <v>121</v>
      </c>
      <c r="M16" s="78"/>
      <c r="N16" s="78"/>
      <c r="O16" s="78"/>
      <c r="P16" s="80">
        <v>2</v>
      </c>
      <c r="Q16" s="81">
        <v>6.25</v>
      </c>
      <c r="R16" s="81">
        <v>4.75</v>
      </c>
      <c r="S16" s="80">
        <v>0</v>
      </c>
      <c r="T16" s="80">
        <v>0</v>
      </c>
      <c r="U16" t="s" s="79">
        <v>122</v>
      </c>
      <c r="V16" s="80">
        <v>30</v>
      </c>
      <c r="W16" s="81">
        <v>6.08</v>
      </c>
      <c r="X16" s="81">
        <v>5.1</v>
      </c>
      <c r="Y16" s="80">
        <v>0</v>
      </c>
      <c r="Z16" s="80">
        <v>1</v>
      </c>
      <c r="AA16" t="s" s="79">
        <v>123</v>
      </c>
      <c r="AB16" t="s" s="79">
        <v>124</v>
      </c>
      <c r="AC16" t="s" s="79">
        <v>124</v>
      </c>
      <c r="AD16" t="s" s="82">
        <v>125</v>
      </c>
      <c r="AE16" s="67"/>
    </row>
    <row r="17" ht="15" customHeight="1">
      <c r="A17" t="s" s="83">
        <v>28</v>
      </c>
      <c r="B17" s="69">
        <v>73.5</v>
      </c>
      <c r="C17" t="b" s="70">
        <v>0</v>
      </c>
      <c r="D17" t="s" s="84">
        <v>161</v>
      </c>
      <c r="E17" t="s" s="72">
        <v>162</v>
      </c>
      <c r="F17" t="s" s="72">
        <v>163</v>
      </c>
      <c r="G17" s="73">
        <v>22</v>
      </c>
      <c r="H17" t="s" s="72">
        <v>164</v>
      </c>
      <c r="I17" t="s" s="72">
        <v>165</v>
      </c>
      <c r="J17" s="73">
        <v>28</v>
      </c>
      <c r="K17" t="s" s="72">
        <v>166</v>
      </c>
      <c r="L17" t="s" s="72">
        <v>121</v>
      </c>
      <c r="M17" s="71"/>
      <c r="N17" s="71"/>
      <c r="O17" s="71"/>
      <c r="P17" s="73">
        <v>0</v>
      </c>
      <c r="Q17" s="74">
        <v>0</v>
      </c>
      <c r="R17" s="74">
        <v>0</v>
      </c>
      <c r="S17" s="73">
        <v>0</v>
      </c>
      <c r="T17" s="73">
        <v>0</v>
      </c>
      <c r="U17" t="s" s="72">
        <v>122</v>
      </c>
      <c r="V17" s="71"/>
      <c r="W17" s="71"/>
      <c r="X17" s="71"/>
      <c r="Y17" s="71"/>
      <c r="Z17" s="71"/>
      <c r="AA17" s="71"/>
      <c r="AB17" t="s" s="72">
        <v>124</v>
      </c>
      <c r="AC17" t="s" s="72">
        <v>124</v>
      </c>
      <c r="AD17" t="s" s="75">
        <v>125</v>
      </c>
      <c r="AE17" s="67"/>
    </row>
    <row r="18" ht="15" customHeight="1">
      <c r="A18" t="s" s="83">
        <v>28</v>
      </c>
      <c r="B18" s="76">
        <v>72.5</v>
      </c>
      <c r="C18" t="b" s="77">
        <v>0</v>
      </c>
      <c r="D18" s="78"/>
      <c r="E18" t="s" s="79">
        <v>167</v>
      </c>
      <c r="F18" t="s" s="79">
        <v>168</v>
      </c>
      <c r="G18" s="80">
        <v>15</v>
      </c>
      <c r="H18" t="s" s="79">
        <v>118</v>
      </c>
      <c r="I18" t="s" s="79">
        <v>131</v>
      </c>
      <c r="J18" s="80">
        <v>31</v>
      </c>
      <c r="K18" t="s" s="79">
        <v>128</v>
      </c>
      <c r="L18" t="s" s="79">
        <v>121</v>
      </c>
      <c r="M18" s="78"/>
      <c r="N18" s="78"/>
      <c r="O18" s="78"/>
      <c r="P18" s="80">
        <v>2</v>
      </c>
      <c r="Q18" s="81">
        <v>6.25</v>
      </c>
      <c r="R18" s="81">
        <v>4.25</v>
      </c>
      <c r="S18" s="80">
        <v>0</v>
      </c>
      <c r="T18" s="80">
        <v>0</v>
      </c>
      <c r="U18" t="s" s="79">
        <v>122</v>
      </c>
      <c r="V18" s="80">
        <v>38</v>
      </c>
      <c r="W18" s="81">
        <v>6.45</v>
      </c>
      <c r="X18" s="81">
        <v>5.26</v>
      </c>
      <c r="Y18" s="80">
        <v>0</v>
      </c>
      <c r="Z18" s="80">
        <v>0</v>
      </c>
      <c r="AA18" t="s" s="79">
        <v>123</v>
      </c>
      <c r="AB18" t="s" s="79">
        <v>124</v>
      </c>
      <c r="AC18" t="s" s="79">
        <v>124</v>
      </c>
      <c r="AD18" t="s" s="82">
        <v>125</v>
      </c>
      <c r="AE18" s="67"/>
    </row>
    <row r="19" ht="15" customHeight="1">
      <c r="A19" t="s" s="83">
        <v>28</v>
      </c>
      <c r="B19" s="69">
        <v>72.3</v>
      </c>
      <c r="C19" t="b" s="70">
        <v>0</v>
      </c>
      <c r="D19" s="71"/>
      <c r="E19" t="s" s="72">
        <v>169</v>
      </c>
      <c r="F19" t="s" s="72">
        <v>170</v>
      </c>
      <c r="G19" s="73">
        <v>15</v>
      </c>
      <c r="H19" t="s" s="72">
        <v>118</v>
      </c>
      <c r="I19" t="s" s="72">
        <v>131</v>
      </c>
      <c r="J19" s="73">
        <v>35</v>
      </c>
      <c r="K19" t="s" s="72">
        <v>136</v>
      </c>
      <c r="L19" t="s" s="72">
        <v>121</v>
      </c>
      <c r="M19" s="71"/>
      <c r="N19" s="71"/>
      <c r="O19" s="71"/>
      <c r="P19" s="73">
        <v>2</v>
      </c>
      <c r="Q19" s="74">
        <v>5</v>
      </c>
      <c r="R19" s="74">
        <v>1.5</v>
      </c>
      <c r="S19" s="73">
        <v>0</v>
      </c>
      <c r="T19" s="73">
        <v>0</v>
      </c>
      <c r="U19" t="s" s="72">
        <v>122</v>
      </c>
      <c r="V19" s="73">
        <v>37</v>
      </c>
      <c r="W19" s="74">
        <v>6.22</v>
      </c>
      <c r="X19" s="74">
        <v>4.97</v>
      </c>
      <c r="Y19" s="73">
        <v>0</v>
      </c>
      <c r="Z19" s="73">
        <v>0</v>
      </c>
      <c r="AA19" t="s" s="72">
        <v>123</v>
      </c>
      <c r="AB19" t="s" s="72">
        <v>124</v>
      </c>
      <c r="AC19" t="s" s="72">
        <v>124</v>
      </c>
      <c r="AD19" t="s" s="75">
        <v>125</v>
      </c>
      <c r="AE19" s="67"/>
    </row>
    <row r="20" ht="15" customHeight="1">
      <c r="A20" t="s" s="83">
        <v>28</v>
      </c>
      <c r="B20" s="76">
        <v>72.09999999999999</v>
      </c>
      <c r="C20" t="b" s="77">
        <v>0</v>
      </c>
      <c r="D20" s="78"/>
      <c r="E20" t="s" s="79">
        <v>171</v>
      </c>
      <c r="F20" t="s" s="79">
        <v>172</v>
      </c>
      <c r="G20" s="80">
        <v>15</v>
      </c>
      <c r="H20" t="s" s="79">
        <v>118</v>
      </c>
      <c r="I20" t="s" s="79">
        <v>131</v>
      </c>
      <c r="J20" s="80">
        <v>27</v>
      </c>
      <c r="K20" t="s" s="79">
        <v>173</v>
      </c>
      <c r="L20" t="s" s="79">
        <v>121</v>
      </c>
      <c r="M20" s="78"/>
      <c r="N20" s="78"/>
      <c r="O20" s="78"/>
      <c r="P20" s="80">
        <v>2</v>
      </c>
      <c r="Q20" s="81">
        <v>6.5</v>
      </c>
      <c r="R20" s="81">
        <v>5</v>
      </c>
      <c r="S20" s="80">
        <v>0</v>
      </c>
      <c r="T20" s="80">
        <v>0</v>
      </c>
      <c r="U20" t="s" s="79">
        <v>122</v>
      </c>
      <c r="V20" s="80">
        <v>32</v>
      </c>
      <c r="W20" s="81">
        <v>6.06</v>
      </c>
      <c r="X20" s="81">
        <v>4.75</v>
      </c>
      <c r="Y20" s="80">
        <v>0</v>
      </c>
      <c r="Z20" s="80">
        <v>0</v>
      </c>
      <c r="AA20" t="s" s="79">
        <v>123</v>
      </c>
      <c r="AB20" t="s" s="79">
        <v>124</v>
      </c>
      <c r="AC20" t="s" s="79">
        <v>124</v>
      </c>
      <c r="AD20" t="s" s="82">
        <v>125</v>
      </c>
      <c r="AE20" s="67"/>
    </row>
    <row r="21" ht="15" customHeight="1">
      <c r="A21" t="s" s="83">
        <v>28</v>
      </c>
      <c r="B21" s="69">
        <v>70.90000000000001</v>
      </c>
      <c r="C21" t="b" s="70">
        <v>0</v>
      </c>
      <c r="D21" s="71"/>
      <c r="E21" t="s" s="72">
        <v>174</v>
      </c>
      <c r="F21" t="s" s="72">
        <v>153</v>
      </c>
      <c r="G21" s="73">
        <v>28</v>
      </c>
      <c r="H21" t="s" s="72">
        <v>175</v>
      </c>
      <c r="I21" t="s" s="72">
        <v>176</v>
      </c>
      <c r="J21" s="73">
        <v>29</v>
      </c>
      <c r="K21" t="s" s="72">
        <v>177</v>
      </c>
      <c r="L21" t="s" s="72">
        <v>121</v>
      </c>
      <c r="M21" s="71"/>
      <c r="N21" s="71"/>
      <c r="O21" s="71"/>
      <c r="P21" s="73">
        <v>0</v>
      </c>
      <c r="Q21" s="74">
        <v>0</v>
      </c>
      <c r="R21" s="74">
        <v>0</v>
      </c>
      <c r="S21" s="73">
        <v>0</v>
      </c>
      <c r="T21" s="73">
        <v>0</v>
      </c>
      <c r="U21" t="s" s="72">
        <v>122</v>
      </c>
      <c r="V21" s="73">
        <v>27</v>
      </c>
      <c r="W21" s="74">
        <v>6.17</v>
      </c>
      <c r="X21" s="74">
        <v>5.61</v>
      </c>
      <c r="Y21" s="73">
        <v>0</v>
      </c>
      <c r="Z21" s="73">
        <v>0</v>
      </c>
      <c r="AA21" t="s" s="72">
        <v>123</v>
      </c>
      <c r="AB21" t="s" s="72">
        <v>124</v>
      </c>
      <c r="AC21" t="s" s="72">
        <v>124</v>
      </c>
      <c r="AD21" t="s" s="75">
        <v>125</v>
      </c>
      <c r="AE21" s="67"/>
    </row>
    <row r="22" ht="15" customHeight="1">
      <c r="A22" t="s" s="83">
        <v>28</v>
      </c>
      <c r="B22" s="76">
        <v>67.59999999999999</v>
      </c>
      <c r="C22" t="b" s="77">
        <v>0</v>
      </c>
      <c r="D22" t="s" s="85">
        <v>178</v>
      </c>
      <c r="E22" t="s" s="79">
        <v>179</v>
      </c>
      <c r="F22" t="s" s="79">
        <v>180</v>
      </c>
      <c r="G22" s="80">
        <v>14</v>
      </c>
      <c r="H22" t="s" s="79">
        <v>118</v>
      </c>
      <c r="I22" t="s" s="79">
        <v>181</v>
      </c>
      <c r="J22" s="80">
        <v>22</v>
      </c>
      <c r="K22" t="s" s="79">
        <v>128</v>
      </c>
      <c r="L22" t="s" s="79">
        <v>121</v>
      </c>
      <c r="M22" s="78"/>
      <c r="N22" s="78"/>
      <c r="O22" s="78"/>
      <c r="P22" s="80">
        <v>2</v>
      </c>
      <c r="Q22" s="81">
        <v>6.25</v>
      </c>
      <c r="R22" s="81">
        <v>5.75</v>
      </c>
      <c r="S22" s="80">
        <v>0</v>
      </c>
      <c r="T22" s="80">
        <v>0</v>
      </c>
      <c r="U22" t="s" s="79">
        <v>122</v>
      </c>
      <c r="V22" s="78"/>
      <c r="W22" s="78"/>
      <c r="X22" s="78"/>
      <c r="Y22" s="78"/>
      <c r="Z22" s="78"/>
      <c r="AA22" s="78"/>
      <c r="AB22" t="s" s="79">
        <v>124</v>
      </c>
      <c r="AC22" t="s" s="79">
        <v>124</v>
      </c>
      <c r="AD22" t="s" s="82">
        <v>125</v>
      </c>
      <c r="AE22" s="67"/>
    </row>
    <row r="23" ht="15" customHeight="1">
      <c r="A23" t="s" s="86">
        <v>30</v>
      </c>
      <c r="B23" s="69">
        <v>64.59999999999999</v>
      </c>
      <c r="C23" t="b" s="70">
        <v>0</v>
      </c>
      <c r="D23" s="71"/>
      <c r="E23" t="s" s="72">
        <v>182</v>
      </c>
      <c r="F23" t="s" s="72">
        <v>183</v>
      </c>
      <c r="G23" s="73">
        <v>11</v>
      </c>
      <c r="H23" t="s" s="72">
        <v>118</v>
      </c>
      <c r="I23" t="s" s="72">
        <v>150</v>
      </c>
      <c r="J23" s="73">
        <v>24</v>
      </c>
      <c r="K23" t="s" s="72">
        <v>184</v>
      </c>
      <c r="L23" t="s" s="72">
        <v>121</v>
      </c>
      <c r="M23" s="71"/>
      <c r="N23" s="71"/>
      <c r="O23" s="71"/>
      <c r="P23" s="73">
        <v>2</v>
      </c>
      <c r="Q23" s="74">
        <v>6</v>
      </c>
      <c r="R23" s="74">
        <v>4</v>
      </c>
      <c r="S23" s="73">
        <v>0</v>
      </c>
      <c r="T23" s="73">
        <v>0</v>
      </c>
      <c r="U23" t="s" s="72">
        <v>122</v>
      </c>
      <c r="V23" s="71"/>
      <c r="W23" s="71"/>
      <c r="X23" s="71"/>
      <c r="Y23" s="71"/>
      <c r="Z23" s="71"/>
      <c r="AA23" s="71"/>
      <c r="AB23" t="s" s="72">
        <v>124</v>
      </c>
      <c r="AC23" t="s" s="72">
        <v>124</v>
      </c>
      <c r="AD23" t="s" s="75">
        <v>125</v>
      </c>
      <c r="AE23" s="67"/>
    </row>
    <row r="24" ht="15" customHeight="1">
      <c r="A24" t="s" s="86">
        <v>30</v>
      </c>
      <c r="B24" s="76">
        <v>62.5</v>
      </c>
      <c r="C24" t="b" s="77">
        <v>0</v>
      </c>
      <c r="D24" s="78"/>
      <c r="E24" t="s" s="79">
        <v>185</v>
      </c>
      <c r="F24" t="s" s="79">
        <v>163</v>
      </c>
      <c r="G24" s="80">
        <v>17</v>
      </c>
      <c r="H24" t="s" s="79">
        <v>175</v>
      </c>
      <c r="I24" t="s" s="79">
        <v>175</v>
      </c>
      <c r="J24" s="80">
        <v>34</v>
      </c>
      <c r="K24" t="s" s="79">
        <v>128</v>
      </c>
      <c r="L24" t="s" s="79">
        <v>121</v>
      </c>
      <c r="M24" s="78"/>
      <c r="N24" s="78"/>
      <c r="O24" s="78"/>
      <c r="P24" s="80">
        <v>0</v>
      </c>
      <c r="Q24" s="81">
        <v>0</v>
      </c>
      <c r="R24" s="81">
        <v>0</v>
      </c>
      <c r="S24" s="80">
        <v>0</v>
      </c>
      <c r="T24" s="80">
        <v>0</v>
      </c>
      <c r="U24" t="s" s="79">
        <v>122</v>
      </c>
      <c r="V24" s="80">
        <v>29</v>
      </c>
      <c r="W24" s="81">
        <v>6.12</v>
      </c>
      <c r="X24" s="81">
        <v>4.55</v>
      </c>
      <c r="Y24" s="80">
        <v>0</v>
      </c>
      <c r="Z24" s="80">
        <v>0</v>
      </c>
      <c r="AA24" t="s" s="79">
        <v>123</v>
      </c>
      <c r="AB24" t="s" s="79">
        <v>124</v>
      </c>
      <c r="AC24" t="s" s="79">
        <v>124</v>
      </c>
      <c r="AD24" t="s" s="82">
        <v>125</v>
      </c>
      <c r="AE24" s="67"/>
    </row>
    <row r="25" ht="15" customHeight="1">
      <c r="A25" t="s" s="86">
        <v>30</v>
      </c>
      <c r="B25" s="69">
        <v>52.2</v>
      </c>
      <c r="C25" t="b" s="70">
        <v>0</v>
      </c>
      <c r="D25" s="71"/>
      <c r="E25" t="s" s="72">
        <v>186</v>
      </c>
      <c r="F25" t="s" s="72">
        <v>187</v>
      </c>
      <c r="G25" s="73">
        <v>7</v>
      </c>
      <c r="H25" t="s" s="72">
        <v>188</v>
      </c>
      <c r="I25" t="s" s="72">
        <v>189</v>
      </c>
      <c r="J25" s="73">
        <v>28</v>
      </c>
      <c r="K25" t="s" s="72">
        <v>190</v>
      </c>
      <c r="L25" t="s" s="72">
        <v>121</v>
      </c>
      <c r="M25" s="71"/>
      <c r="N25" s="71"/>
      <c r="O25" s="71"/>
      <c r="P25" s="73">
        <v>1</v>
      </c>
      <c r="Q25" s="74">
        <v>4.5</v>
      </c>
      <c r="R25" s="74">
        <v>1.5</v>
      </c>
      <c r="S25" s="73">
        <v>0</v>
      </c>
      <c r="T25" s="73">
        <v>0</v>
      </c>
      <c r="U25" t="s" s="72">
        <v>122</v>
      </c>
      <c r="V25" s="71"/>
      <c r="W25" s="71"/>
      <c r="X25" s="71"/>
      <c r="Y25" s="71"/>
      <c r="Z25" s="71"/>
      <c r="AA25" s="71"/>
      <c r="AB25" t="s" s="72">
        <v>124</v>
      </c>
      <c r="AC25" t="s" s="72">
        <v>124</v>
      </c>
      <c r="AD25" t="s" s="75">
        <v>125</v>
      </c>
      <c r="AE25" s="67"/>
    </row>
    <row r="26" ht="15" customHeight="1">
      <c r="A26" t="s" s="86">
        <v>30</v>
      </c>
      <c r="B26" s="76">
        <v>36.1</v>
      </c>
      <c r="C26" t="b" s="77">
        <v>0</v>
      </c>
      <c r="D26" t="s" s="85">
        <v>191</v>
      </c>
      <c r="E26" t="s" s="79">
        <v>192</v>
      </c>
      <c r="F26" t="s" s="79">
        <v>193</v>
      </c>
      <c r="G26" s="80">
        <v>1</v>
      </c>
      <c r="H26" t="s" s="79">
        <v>164</v>
      </c>
      <c r="I26" t="s" s="79">
        <v>194</v>
      </c>
      <c r="J26" s="80">
        <v>21</v>
      </c>
      <c r="K26" t="s" s="79">
        <v>128</v>
      </c>
      <c r="L26" t="s" s="79">
        <v>121</v>
      </c>
      <c r="M26" s="78"/>
      <c r="N26" s="78"/>
      <c r="O26" s="78"/>
      <c r="P26" s="80">
        <v>0</v>
      </c>
      <c r="Q26" s="81">
        <v>0</v>
      </c>
      <c r="R26" s="81">
        <v>0</v>
      </c>
      <c r="S26" s="80">
        <v>0</v>
      </c>
      <c r="T26" s="80">
        <v>0</v>
      </c>
      <c r="U26" t="s" s="79">
        <v>122</v>
      </c>
      <c r="V26" s="78"/>
      <c r="W26" s="78"/>
      <c r="X26" s="78"/>
      <c r="Y26" s="78"/>
      <c r="Z26" s="78"/>
      <c r="AA26" s="78"/>
      <c r="AB26" t="s" s="79">
        <v>124</v>
      </c>
      <c r="AC26" t="s" s="79">
        <v>124</v>
      </c>
      <c r="AD26" t="s" s="82">
        <v>125</v>
      </c>
      <c r="AE26" s="67"/>
    </row>
    <row r="27" ht="15" customHeight="1">
      <c r="A27" t="s" s="86">
        <v>30</v>
      </c>
      <c r="B27" s="69">
        <v>36.1</v>
      </c>
      <c r="C27" t="b" s="70">
        <v>0</v>
      </c>
      <c r="D27" s="71"/>
      <c r="E27" t="s" s="72">
        <v>195</v>
      </c>
      <c r="F27" t="s" s="72">
        <v>187</v>
      </c>
      <c r="G27" s="73">
        <v>1</v>
      </c>
      <c r="H27" t="s" s="72">
        <v>196</v>
      </c>
      <c r="I27" t="s" s="72">
        <v>196</v>
      </c>
      <c r="J27" s="73">
        <v>24</v>
      </c>
      <c r="K27" t="s" s="72">
        <v>197</v>
      </c>
      <c r="L27" t="s" s="72">
        <v>154</v>
      </c>
      <c r="M27" s="71"/>
      <c r="N27" s="71"/>
      <c r="O27" s="71"/>
      <c r="P27" s="73">
        <v>0</v>
      </c>
      <c r="Q27" s="74">
        <v>0</v>
      </c>
      <c r="R27" s="74">
        <v>0</v>
      </c>
      <c r="S27" s="73">
        <v>0</v>
      </c>
      <c r="T27" s="73">
        <v>0</v>
      </c>
      <c r="U27" t="s" s="72">
        <v>122</v>
      </c>
      <c r="V27" s="73">
        <v>0</v>
      </c>
      <c r="W27" s="74">
        <v>0</v>
      </c>
      <c r="X27" s="74">
        <v>0</v>
      </c>
      <c r="Y27" s="73">
        <v>0</v>
      </c>
      <c r="Z27" s="73">
        <v>0</v>
      </c>
      <c r="AA27" t="s" s="72">
        <v>123</v>
      </c>
      <c r="AB27" t="s" s="72">
        <v>124</v>
      </c>
      <c r="AC27" t="s" s="72">
        <v>124</v>
      </c>
      <c r="AD27" t="s" s="75">
        <v>125</v>
      </c>
      <c r="AE27" s="67"/>
    </row>
    <row r="28" ht="15" customHeight="1">
      <c r="A28" t="s" s="86">
        <v>30</v>
      </c>
      <c r="B28" s="76">
        <v>32.7</v>
      </c>
      <c r="C28" t="b" s="77">
        <v>0</v>
      </c>
      <c r="D28" s="78"/>
      <c r="E28" t="s" s="79">
        <v>198</v>
      </c>
      <c r="F28" t="s" s="79">
        <v>193</v>
      </c>
      <c r="G28" s="80">
        <v>1</v>
      </c>
      <c r="H28" t="s" s="79">
        <v>175</v>
      </c>
      <c r="I28" t="s" s="79">
        <v>175</v>
      </c>
      <c r="J28" s="80">
        <v>25</v>
      </c>
      <c r="K28" t="s" s="79">
        <v>128</v>
      </c>
      <c r="L28" t="s" s="79">
        <v>121</v>
      </c>
      <c r="M28" s="78"/>
      <c r="N28" s="78"/>
      <c r="O28" s="78"/>
      <c r="P28" s="80">
        <v>2</v>
      </c>
      <c r="Q28" s="81">
        <v>6.25</v>
      </c>
      <c r="R28" s="81">
        <v>4.75</v>
      </c>
      <c r="S28" s="80">
        <v>0</v>
      </c>
      <c r="T28" s="80">
        <v>0</v>
      </c>
      <c r="U28" t="s" s="79">
        <v>122</v>
      </c>
      <c r="V28" s="80">
        <v>17</v>
      </c>
      <c r="W28" s="81">
        <v>6.24</v>
      </c>
      <c r="X28" s="81">
        <v>5.15</v>
      </c>
      <c r="Y28" s="80">
        <v>0</v>
      </c>
      <c r="Z28" s="80">
        <v>0</v>
      </c>
      <c r="AA28" t="s" s="79">
        <v>123</v>
      </c>
      <c r="AB28" t="s" s="79">
        <v>124</v>
      </c>
      <c r="AC28" t="s" s="79">
        <v>124</v>
      </c>
      <c r="AD28" t="s" s="82">
        <v>125</v>
      </c>
      <c r="AE28" s="67"/>
    </row>
    <row r="29" ht="15" customHeight="1">
      <c r="A29" t="s" s="86">
        <v>30</v>
      </c>
      <c r="B29" s="69">
        <v>30.4</v>
      </c>
      <c r="C29" t="b" s="70">
        <v>0</v>
      </c>
      <c r="D29" s="71"/>
      <c r="E29" t="s" s="72">
        <v>199</v>
      </c>
      <c r="F29" t="s" s="72">
        <v>183</v>
      </c>
      <c r="G29" s="73">
        <v>1</v>
      </c>
      <c r="H29" t="s" s="72">
        <v>175</v>
      </c>
      <c r="I29" t="s" s="72">
        <v>200</v>
      </c>
      <c r="J29" s="73">
        <v>30</v>
      </c>
      <c r="K29" t="s" s="72">
        <v>128</v>
      </c>
      <c r="L29" t="s" s="72">
        <v>121</v>
      </c>
      <c r="M29" s="71"/>
      <c r="N29" s="71"/>
      <c r="O29" s="71"/>
      <c r="P29" s="73">
        <v>0</v>
      </c>
      <c r="Q29" s="74">
        <v>0</v>
      </c>
      <c r="R29" s="74">
        <v>0</v>
      </c>
      <c r="S29" s="73">
        <v>0</v>
      </c>
      <c r="T29" s="73">
        <v>0</v>
      </c>
      <c r="U29" t="s" s="72">
        <v>122</v>
      </c>
      <c r="V29" s="73">
        <v>35</v>
      </c>
      <c r="W29" s="74">
        <v>6.14</v>
      </c>
      <c r="X29" s="74">
        <v>4.89</v>
      </c>
      <c r="Y29" s="73">
        <v>0</v>
      </c>
      <c r="Z29" s="73">
        <v>1</v>
      </c>
      <c r="AA29" t="s" s="72">
        <v>123</v>
      </c>
      <c r="AB29" t="s" s="72">
        <v>124</v>
      </c>
      <c r="AC29" t="s" s="72">
        <v>124</v>
      </c>
      <c r="AD29" t="s" s="75">
        <v>125</v>
      </c>
      <c r="AE29" s="67"/>
    </row>
    <row r="30" ht="15" customHeight="1">
      <c r="A30" t="s" s="86">
        <v>30</v>
      </c>
      <c r="B30" s="76">
        <v>29.9</v>
      </c>
      <c r="C30" t="b" s="77">
        <v>0</v>
      </c>
      <c r="D30" s="78"/>
      <c r="E30" t="s" s="79">
        <v>201</v>
      </c>
      <c r="F30" t="s" s="79">
        <v>134</v>
      </c>
      <c r="G30" s="80">
        <v>1</v>
      </c>
      <c r="H30" t="s" s="79">
        <v>175</v>
      </c>
      <c r="I30" t="s" s="79">
        <v>175</v>
      </c>
      <c r="J30" s="80">
        <v>32</v>
      </c>
      <c r="K30" t="s" s="79">
        <v>128</v>
      </c>
      <c r="L30" t="s" s="79">
        <v>121</v>
      </c>
      <c r="M30" s="78"/>
      <c r="N30" s="78"/>
      <c r="O30" s="78"/>
      <c r="P30" s="80">
        <v>0</v>
      </c>
      <c r="Q30" s="81">
        <v>0</v>
      </c>
      <c r="R30" s="81">
        <v>0</v>
      </c>
      <c r="S30" s="80">
        <v>0</v>
      </c>
      <c r="T30" s="80">
        <v>0</v>
      </c>
      <c r="U30" t="s" s="79">
        <v>122</v>
      </c>
      <c r="V30" s="80">
        <v>27</v>
      </c>
      <c r="W30" s="81">
        <v>6.28</v>
      </c>
      <c r="X30" s="81">
        <v>5.37</v>
      </c>
      <c r="Y30" s="80">
        <v>0</v>
      </c>
      <c r="Z30" s="80">
        <v>0</v>
      </c>
      <c r="AA30" t="s" s="79">
        <v>123</v>
      </c>
      <c r="AB30" t="s" s="79">
        <v>124</v>
      </c>
      <c r="AC30" t="s" s="79">
        <v>124</v>
      </c>
      <c r="AD30" t="s" s="82">
        <v>125</v>
      </c>
      <c r="AE30" s="67"/>
    </row>
    <row r="31" ht="15" customHeight="1">
      <c r="A31" t="s" s="86">
        <v>30</v>
      </c>
      <c r="B31" s="69">
        <v>29.6</v>
      </c>
      <c r="C31" t="b" s="70">
        <v>0</v>
      </c>
      <c r="D31" s="71"/>
      <c r="E31" t="s" s="72">
        <v>202</v>
      </c>
      <c r="F31" t="s" s="72">
        <v>193</v>
      </c>
      <c r="G31" s="73">
        <v>1</v>
      </c>
      <c r="H31" t="s" s="72">
        <v>175</v>
      </c>
      <c r="I31" t="s" s="72">
        <v>203</v>
      </c>
      <c r="J31" s="73">
        <v>18</v>
      </c>
      <c r="K31" t="s" s="72">
        <v>204</v>
      </c>
      <c r="L31" s="71"/>
      <c r="M31" s="71"/>
      <c r="N31" s="71"/>
      <c r="O31" s="71"/>
      <c r="P31" s="71"/>
      <c r="Q31" s="71"/>
      <c r="R31" s="71"/>
      <c r="S31" s="71"/>
      <c r="T31" s="71"/>
      <c r="U31" s="71"/>
      <c r="V31" s="73">
        <v>9</v>
      </c>
      <c r="W31" s="74">
        <v>5.83</v>
      </c>
      <c r="X31" s="74">
        <v>5.83</v>
      </c>
      <c r="Y31" s="73">
        <v>0</v>
      </c>
      <c r="Z31" s="73">
        <v>1</v>
      </c>
      <c r="AA31" t="s" s="72">
        <v>123</v>
      </c>
      <c r="AB31" t="s" s="72">
        <v>125</v>
      </c>
      <c r="AC31" s="71"/>
      <c r="AD31" t="s" s="75">
        <v>125</v>
      </c>
      <c r="AE31" s="67"/>
    </row>
    <row r="32" ht="15" customHeight="1">
      <c r="A32" t="s" s="86">
        <v>30</v>
      </c>
      <c r="B32" s="76">
        <v>29.4</v>
      </c>
      <c r="C32" t="b" s="77">
        <v>0</v>
      </c>
      <c r="D32" s="78"/>
      <c r="E32" t="s" s="79">
        <v>205</v>
      </c>
      <c r="F32" t="s" s="79">
        <v>170</v>
      </c>
      <c r="G32" s="80">
        <v>1</v>
      </c>
      <c r="H32" t="s" s="79">
        <v>175</v>
      </c>
      <c r="I32" t="s" s="79">
        <v>175</v>
      </c>
      <c r="J32" s="80">
        <v>27</v>
      </c>
      <c r="K32" t="s" s="79">
        <v>206</v>
      </c>
      <c r="L32" t="s" s="79">
        <v>121</v>
      </c>
      <c r="M32" s="78"/>
      <c r="N32" s="78"/>
      <c r="O32" s="78"/>
      <c r="P32" s="80">
        <v>0</v>
      </c>
      <c r="Q32" s="81">
        <v>0</v>
      </c>
      <c r="R32" s="81">
        <v>0</v>
      </c>
      <c r="S32" s="80">
        <v>0</v>
      </c>
      <c r="T32" s="80">
        <v>0</v>
      </c>
      <c r="U32" t="s" s="79">
        <v>122</v>
      </c>
      <c r="V32" s="80">
        <v>1</v>
      </c>
      <c r="W32" s="81">
        <v>7.5</v>
      </c>
      <c r="X32" s="81">
        <v>6.5</v>
      </c>
      <c r="Y32" s="80">
        <v>0</v>
      </c>
      <c r="Z32" s="80">
        <v>0</v>
      </c>
      <c r="AA32" t="s" s="79">
        <v>123</v>
      </c>
      <c r="AB32" t="s" s="79">
        <v>124</v>
      </c>
      <c r="AC32" t="s" s="79">
        <v>124</v>
      </c>
      <c r="AD32" t="s" s="82">
        <v>125</v>
      </c>
      <c r="AE32" s="67"/>
    </row>
    <row r="33" ht="15" customHeight="1">
      <c r="A33" t="s" s="86">
        <v>30</v>
      </c>
      <c r="B33" s="69">
        <v>29.2</v>
      </c>
      <c r="C33" t="b" s="70">
        <v>0</v>
      </c>
      <c r="D33" s="71"/>
      <c r="E33" t="s" s="72">
        <v>207</v>
      </c>
      <c r="F33" t="s" s="72">
        <v>130</v>
      </c>
      <c r="G33" s="73">
        <v>1</v>
      </c>
      <c r="H33" t="s" s="72">
        <v>175</v>
      </c>
      <c r="I33" t="s" s="72">
        <v>175</v>
      </c>
      <c r="J33" s="73">
        <v>36</v>
      </c>
      <c r="K33" t="s" s="72">
        <v>128</v>
      </c>
      <c r="L33" t="s" s="72">
        <v>121</v>
      </c>
      <c r="M33" s="71"/>
      <c r="N33" s="71"/>
      <c r="O33" s="71"/>
      <c r="P33" s="73">
        <v>0</v>
      </c>
      <c r="Q33" s="74">
        <v>0</v>
      </c>
      <c r="R33" s="74">
        <v>0</v>
      </c>
      <c r="S33" s="73">
        <v>0</v>
      </c>
      <c r="T33" s="73">
        <v>0</v>
      </c>
      <c r="U33" t="s" s="72">
        <v>122</v>
      </c>
      <c r="V33" s="73">
        <v>2</v>
      </c>
      <c r="W33" s="74">
        <v>6</v>
      </c>
      <c r="X33" s="74">
        <v>6</v>
      </c>
      <c r="Y33" s="73">
        <v>0</v>
      </c>
      <c r="Z33" s="73">
        <v>0</v>
      </c>
      <c r="AA33" t="s" s="72">
        <v>123</v>
      </c>
      <c r="AB33" t="s" s="72">
        <v>124</v>
      </c>
      <c r="AC33" t="s" s="72">
        <v>124</v>
      </c>
      <c r="AD33" t="s" s="75">
        <v>125</v>
      </c>
      <c r="AE33" s="67"/>
    </row>
    <row r="34" ht="15" customHeight="1">
      <c r="A34" t="s" s="86">
        <v>30</v>
      </c>
      <c r="B34" s="76">
        <v>29.1</v>
      </c>
      <c r="C34" t="b" s="77">
        <v>0</v>
      </c>
      <c r="D34" s="78"/>
      <c r="E34" t="s" s="79">
        <v>208</v>
      </c>
      <c r="F34" t="s" s="79">
        <v>163</v>
      </c>
      <c r="G34" s="80">
        <v>1</v>
      </c>
      <c r="H34" t="s" s="79">
        <v>175</v>
      </c>
      <c r="I34" t="s" s="79">
        <v>203</v>
      </c>
      <c r="J34" s="80">
        <v>19</v>
      </c>
      <c r="K34" t="s" s="79">
        <v>128</v>
      </c>
      <c r="L34" t="s" s="79">
        <v>121</v>
      </c>
      <c r="M34" s="78"/>
      <c r="N34" s="78"/>
      <c r="O34" s="78"/>
      <c r="P34" s="80">
        <v>2</v>
      </c>
      <c r="Q34" s="81">
        <v>6</v>
      </c>
      <c r="R34" s="81">
        <v>4</v>
      </c>
      <c r="S34" s="80">
        <v>0</v>
      </c>
      <c r="T34" s="80">
        <v>0</v>
      </c>
      <c r="U34" t="s" s="79">
        <v>122</v>
      </c>
      <c r="V34" s="78"/>
      <c r="W34" s="78"/>
      <c r="X34" s="78"/>
      <c r="Y34" s="78"/>
      <c r="Z34" s="78"/>
      <c r="AA34" s="78"/>
      <c r="AB34" t="s" s="79">
        <v>124</v>
      </c>
      <c r="AC34" t="s" s="79">
        <v>124</v>
      </c>
      <c r="AD34" t="s" s="82">
        <v>125</v>
      </c>
      <c r="AE34" s="67"/>
    </row>
    <row r="35" ht="15" customHeight="1">
      <c r="A35" t="s" s="86">
        <v>30</v>
      </c>
      <c r="B35" s="69">
        <v>29</v>
      </c>
      <c r="C35" t="b" s="70">
        <v>0</v>
      </c>
      <c r="D35" s="71"/>
      <c r="E35" t="s" s="72">
        <v>209</v>
      </c>
      <c r="F35" t="s" s="72">
        <v>149</v>
      </c>
      <c r="G35" s="73">
        <v>1</v>
      </c>
      <c r="H35" t="s" s="72">
        <v>175</v>
      </c>
      <c r="I35" t="s" s="72">
        <v>203</v>
      </c>
      <c r="J35" s="73">
        <v>21</v>
      </c>
      <c r="K35" t="s" s="72">
        <v>128</v>
      </c>
      <c r="L35" t="s" s="72">
        <v>121</v>
      </c>
      <c r="M35" s="71"/>
      <c r="N35" s="71"/>
      <c r="O35" s="71"/>
      <c r="P35" s="73">
        <v>0</v>
      </c>
      <c r="Q35" s="74">
        <v>0</v>
      </c>
      <c r="R35" s="74">
        <v>0</v>
      </c>
      <c r="S35" s="73">
        <v>0</v>
      </c>
      <c r="T35" s="73">
        <v>0</v>
      </c>
      <c r="U35" t="s" s="72">
        <v>122</v>
      </c>
      <c r="V35" s="73">
        <v>9</v>
      </c>
      <c r="W35" s="74">
        <v>6</v>
      </c>
      <c r="X35" s="74">
        <v>5.17</v>
      </c>
      <c r="Y35" s="73">
        <v>0</v>
      </c>
      <c r="Z35" s="73">
        <v>0</v>
      </c>
      <c r="AA35" t="s" s="72">
        <v>123</v>
      </c>
      <c r="AB35" t="s" s="72">
        <v>124</v>
      </c>
      <c r="AC35" t="s" s="72">
        <v>124</v>
      </c>
      <c r="AD35" t="s" s="75">
        <v>125</v>
      </c>
      <c r="AE35" s="67"/>
    </row>
    <row r="36" ht="15" customHeight="1">
      <c r="A36" t="s" s="86">
        <v>30</v>
      </c>
      <c r="B36" s="76">
        <v>28.9</v>
      </c>
      <c r="C36" t="b" s="77">
        <v>0</v>
      </c>
      <c r="D36" s="78"/>
      <c r="E36" t="s" s="79">
        <v>210</v>
      </c>
      <c r="F36" t="s" s="79">
        <v>144</v>
      </c>
      <c r="G36" s="80">
        <v>1</v>
      </c>
      <c r="H36" t="s" s="79">
        <v>175</v>
      </c>
      <c r="I36" t="s" s="79">
        <v>203</v>
      </c>
      <c r="J36" s="80">
        <v>18</v>
      </c>
      <c r="K36" t="s" s="79">
        <v>144</v>
      </c>
      <c r="L36" t="s" s="79">
        <v>121</v>
      </c>
      <c r="M36" s="78"/>
      <c r="N36" s="78"/>
      <c r="O36" s="78"/>
      <c r="P36" s="80">
        <v>0</v>
      </c>
      <c r="Q36" s="81">
        <v>0</v>
      </c>
      <c r="R36" s="81">
        <v>0</v>
      </c>
      <c r="S36" s="80">
        <v>0</v>
      </c>
      <c r="T36" s="80">
        <v>0</v>
      </c>
      <c r="U36" t="s" s="79">
        <v>122</v>
      </c>
      <c r="V36" s="80">
        <v>4</v>
      </c>
      <c r="W36" s="81">
        <v>6.12</v>
      </c>
      <c r="X36" s="81">
        <v>5.62</v>
      </c>
      <c r="Y36" s="80">
        <v>0</v>
      </c>
      <c r="Z36" s="80">
        <v>0</v>
      </c>
      <c r="AA36" t="s" s="79">
        <v>123</v>
      </c>
      <c r="AB36" t="s" s="79">
        <v>124</v>
      </c>
      <c r="AC36" t="s" s="79">
        <v>124</v>
      </c>
      <c r="AD36" t="s" s="82">
        <v>125</v>
      </c>
      <c r="AE36" s="67"/>
    </row>
    <row r="37" ht="15" customHeight="1">
      <c r="A37" t="s" s="86">
        <v>30</v>
      </c>
      <c r="B37" s="69">
        <v>28.8</v>
      </c>
      <c r="C37" t="b" s="70">
        <v>0</v>
      </c>
      <c r="D37" s="71"/>
      <c r="E37" t="s" s="72">
        <v>211</v>
      </c>
      <c r="F37" t="s" s="72">
        <v>172</v>
      </c>
      <c r="G37" s="73">
        <v>1</v>
      </c>
      <c r="H37" t="s" s="72">
        <v>175</v>
      </c>
      <c r="I37" t="s" s="72">
        <v>175</v>
      </c>
      <c r="J37" s="73">
        <v>25</v>
      </c>
      <c r="K37" t="s" s="72">
        <v>128</v>
      </c>
      <c r="L37" t="s" s="72">
        <v>121</v>
      </c>
      <c r="M37" s="71"/>
      <c r="N37" s="71"/>
      <c r="O37" s="71"/>
      <c r="P37" s="73">
        <v>0</v>
      </c>
      <c r="Q37" s="74">
        <v>0</v>
      </c>
      <c r="R37" s="74">
        <v>0</v>
      </c>
      <c r="S37" s="73">
        <v>0</v>
      </c>
      <c r="T37" s="73">
        <v>0</v>
      </c>
      <c r="U37" t="s" s="72">
        <v>122</v>
      </c>
      <c r="V37" s="73">
        <v>6</v>
      </c>
      <c r="W37" s="74">
        <v>6.25</v>
      </c>
      <c r="X37" s="74">
        <v>5.08</v>
      </c>
      <c r="Y37" s="73">
        <v>0</v>
      </c>
      <c r="Z37" s="73">
        <v>0</v>
      </c>
      <c r="AA37" t="s" s="72">
        <v>123</v>
      </c>
      <c r="AB37" t="s" s="72">
        <v>124</v>
      </c>
      <c r="AC37" t="s" s="72">
        <v>124</v>
      </c>
      <c r="AD37" t="s" s="75">
        <v>125</v>
      </c>
      <c r="AE37" s="67"/>
    </row>
    <row r="38" ht="15" customHeight="1">
      <c r="A38" t="s" s="86">
        <v>30</v>
      </c>
      <c r="B38" s="76">
        <v>28.6</v>
      </c>
      <c r="C38" t="b" s="77">
        <v>0</v>
      </c>
      <c r="D38" s="78"/>
      <c r="E38" t="s" s="79">
        <v>212</v>
      </c>
      <c r="F38" t="s" s="79">
        <v>159</v>
      </c>
      <c r="G38" s="80">
        <v>1</v>
      </c>
      <c r="H38" t="s" s="79">
        <v>175</v>
      </c>
      <c r="I38" t="s" s="79">
        <v>175</v>
      </c>
      <c r="J38" s="80">
        <v>40</v>
      </c>
      <c r="K38" t="s" s="79">
        <v>128</v>
      </c>
      <c r="L38" t="s" s="79">
        <v>121</v>
      </c>
      <c r="M38" s="78"/>
      <c r="N38" s="78"/>
      <c r="O38" s="78"/>
      <c r="P38" s="80">
        <v>0</v>
      </c>
      <c r="Q38" s="81">
        <v>0</v>
      </c>
      <c r="R38" s="81">
        <v>0</v>
      </c>
      <c r="S38" s="80">
        <v>0</v>
      </c>
      <c r="T38" s="80">
        <v>0</v>
      </c>
      <c r="U38" t="s" s="79">
        <v>122</v>
      </c>
      <c r="V38" s="80">
        <v>2</v>
      </c>
      <c r="W38" s="81">
        <v>6.25</v>
      </c>
      <c r="X38" s="81">
        <v>5.25</v>
      </c>
      <c r="Y38" s="80">
        <v>0</v>
      </c>
      <c r="Z38" s="80">
        <v>0</v>
      </c>
      <c r="AA38" t="s" s="79">
        <v>123</v>
      </c>
      <c r="AB38" t="s" s="79">
        <v>124</v>
      </c>
      <c r="AC38" t="s" s="79">
        <v>124</v>
      </c>
      <c r="AD38" t="s" s="82">
        <v>125</v>
      </c>
      <c r="AE38" s="67"/>
    </row>
    <row r="39" ht="15" customHeight="1">
      <c r="A39" t="s" s="86">
        <v>30</v>
      </c>
      <c r="B39" s="69">
        <v>28.5</v>
      </c>
      <c r="C39" t="b" s="70">
        <v>0</v>
      </c>
      <c r="D39" s="71"/>
      <c r="E39" t="s" s="72">
        <v>213</v>
      </c>
      <c r="F39" t="s" s="72">
        <v>149</v>
      </c>
      <c r="G39" s="73">
        <v>1</v>
      </c>
      <c r="H39" t="s" s="72">
        <v>175</v>
      </c>
      <c r="I39" t="s" s="72">
        <v>175</v>
      </c>
      <c r="J39" s="73">
        <v>24</v>
      </c>
      <c r="K39" t="s" s="72">
        <v>204</v>
      </c>
      <c r="L39" s="71"/>
      <c r="M39" s="71"/>
      <c r="N39" s="71"/>
      <c r="O39" s="71"/>
      <c r="P39" s="71"/>
      <c r="Q39" s="71"/>
      <c r="R39" s="71"/>
      <c r="S39" s="71"/>
      <c r="T39" s="71"/>
      <c r="U39" s="71"/>
      <c r="V39" s="73">
        <v>2</v>
      </c>
      <c r="W39" s="74">
        <v>6.5</v>
      </c>
      <c r="X39" s="74">
        <v>5</v>
      </c>
      <c r="Y39" s="73">
        <v>0</v>
      </c>
      <c r="Z39" s="73">
        <v>0</v>
      </c>
      <c r="AA39" t="s" s="72">
        <v>123</v>
      </c>
      <c r="AB39" t="s" s="72">
        <v>125</v>
      </c>
      <c r="AC39" s="71"/>
      <c r="AD39" t="s" s="75">
        <v>125</v>
      </c>
      <c r="AE39" s="67"/>
    </row>
    <row r="40" ht="15" customHeight="1">
      <c r="A40" t="s" s="86">
        <v>30</v>
      </c>
      <c r="B40" s="76">
        <v>28.5</v>
      </c>
      <c r="C40" t="b" s="77">
        <v>0</v>
      </c>
      <c r="D40" s="78"/>
      <c r="E40" t="s" s="79">
        <v>214</v>
      </c>
      <c r="F40" t="s" s="79">
        <v>156</v>
      </c>
      <c r="G40" s="80">
        <v>1</v>
      </c>
      <c r="H40" t="s" s="79">
        <v>175</v>
      </c>
      <c r="I40" t="s" s="79">
        <v>175</v>
      </c>
      <c r="J40" s="80">
        <v>29</v>
      </c>
      <c r="K40" t="s" s="79">
        <v>128</v>
      </c>
      <c r="L40" t="s" s="79">
        <v>121</v>
      </c>
      <c r="M40" s="78"/>
      <c r="N40" s="78"/>
      <c r="O40" s="78"/>
      <c r="P40" s="80">
        <v>0</v>
      </c>
      <c r="Q40" s="81">
        <v>0</v>
      </c>
      <c r="R40" s="81">
        <v>0</v>
      </c>
      <c r="S40" s="80">
        <v>0</v>
      </c>
      <c r="T40" s="80">
        <v>0</v>
      </c>
      <c r="U40" t="s" s="79">
        <v>122</v>
      </c>
      <c r="V40" s="80">
        <v>2</v>
      </c>
      <c r="W40" s="81">
        <v>5.75</v>
      </c>
      <c r="X40" s="81">
        <v>3.75</v>
      </c>
      <c r="Y40" s="80">
        <v>0</v>
      </c>
      <c r="Z40" s="80">
        <v>0</v>
      </c>
      <c r="AA40" t="s" s="79">
        <v>123</v>
      </c>
      <c r="AB40" t="s" s="79">
        <v>124</v>
      </c>
      <c r="AC40" t="s" s="79">
        <v>124</v>
      </c>
      <c r="AD40" t="s" s="82">
        <v>125</v>
      </c>
      <c r="AE40" s="67"/>
    </row>
    <row r="41" ht="15" customHeight="1">
      <c r="A41" t="s" s="87">
        <v>32</v>
      </c>
      <c r="B41" s="69">
        <v>28.3</v>
      </c>
      <c r="C41" t="b" s="70">
        <v>0</v>
      </c>
      <c r="D41" s="71"/>
      <c r="E41" t="s" s="72">
        <v>215</v>
      </c>
      <c r="F41" t="s" s="72">
        <v>127</v>
      </c>
      <c r="G41" s="73">
        <v>1</v>
      </c>
      <c r="H41" t="s" s="72">
        <v>175</v>
      </c>
      <c r="I41" t="s" s="72">
        <v>175</v>
      </c>
      <c r="J41" s="73">
        <v>34</v>
      </c>
      <c r="K41" t="s" s="72">
        <v>128</v>
      </c>
      <c r="L41" t="s" s="72">
        <v>121</v>
      </c>
      <c r="M41" s="71"/>
      <c r="N41" s="71"/>
      <c r="O41" s="71"/>
      <c r="P41" s="73">
        <v>0</v>
      </c>
      <c r="Q41" s="74">
        <v>0</v>
      </c>
      <c r="R41" s="74">
        <v>0</v>
      </c>
      <c r="S41" s="73">
        <v>0</v>
      </c>
      <c r="T41" s="73">
        <v>0</v>
      </c>
      <c r="U41" t="s" s="72">
        <v>122</v>
      </c>
      <c r="V41" s="73">
        <v>1</v>
      </c>
      <c r="W41" s="74">
        <v>5.5</v>
      </c>
      <c r="X41" s="74">
        <v>4.5</v>
      </c>
      <c r="Y41" s="73">
        <v>0</v>
      </c>
      <c r="Z41" s="73">
        <v>0</v>
      </c>
      <c r="AA41" t="s" s="72">
        <v>123</v>
      </c>
      <c r="AB41" t="s" s="72">
        <v>124</v>
      </c>
      <c r="AC41" t="s" s="72">
        <v>124</v>
      </c>
      <c r="AD41" t="s" s="75">
        <v>125</v>
      </c>
      <c r="AE41" s="67"/>
    </row>
    <row r="42" ht="15" customHeight="1">
      <c r="A42" t="s" s="87">
        <v>32</v>
      </c>
      <c r="B42" s="76">
        <v>28.3</v>
      </c>
      <c r="C42" t="b" s="77">
        <v>0</v>
      </c>
      <c r="D42" s="78"/>
      <c r="E42" t="s" s="79">
        <v>216</v>
      </c>
      <c r="F42" t="s" s="79">
        <v>134</v>
      </c>
      <c r="G42" s="80">
        <v>1</v>
      </c>
      <c r="H42" t="s" s="79">
        <v>175</v>
      </c>
      <c r="I42" t="s" s="79">
        <v>175</v>
      </c>
      <c r="J42" s="80">
        <v>32</v>
      </c>
      <c r="K42" t="s" s="79">
        <v>128</v>
      </c>
      <c r="L42" t="s" s="79">
        <v>121</v>
      </c>
      <c r="M42" s="78"/>
      <c r="N42" s="78"/>
      <c r="O42" s="78"/>
      <c r="P42" s="80">
        <v>0</v>
      </c>
      <c r="Q42" s="81">
        <v>0</v>
      </c>
      <c r="R42" s="81">
        <v>0</v>
      </c>
      <c r="S42" s="80">
        <v>0</v>
      </c>
      <c r="T42" s="80">
        <v>0</v>
      </c>
      <c r="U42" t="s" s="79">
        <v>122</v>
      </c>
      <c r="V42" s="80">
        <v>1</v>
      </c>
      <c r="W42" s="81">
        <v>6</v>
      </c>
      <c r="X42" s="81">
        <v>5</v>
      </c>
      <c r="Y42" s="80">
        <v>0</v>
      </c>
      <c r="Z42" s="80">
        <v>0</v>
      </c>
      <c r="AA42" t="s" s="79">
        <v>123</v>
      </c>
      <c r="AB42" t="s" s="79">
        <v>124</v>
      </c>
      <c r="AC42" t="s" s="79">
        <v>124</v>
      </c>
      <c r="AD42" t="s" s="82">
        <v>125</v>
      </c>
      <c r="AE42" s="67"/>
    </row>
    <row r="43" ht="15" customHeight="1">
      <c r="A43" t="s" s="87">
        <v>32</v>
      </c>
      <c r="B43" s="69">
        <v>28.1</v>
      </c>
      <c r="C43" t="b" s="70">
        <v>0</v>
      </c>
      <c r="D43" t="s" s="84">
        <v>191</v>
      </c>
      <c r="E43" t="s" s="72">
        <v>217</v>
      </c>
      <c r="F43" t="s" s="72">
        <v>180</v>
      </c>
      <c r="G43" s="73">
        <v>1</v>
      </c>
      <c r="H43" t="s" s="72">
        <v>175</v>
      </c>
      <c r="I43" t="s" s="72">
        <v>218</v>
      </c>
      <c r="J43" s="73">
        <v>23</v>
      </c>
      <c r="K43" t="s" s="72">
        <v>219</v>
      </c>
      <c r="L43" t="s" s="72">
        <v>154</v>
      </c>
      <c r="M43" s="71"/>
      <c r="N43" s="71"/>
      <c r="O43" s="71"/>
      <c r="P43" s="73">
        <v>0</v>
      </c>
      <c r="Q43" s="74">
        <v>0</v>
      </c>
      <c r="R43" s="74">
        <v>0</v>
      </c>
      <c r="S43" s="73">
        <v>0</v>
      </c>
      <c r="T43" s="73">
        <v>0</v>
      </c>
      <c r="U43" t="s" s="72">
        <v>122</v>
      </c>
      <c r="V43" s="71"/>
      <c r="W43" s="71"/>
      <c r="X43" s="71"/>
      <c r="Y43" s="71"/>
      <c r="Z43" s="71"/>
      <c r="AA43" s="71"/>
      <c r="AB43" t="s" s="72">
        <v>124</v>
      </c>
      <c r="AC43" t="s" s="72">
        <v>124</v>
      </c>
      <c r="AD43" t="s" s="75">
        <v>125</v>
      </c>
      <c r="AE43" s="67"/>
    </row>
    <row r="44" ht="15" customHeight="1">
      <c r="A44" t="s" s="87">
        <v>32</v>
      </c>
      <c r="B44" s="76">
        <v>26.1</v>
      </c>
      <c r="C44" t="b" s="77">
        <v>0</v>
      </c>
      <c r="D44" s="78"/>
      <c r="E44" t="s" s="79">
        <v>220</v>
      </c>
      <c r="F44" t="s" s="79">
        <v>147</v>
      </c>
      <c r="G44" s="80">
        <v>1</v>
      </c>
      <c r="H44" t="s" s="79">
        <v>175</v>
      </c>
      <c r="I44" t="s" s="79">
        <v>175</v>
      </c>
      <c r="J44" s="80">
        <v>28</v>
      </c>
      <c r="K44" t="s" s="79">
        <v>221</v>
      </c>
      <c r="L44" t="s" s="79">
        <v>121</v>
      </c>
      <c r="M44" s="78"/>
      <c r="N44" s="78"/>
      <c r="O44" s="78"/>
      <c r="P44" s="80">
        <v>0</v>
      </c>
      <c r="Q44" s="81">
        <v>0</v>
      </c>
      <c r="R44" s="81">
        <v>0</v>
      </c>
      <c r="S44" s="80">
        <v>0</v>
      </c>
      <c r="T44" s="80">
        <v>0</v>
      </c>
      <c r="U44" t="s" s="79">
        <v>122</v>
      </c>
      <c r="V44" s="80">
        <v>0</v>
      </c>
      <c r="W44" s="81">
        <v>0</v>
      </c>
      <c r="X44" s="81">
        <v>0</v>
      </c>
      <c r="Y44" s="80">
        <v>0</v>
      </c>
      <c r="Z44" s="80">
        <v>0</v>
      </c>
      <c r="AA44" t="s" s="79">
        <v>123</v>
      </c>
      <c r="AB44" t="s" s="79">
        <v>124</v>
      </c>
      <c r="AC44" t="s" s="79">
        <v>124</v>
      </c>
      <c r="AD44" t="s" s="82">
        <v>125</v>
      </c>
      <c r="AE44" s="67"/>
    </row>
    <row r="45" ht="15" customHeight="1">
      <c r="A45" t="s" s="87">
        <v>32</v>
      </c>
      <c r="B45" s="69">
        <v>26.1</v>
      </c>
      <c r="C45" t="b" s="70">
        <v>0</v>
      </c>
      <c r="D45" s="71"/>
      <c r="E45" t="s" s="72">
        <v>222</v>
      </c>
      <c r="F45" t="s" s="72">
        <v>183</v>
      </c>
      <c r="G45" s="73">
        <v>1</v>
      </c>
      <c r="H45" t="s" s="72">
        <v>175</v>
      </c>
      <c r="I45" t="s" s="72">
        <v>175</v>
      </c>
      <c r="J45" s="73">
        <v>25</v>
      </c>
      <c r="K45" t="s" s="72">
        <v>128</v>
      </c>
      <c r="L45" t="s" s="72">
        <v>121</v>
      </c>
      <c r="M45" s="71"/>
      <c r="N45" s="71"/>
      <c r="O45" s="71"/>
      <c r="P45" s="73">
        <v>0</v>
      </c>
      <c r="Q45" s="74">
        <v>0</v>
      </c>
      <c r="R45" s="74">
        <v>0</v>
      </c>
      <c r="S45" s="73">
        <v>0</v>
      </c>
      <c r="T45" s="73">
        <v>0</v>
      </c>
      <c r="U45" t="s" s="72">
        <v>122</v>
      </c>
      <c r="V45" s="71"/>
      <c r="W45" s="71"/>
      <c r="X45" s="71"/>
      <c r="Y45" s="71"/>
      <c r="Z45" s="71"/>
      <c r="AA45" s="71"/>
      <c r="AB45" t="s" s="72">
        <v>124</v>
      </c>
      <c r="AC45" t="s" s="72">
        <v>124</v>
      </c>
      <c r="AD45" t="s" s="75">
        <v>125</v>
      </c>
      <c r="AE45" s="67"/>
    </row>
    <row r="46" ht="15" customHeight="1">
      <c r="A46" t="s" s="87">
        <v>32</v>
      </c>
      <c r="B46" s="76">
        <v>26.1</v>
      </c>
      <c r="C46" t="b" s="77">
        <v>0</v>
      </c>
      <c r="D46" s="78"/>
      <c r="E46" t="s" s="79">
        <v>223</v>
      </c>
      <c r="F46" t="s" s="79">
        <v>187</v>
      </c>
      <c r="G46" s="80">
        <v>1</v>
      </c>
      <c r="H46" t="s" s="79">
        <v>175</v>
      </c>
      <c r="I46" t="s" s="79">
        <v>203</v>
      </c>
      <c r="J46" s="80">
        <v>19</v>
      </c>
      <c r="K46" t="s" s="79">
        <v>224</v>
      </c>
      <c r="L46" t="s" s="79">
        <v>121</v>
      </c>
      <c r="M46" s="78"/>
      <c r="N46" s="78"/>
      <c r="O46" s="78"/>
      <c r="P46" s="80">
        <v>0</v>
      </c>
      <c r="Q46" s="81">
        <v>0</v>
      </c>
      <c r="R46" s="81">
        <v>0</v>
      </c>
      <c r="S46" s="80">
        <v>0</v>
      </c>
      <c r="T46" s="80">
        <v>0</v>
      </c>
      <c r="U46" t="s" s="79">
        <v>122</v>
      </c>
      <c r="V46" s="78"/>
      <c r="W46" s="78"/>
      <c r="X46" s="78"/>
      <c r="Y46" s="78"/>
      <c r="Z46" s="78"/>
      <c r="AA46" s="78"/>
      <c r="AB46" t="s" s="79">
        <v>124</v>
      </c>
      <c r="AC46" t="s" s="79">
        <v>124</v>
      </c>
      <c r="AD46" t="s" s="82">
        <v>125</v>
      </c>
      <c r="AE46" s="67"/>
    </row>
    <row r="47" ht="15" customHeight="1">
      <c r="A47" t="s" s="87">
        <v>32</v>
      </c>
      <c r="B47" s="69">
        <v>26.1</v>
      </c>
      <c r="C47" t="b" s="70">
        <v>0</v>
      </c>
      <c r="D47" s="71"/>
      <c r="E47" t="s" s="72">
        <v>225</v>
      </c>
      <c r="F47" t="s" s="72">
        <v>159</v>
      </c>
      <c r="G47" s="73">
        <v>1</v>
      </c>
      <c r="H47" t="s" s="72">
        <v>175</v>
      </c>
      <c r="I47" t="s" s="72">
        <v>175</v>
      </c>
      <c r="J47" s="73">
        <v>26</v>
      </c>
      <c r="K47" t="s" s="72">
        <v>145</v>
      </c>
      <c r="L47" t="s" s="72">
        <v>121</v>
      </c>
      <c r="M47" s="71"/>
      <c r="N47" s="71"/>
      <c r="O47" s="71"/>
      <c r="P47" s="73">
        <v>0</v>
      </c>
      <c r="Q47" s="74">
        <v>0</v>
      </c>
      <c r="R47" s="74">
        <v>0</v>
      </c>
      <c r="S47" s="73">
        <v>0</v>
      </c>
      <c r="T47" s="73">
        <v>0</v>
      </c>
      <c r="U47" t="s" s="72">
        <v>122</v>
      </c>
      <c r="V47" s="71"/>
      <c r="W47" s="71"/>
      <c r="X47" s="71"/>
      <c r="Y47" s="71"/>
      <c r="Z47" s="71"/>
      <c r="AA47" s="71"/>
      <c r="AB47" t="s" s="72">
        <v>124</v>
      </c>
      <c r="AC47" t="s" s="72">
        <v>124</v>
      </c>
      <c r="AD47" t="s" s="75">
        <v>125</v>
      </c>
      <c r="AE47" s="67"/>
    </row>
    <row r="48" ht="15" customHeight="1">
      <c r="A48" t="s" s="87">
        <v>32</v>
      </c>
      <c r="B48" s="76">
        <v>26.1</v>
      </c>
      <c r="C48" t="b" s="77">
        <v>0</v>
      </c>
      <c r="D48" s="78"/>
      <c r="E48" t="s" s="79">
        <v>226</v>
      </c>
      <c r="F48" t="s" s="79">
        <v>147</v>
      </c>
      <c r="G48" s="80">
        <v>1</v>
      </c>
      <c r="H48" t="s" s="79">
        <v>175</v>
      </c>
      <c r="I48" t="s" s="79">
        <v>175</v>
      </c>
      <c r="J48" s="80">
        <v>30</v>
      </c>
      <c r="K48" t="s" s="79">
        <v>184</v>
      </c>
      <c r="L48" t="s" s="79">
        <v>121</v>
      </c>
      <c r="M48" s="78"/>
      <c r="N48" s="78"/>
      <c r="O48" s="78"/>
      <c r="P48" s="80">
        <v>0</v>
      </c>
      <c r="Q48" s="81">
        <v>0</v>
      </c>
      <c r="R48" s="81">
        <v>0</v>
      </c>
      <c r="S48" s="80">
        <v>0</v>
      </c>
      <c r="T48" s="80">
        <v>0</v>
      </c>
      <c r="U48" t="s" s="79">
        <v>122</v>
      </c>
      <c r="V48" s="80">
        <v>0</v>
      </c>
      <c r="W48" s="81">
        <v>0</v>
      </c>
      <c r="X48" s="81">
        <v>0</v>
      </c>
      <c r="Y48" s="80">
        <v>0</v>
      </c>
      <c r="Z48" s="80">
        <v>0</v>
      </c>
      <c r="AA48" t="s" s="79">
        <v>123</v>
      </c>
      <c r="AB48" t="s" s="79">
        <v>124</v>
      </c>
      <c r="AC48" t="s" s="79">
        <v>124</v>
      </c>
      <c r="AD48" t="s" s="82">
        <v>125</v>
      </c>
      <c r="AE48" s="67"/>
    </row>
    <row r="49" ht="15" customHeight="1">
      <c r="A49" t="s" s="87">
        <v>32</v>
      </c>
      <c r="B49" s="69">
        <v>26.1</v>
      </c>
      <c r="C49" t="b" s="70">
        <v>0</v>
      </c>
      <c r="D49" s="71"/>
      <c r="E49" t="s" s="72">
        <v>227</v>
      </c>
      <c r="F49" t="s" s="72">
        <v>138</v>
      </c>
      <c r="G49" s="73">
        <v>1</v>
      </c>
      <c r="H49" t="s" s="72">
        <v>175</v>
      </c>
      <c r="I49" t="s" s="72">
        <v>175</v>
      </c>
      <c r="J49" s="73">
        <v>36</v>
      </c>
      <c r="K49" t="s" s="72">
        <v>128</v>
      </c>
      <c r="L49" t="s" s="72">
        <v>154</v>
      </c>
      <c r="M49" s="71"/>
      <c r="N49" s="71"/>
      <c r="O49" s="71"/>
      <c r="P49" s="73">
        <v>0</v>
      </c>
      <c r="Q49" s="74">
        <v>0</v>
      </c>
      <c r="R49" s="74">
        <v>0</v>
      </c>
      <c r="S49" s="73">
        <v>0</v>
      </c>
      <c r="T49" s="73">
        <v>0</v>
      </c>
      <c r="U49" t="s" s="72">
        <v>122</v>
      </c>
      <c r="V49" s="73">
        <v>0</v>
      </c>
      <c r="W49" s="74">
        <v>0</v>
      </c>
      <c r="X49" s="74">
        <v>0</v>
      </c>
      <c r="Y49" s="73">
        <v>0</v>
      </c>
      <c r="Z49" s="73">
        <v>0</v>
      </c>
      <c r="AA49" t="s" s="72">
        <v>123</v>
      </c>
      <c r="AB49" t="s" s="72">
        <v>124</v>
      </c>
      <c r="AC49" t="s" s="72">
        <v>124</v>
      </c>
      <c r="AD49" t="s" s="75">
        <v>125</v>
      </c>
      <c r="AE49" s="67"/>
    </row>
    <row r="50" ht="15" customHeight="1">
      <c r="A50" t="s" s="87">
        <v>32</v>
      </c>
      <c r="B50" s="76">
        <v>26.1</v>
      </c>
      <c r="C50" t="b" s="77">
        <v>0</v>
      </c>
      <c r="D50" s="78"/>
      <c r="E50" t="s" s="79">
        <v>228</v>
      </c>
      <c r="F50" t="s" s="79">
        <v>149</v>
      </c>
      <c r="G50" s="80">
        <v>1</v>
      </c>
      <c r="H50" t="s" s="79">
        <v>175</v>
      </c>
      <c r="I50" t="s" s="79">
        <v>203</v>
      </c>
      <c r="J50" s="80">
        <v>20</v>
      </c>
      <c r="K50" t="s" s="79">
        <v>128</v>
      </c>
      <c r="L50" t="s" s="79">
        <v>121</v>
      </c>
      <c r="M50" s="78"/>
      <c r="N50" s="78"/>
      <c r="O50" s="78"/>
      <c r="P50" s="80">
        <v>0</v>
      </c>
      <c r="Q50" s="81">
        <v>0</v>
      </c>
      <c r="R50" s="81">
        <v>0</v>
      </c>
      <c r="S50" s="80">
        <v>0</v>
      </c>
      <c r="T50" s="80">
        <v>0</v>
      </c>
      <c r="U50" t="s" s="79">
        <v>122</v>
      </c>
      <c r="V50" s="78"/>
      <c r="W50" s="78"/>
      <c r="X50" s="78"/>
      <c r="Y50" s="78"/>
      <c r="Z50" s="78"/>
      <c r="AA50" s="78"/>
      <c r="AB50" t="s" s="79">
        <v>124</v>
      </c>
      <c r="AC50" t="s" s="79">
        <v>124</v>
      </c>
      <c r="AD50" t="s" s="82">
        <v>125</v>
      </c>
      <c r="AE50" s="67"/>
    </row>
    <row r="51" ht="15" customHeight="1">
      <c r="A51" t="s" s="87">
        <v>32</v>
      </c>
      <c r="B51" s="69">
        <v>26.1</v>
      </c>
      <c r="C51" t="b" s="70">
        <v>0</v>
      </c>
      <c r="D51" s="71"/>
      <c r="E51" t="s" s="72">
        <v>229</v>
      </c>
      <c r="F51" t="s" s="72">
        <v>117</v>
      </c>
      <c r="G51" s="73">
        <v>1</v>
      </c>
      <c r="H51" t="s" s="72">
        <v>175</v>
      </c>
      <c r="I51" t="s" s="72">
        <v>175</v>
      </c>
      <c r="J51" s="73">
        <v>28</v>
      </c>
      <c r="K51" t="s" s="72">
        <v>230</v>
      </c>
      <c r="L51" t="s" s="72">
        <v>121</v>
      </c>
      <c r="M51" s="71"/>
      <c r="N51" s="71"/>
      <c r="O51" s="71"/>
      <c r="P51" s="71"/>
      <c r="Q51" s="71"/>
      <c r="R51" s="71"/>
      <c r="S51" s="71"/>
      <c r="T51" s="71"/>
      <c r="U51" s="71"/>
      <c r="V51" s="73">
        <v>0</v>
      </c>
      <c r="W51" s="74">
        <v>0</v>
      </c>
      <c r="X51" s="74">
        <v>0</v>
      </c>
      <c r="Y51" s="73">
        <v>0</v>
      </c>
      <c r="Z51" s="73">
        <v>0</v>
      </c>
      <c r="AA51" t="s" s="72">
        <v>123</v>
      </c>
      <c r="AB51" t="s" s="72">
        <v>125</v>
      </c>
      <c r="AC51" s="71"/>
      <c r="AD51" t="s" s="75">
        <v>125</v>
      </c>
      <c r="AE51" s="67"/>
    </row>
    <row r="52" ht="15" customHeight="1">
      <c r="A52" t="s" s="87">
        <v>32</v>
      </c>
      <c r="B52" s="76">
        <v>26.1</v>
      </c>
      <c r="C52" t="b" s="77">
        <v>0</v>
      </c>
      <c r="D52" s="78"/>
      <c r="E52" t="s" s="79">
        <v>231</v>
      </c>
      <c r="F52" t="s" s="79">
        <v>159</v>
      </c>
      <c r="G52" s="80">
        <v>1</v>
      </c>
      <c r="H52" t="s" s="79">
        <v>175</v>
      </c>
      <c r="I52" t="s" s="79">
        <v>203</v>
      </c>
      <c r="J52" s="80">
        <v>22</v>
      </c>
      <c r="K52" t="s" s="79">
        <v>128</v>
      </c>
      <c r="L52" t="s" s="79">
        <v>121</v>
      </c>
      <c r="M52" s="78"/>
      <c r="N52" s="78"/>
      <c r="O52" s="78"/>
      <c r="P52" s="80">
        <v>0</v>
      </c>
      <c r="Q52" s="81">
        <v>0</v>
      </c>
      <c r="R52" s="81">
        <v>0</v>
      </c>
      <c r="S52" s="80">
        <v>0</v>
      </c>
      <c r="T52" s="80">
        <v>0</v>
      </c>
      <c r="U52" t="s" s="79">
        <v>122</v>
      </c>
      <c r="V52" s="78"/>
      <c r="W52" s="78"/>
      <c r="X52" s="78"/>
      <c r="Y52" s="78"/>
      <c r="Z52" s="78"/>
      <c r="AA52" s="78"/>
      <c r="AB52" t="s" s="79">
        <v>124</v>
      </c>
      <c r="AC52" t="s" s="79">
        <v>124</v>
      </c>
      <c r="AD52" t="s" s="82">
        <v>125</v>
      </c>
      <c r="AE52" s="67"/>
    </row>
    <row r="53" ht="15" customHeight="1">
      <c r="A53" t="s" s="87">
        <v>32</v>
      </c>
      <c r="B53" s="69">
        <v>26.1</v>
      </c>
      <c r="C53" t="b" s="70">
        <v>0</v>
      </c>
      <c r="D53" s="71"/>
      <c r="E53" t="s" s="72">
        <v>232</v>
      </c>
      <c r="F53" t="s" s="72">
        <v>180</v>
      </c>
      <c r="G53" s="73">
        <v>1</v>
      </c>
      <c r="H53" t="s" s="72">
        <v>175</v>
      </c>
      <c r="I53" t="s" s="72">
        <v>203</v>
      </c>
      <c r="J53" s="73">
        <v>22</v>
      </c>
      <c r="K53" t="s" s="72">
        <v>233</v>
      </c>
      <c r="L53" t="s" s="72">
        <v>121</v>
      </c>
      <c r="M53" s="71"/>
      <c r="N53" s="71"/>
      <c r="O53" s="71"/>
      <c r="P53" s="73">
        <v>0</v>
      </c>
      <c r="Q53" s="74">
        <v>0</v>
      </c>
      <c r="R53" s="74">
        <v>0</v>
      </c>
      <c r="S53" s="73">
        <v>0</v>
      </c>
      <c r="T53" s="73">
        <v>0</v>
      </c>
      <c r="U53" t="s" s="72">
        <v>122</v>
      </c>
      <c r="V53" s="71"/>
      <c r="W53" s="71"/>
      <c r="X53" s="71"/>
      <c r="Y53" s="71"/>
      <c r="Z53" s="71"/>
      <c r="AA53" s="71"/>
      <c r="AB53" t="s" s="72">
        <v>124</v>
      </c>
      <c r="AC53" t="s" s="72">
        <v>124</v>
      </c>
      <c r="AD53" t="s" s="75">
        <v>125</v>
      </c>
      <c r="AE53" s="67"/>
    </row>
    <row r="54" ht="15" customHeight="1">
      <c r="A54" t="s" s="87">
        <v>32</v>
      </c>
      <c r="B54" s="76">
        <v>26.1</v>
      </c>
      <c r="C54" t="b" s="77">
        <v>0</v>
      </c>
      <c r="D54" s="78"/>
      <c r="E54" t="s" s="79">
        <v>234</v>
      </c>
      <c r="F54" t="s" s="79">
        <v>127</v>
      </c>
      <c r="G54" s="80">
        <v>1</v>
      </c>
      <c r="H54" t="s" s="79">
        <v>175</v>
      </c>
      <c r="I54" t="s" s="79">
        <v>175</v>
      </c>
      <c r="J54" s="80">
        <v>35</v>
      </c>
      <c r="K54" t="s" s="79">
        <v>128</v>
      </c>
      <c r="L54" t="s" s="79">
        <v>121</v>
      </c>
      <c r="M54" s="78"/>
      <c r="N54" s="78"/>
      <c r="O54" s="78"/>
      <c r="P54" s="80">
        <v>0</v>
      </c>
      <c r="Q54" s="81">
        <v>0</v>
      </c>
      <c r="R54" s="81">
        <v>0</v>
      </c>
      <c r="S54" s="80">
        <v>0</v>
      </c>
      <c r="T54" s="80">
        <v>0</v>
      </c>
      <c r="U54" t="s" s="79">
        <v>122</v>
      </c>
      <c r="V54" s="80">
        <v>0</v>
      </c>
      <c r="W54" s="81">
        <v>0</v>
      </c>
      <c r="X54" s="81">
        <v>0</v>
      </c>
      <c r="Y54" s="80">
        <v>0</v>
      </c>
      <c r="Z54" s="80">
        <v>0</v>
      </c>
      <c r="AA54" t="s" s="79">
        <v>123</v>
      </c>
      <c r="AB54" t="s" s="79">
        <v>124</v>
      </c>
      <c r="AC54" t="s" s="79">
        <v>124</v>
      </c>
      <c r="AD54" t="s" s="82">
        <v>125</v>
      </c>
      <c r="AE54" s="67"/>
    </row>
    <row r="55" ht="15" customHeight="1">
      <c r="A55" t="s" s="87">
        <v>32</v>
      </c>
      <c r="B55" s="69">
        <v>26.1</v>
      </c>
      <c r="C55" t="b" s="70">
        <v>0</v>
      </c>
      <c r="D55" s="71"/>
      <c r="E55" t="s" s="72">
        <v>235</v>
      </c>
      <c r="F55" t="s" s="72">
        <v>156</v>
      </c>
      <c r="G55" s="73">
        <v>1</v>
      </c>
      <c r="H55" t="s" s="72">
        <v>175</v>
      </c>
      <c r="I55" t="s" s="72">
        <v>175</v>
      </c>
      <c r="J55" s="73">
        <v>25</v>
      </c>
      <c r="K55" t="s" s="72">
        <v>236</v>
      </c>
      <c r="L55" t="s" s="72">
        <v>121</v>
      </c>
      <c r="M55" s="71"/>
      <c r="N55" s="71"/>
      <c r="O55" s="71"/>
      <c r="P55" s="73">
        <v>0</v>
      </c>
      <c r="Q55" s="74">
        <v>0</v>
      </c>
      <c r="R55" s="74">
        <v>0</v>
      </c>
      <c r="S55" s="73">
        <v>0</v>
      </c>
      <c r="T55" s="73">
        <v>0</v>
      </c>
      <c r="U55" t="s" s="72">
        <v>122</v>
      </c>
      <c r="V55" s="71"/>
      <c r="W55" s="71"/>
      <c r="X55" s="71"/>
      <c r="Y55" s="71"/>
      <c r="Z55" s="71"/>
      <c r="AA55" s="71"/>
      <c r="AB55" t="s" s="72">
        <v>124</v>
      </c>
      <c r="AC55" t="s" s="72">
        <v>124</v>
      </c>
      <c r="AD55" t="s" s="75">
        <v>125</v>
      </c>
      <c r="AE55" s="67"/>
    </row>
    <row r="56" ht="15" customHeight="1">
      <c r="A56" t="s" s="87">
        <v>32</v>
      </c>
      <c r="B56" s="76">
        <v>26.1</v>
      </c>
      <c r="C56" t="b" s="77">
        <v>0</v>
      </c>
      <c r="D56" s="78"/>
      <c r="E56" t="s" s="79">
        <v>237</v>
      </c>
      <c r="F56" t="s" s="79">
        <v>172</v>
      </c>
      <c r="G56" s="80">
        <v>1</v>
      </c>
      <c r="H56" t="s" s="79">
        <v>175</v>
      </c>
      <c r="I56" t="s" s="79">
        <v>175</v>
      </c>
      <c r="J56" s="80">
        <v>27</v>
      </c>
      <c r="K56" t="s" s="79">
        <v>128</v>
      </c>
      <c r="L56" t="s" s="79">
        <v>121</v>
      </c>
      <c r="M56" s="78"/>
      <c r="N56" s="78"/>
      <c r="O56" s="78"/>
      <c r="P56" s="80">
        <v>0</v>
      </c>
      <c r="Q56" s="81">
        <v>0</v>
      </c>
      <c r="R56" s="81">
        <v>0</v>
      </c>
      <c r="S56" s="80">
        <v>0</v>
      </c>
      <c r="T56" s="80">
        <v>0</v>
      </c>
      <c r="U56" t="s" s="79">
        <v>122</v>
      </c>
      <c r="V56" s="80">
        <v>0</v>
      </c>
      <c r="W56" s="81">
        <v>0</v>
      </c>
      <c r="X56" s="81">
        <v>0</v>
      </c>
      <c r="Y56" s="80">
        <v>0</v>
      </c>
      <c r="Z56" s="80">
        <v>0</v>
      </c>
      <c r="AA56" t="s" s="79">
        <v>123</v>
      </c>
      <c r="AB56" t="s" s="79">
        <v>124</v>
      </c>
      <c r="AC56" t="s" s="79">
        <v>124</v>
      </c>
      <c r="AD56" t="s" s="82">
        <v>125</v>
      </c>
      <c r="AE56" s="67"/>
    </row>
    <row r="57" ht="15" customHeight="1">
      <c r="A57" t="s" s="87">
        <v>32</v>
      </c>
      <c r="B57" s="69">
        <v>26.1</v>
      </c>
      <c r="C57" t="b" s="70">
        <v>0</v>
      </c>
      <c r="D57" s="71"/>
      <c r="E57" t="s" s="72">
        <v>238</v>
      </c>
      <c r="F57" t="s" s="72">
        <v>117</v>
      </c>
      <c r="G57" s="73">
        <v>1</v>
      </c>
      <c r="H57" t="s" s="72">
        <v>175</v>
      </c>
      <c r="I57" t="s" s="72">
        <v>203</v>
      </c>
      <c r="J57" s="73">
        <v>19</v>
      </c>
      <c r="K57" t="s" s="72">
        <v>239</v>
      </c>
      <c r="L57" t="s" s="72">
        <v>121</v>
      </c>
      <c r="M57" s="71"/>
      <c r="N57" s="71"/>
      <c r="O57" s="71"/>
      <c r="P57" s="73">
        <v>0</v>
      </c>
      <c r="Q57" s="74">
        <v>0</v>
      </c>
      <c r="R57" s="74">
        <v>0</v>
      </c>
      <c r="S57" s="73">
        <v>0</v>
      </c>
      <c r="T57" s="73">
        <v>0</v>
      </c>
      <c r="U57" t="s" s="72">
        <v>122</v>
      </c>
      <c r="V57" s="71"/>
      <c r="W57" s="71"/>
      <c r="X57" s="71"/>
      <c r="Y57" s="71"/>
      <c r="Z57" s="71"/>
      <c r="AA57" s="71"/>
      <c r="AB57" t="s" s="72">
        <v>124</v>
      </c>
      <c r="AC57" t="s" s="72">
        <v>124</v>
      </c>
      <c r="AD57" t="s" s="75">
        <v>125</v>
      </c>
      <c r="AE57" s="67"/>
    </row>
    <row r="58" ht="15" customHeight="1">
      <c r="A58" t="s" s="87">
        <v>32</v>
      </c>
      <c r="B58" s="76">
        <v>26.1</v>
      </c>
      <c r="C58" t="b" s="77">
        <v>0</v>
      </c>
      <c r="D58" s="78"/>
      <c r="E58" t="s" s="79">
        <v>240</v>
      </c>
      <c r="F58" t="s" s="79">
        <v>138</v>
      </c>
      <c r="G58" s="80">
        <v>1</v>
      </c>
      <c r="H58" t="s" s="79">
        <v>175</v>
      </c>
      <c r="I58" t="s" s="79">
        <v>175</v>
      </c>
      <c r="J58" s="80">
        <v>27</v>
      </c>
      <c r="K58" t="s" s="79">
        <v>145</v>
      </c>
      <c r="L58" t="s" s="79">
        <v>121</v>
      </c>
      <c r="M58" s="78"/>
      <c r="N58" s="78"/>
      <c r="O58" s="78"/>
      <c r="P58" s="80">
        <v>0</v>
      </c>
      <c r="Q58" s="81">
        <v>0</v>
      </c>
      <c r="R58" s="81">
        <v>0</v>
      </c>
      <c r="S58" s="80">
        <v>0</v>
      </c>
      <c r="T58" s="80">
        <v>0</v>
      </c>
      <c r="U58" t="s" s="79">
        <v>122</v>
      </c>
      <c r="V58" s="78"/>
      <c r="W58" s="78"/>
      <c r="X58" s="78"/>
      <c r="Y58" s="78"/>
      <c r="Z58" s="78"/>
      <c r="AA58" s="78"/>
      <c r="AB58" t="s" s="79">
        <v>124</v>
      </c>
      <c r="AC58" t="s" s="79">
        <v>124</v>
      </c>
      <c r="AD58" t="s" s="82">
        <v>125</v>
      </c>
      <c r="AE58" s="67"/>
    </row>
    <row r="59" ht="15" customHeight="1">
      <c r="A59" t="s" s="87">
        <v>32</v>
      </c>
      <c r="B59" s="69">
        <v>26.1</v>
      </c>
      <c r="C59" t="b" s="70">
        <v>0</v>
      </c>
      <c r="D59" s="71"/>
      <c r="E59" t="s" s="72">
        <v>241</v>
      </c>
      <c r="F59" t="s" s="72">
        <v>163</v>
      </c>
      <c r="G59" s="73">
        <v>1</v>
      </c>
      <c r="H59" t="s" s="72">
        <v>175</v>
      </c>
      <c r="I59" t="s" s="72">
        <v>203</v>
      </c>
      <c r="J59" s="73">
        <v>19</v>
      </c>
      <c r="K59" t="s" s="72">
        <v>128</v>
      </c>
      <c r="L59" t="s" s="72">
        <v>121</v>
      </c>
      <c r="M59" s="71"/>
      <c r="N59" s="71"/>
      <c r="O59" s="71"/>
      <c r="P59" s="73">
        <v>0</v>
      </c>
      <c r="Q59" s="74">
        <v>0</v>
      </c>
      <c r="R59" s="74">
        <v>0</v>
      </c>
      <c r="S59" s="73">
        <v>0</v>
      </c>
      <c r="T59" s="73">
        <v>0</v>
      </c>
      <c r="U59" t="s" s="72">
        <v>122</v>
      </c>
      <c r="V59" s="73">
        <v>0</v>
      </c>
      <c r="W59" s="74">
        <v>0</v>
      </c>
      <c r="X59" s="74">
        <v>0</v>
      </c>
      <c r="Y59" s="73">
        <v>0</v>
      </c>
      <c r="Z59" s="73">
        <v>0</v>
      </c>
      <c r="AA59" t="s" s="72">
        <v>123</v>
      </c>
      <c r="AB59" t="s" s="72">
        <v>124</v>
      </c>
      <c r="AC59" t="s" s="72">
        <v>124</v>
      </c>
      <c r="AD59" t="s" s="75">
        <v>125</v>
      </c>
      <c r="AE59" s="67"/>
    </row>
    <row r="60" ht="15" customHeight="1">
      <c r="A60" t="s" s="87">
        <v>32</v>
      </c>
      <c r="B60" s="76">
        <v>26.1</v>
      </c>
      <c r="C60" t="b" s="77">
        <v>0</v>
      </c>
      <c r="D60" s="78"/>
      <c r="E60" t="s" s="79">
        <v>242</v>
      </c>
      <c r="F60" t="s" s="79">
        <v>130</v>
      </c>
      <c r="G60" s="80">
        <v>1</v>
      </c>
      <c r="H60" t="s" s="79">
        <v>175</v>
      </c>
      <c r="I60" t="s" s="79">
        <v>203</v>
      </c>
      <c r="J60" s="80">
        <v>21</v>
      </c>
      <c r="K60" t="s" s="79">
        <v>128</v>
      </c>
      <c r="L60" t="s" s="79">
        <v>121</v>
      </c>
      <c r="M60" s="78"/>
      <c r="N60" s="78"/>
      <c r="O60" s="78"/>
      <c r="P60" s="80">
        <v>0</v>
      </c>
      <c r="Q60" s="81">
        <v>0</v>
      </c>
      <c r="R60" s="81">
        <v>0</v>
      </c>
      <c r="S60" s="80">
        <v>0</v>
      </c>
      <c r="T60" s="80">
        <v>0</v>
      </c>
      <c r="U60" t="s" s="79">
        <v>122</v>
      </c>
      <c r="V60" s="80">
        <v>0</v>
      </c>
      <c r="W60" s="81">
        <v>0</v>
      </c>
      <c r="X60" s="81">
        <v>0</v>
      </c>
      <c r="Y60" s="80">
        <v>0</v>
      </c>
      <c r="Z60" s="80">
        <v>0</v>
      </c>
      <c r="AA60" t="s" s="79">
        <v>123</v>
      </c>
      <c r="AB60" t="s" s="79">
        <v>124</v>
      </c>
      <c r="AC60" t="s" s="79">
        <v>124</v>
      </c>
      <c r="AD60" t="s" s="82">
        <v>125</v>
      </c>
      <c r="AE60" s="67"/>
    </row>
    <row r="61" ht="15" customHeight="1">
      <c r="A61" t="s" s="87">
        <v>32</v>
      </c>
      <c r="B61" s="69">
        <v>26.1</v>
      </c>
      <c r="C61" t="b" s="70">
        <v>0</v>
      </c>
      <c r="D61" s="71"/>
      <c r="E61" t="s" s="72">
        <v>243</v>
      </c>
      <c r="F61" t="s" s="72">
        <v>170</v>
      </c>
      <c r="G61" s="73">
        <v>1</v>
      </c>
      <c r="H61" t="s" s="72">
        <v>175</v>
      </c>
      <c r="I61" t="s" s="72">
        <v>175</v>
      </c>
      <c r="J61" s="73">
        <v>31</v>
      </c>
      <c r="K61" t="s" s="72">
        <v>128</v>
      </c>
      <c r="L61" t="s" s="72">
        <v>121</v>
      </c>
      <c r="M61" s="71"/>
      <c r="N61" s="71"/>
      <c r="O61" s="71"/>
      <c r="P61" s="73">
        <v>0</v>
      </c>
      <c r="Q61" s="74">
        <v>0</v>
      </c>
      <c r="R61" s="74">
        <v>0</v>
      </c>
      <c r="S61" s="73">
        <v>0</v>
      </c>
      <c r="T61" s="73">
        <v>0</v>
      </c>
      <c r="U61" t="s" s="72">
        <v>122</v>
      </c>
      <c r="V61" s="73">
        <v>0</v>
      </c>
      <c r="W61" s="74">
        <v>0</v>
      </c>
      <c r="X61" s="74">
        <v>0</v>
      </c>
      <c r="Y61" s="73">
        <v>0</v>
      </c>
      <c r="Z61" s="73">
        <v>0</v>
      </c>
      <c r="AA61" t="s" s="72">
        <v>123</v>
      </c>
      <c r="AB61" t="s" s="72">
        <v>124</v>
      </c>
      <c r="AC61" t="s" s="72">
        <v>124</v>
      </c>
      <c r="AD61" t="s" s="75">
        <v>125</v>
      </c>
      <c r="AE61" s="67"/>
    </row>
    <row r="62" ht="15" customHeight="1">
      <c r="A62" t="s" s="87">
        <v>32</v>
      </c>
      <c r="B62" s="76">
        <v>26.1</v>
      </c>
      <c r="C62" t="b" s="77">
        <v>0</v>
      </c>
      <c r="D62" s="78"/>
      <c r="E62" t="s" s="79">
        <v>244</v>
      </c>
      <c r="F62" t="s" s="79">
        <v>168</v>
      </c>
      <c r="G62" s="80">
        <v>1</v>
      </c>
      <c r="H62" t="s" s="79">
        <v>175</v>
      </c>
      <c r="I62" t="s" s="79">
        <v>175</v>
      </c>
      <c r="J62" s="80">
        <v>30</v>
      </c>
      <c r="K62" t="s" s="79">
        <v>128</v>
      </c>
      <c r="L62" t="s" s="79">
        <v>121</v>
      </c>
      <c r="M62" s="78"/>
      <c r="N62" s="78"/>
      <c r="O62" s="78"/>
      <c r="P62" s="80">
        <v>0</v>
      </c>
      <c r="Q62" s="81">
        <v>0</v>
      </c>
      <c r="R62" s="81">
        <v>0</v>
      </c>
      <c r="S62" s="80">
        <v>0</v>
      </c>
      <c r="T62" s="80">
        <v>0</v>
      </c>
      <c r="U62" t="s" s="79">
        <v>122</v>
      </c>
      <c r="V62" s="78"/>
      <c r="W62" s="78"/>
      <c r="X62" s="78"/>
      <c r="Y62" s="78"/>
      <c r="Z62" s="78"/>
      <c r="AA62" s="78"/>
      <c r="AB62" t="s" s="79">
        <v>124</v>
      </c>
      <c r="AC62" t="s" s="79">
        <v>124</v>
      </c>
      <c r="AD62" t="s" s="82">
        <v>125</v>
      </c>
      <c r="AE62" s="67"/>
    </row>
    <row r="63" ht="15" customHeight="1">
      <c r="A63" t="s" s="87">
        <v>32</v>
      </c>
      <c r="B63" s="69">
        <v>26.1</v>
      </c>
      <c r="C63" t="b" s="70">
        <v>0</v>
      </c>
      <c r="D63" s="71"/>
      <c r="E63" t="s" s="72">
        <v>245</v>
      </c>
      <c r="F63" t="s" s="72">
        <v>183</v>
      </c>
      <c r="G63" s="73">
        <v>1</v>
      </c>
      <c r="H63" t="s" s="72">
        <v>175</v>
      </c>
      <c r="I63" t="s" s="72">
        <v>175</v>
      </c>
      <c r="J63" s="73">
        <v>33</v>
      </c>
      <c r="K63" t="s" s="72">
        <v>128</v>
      </c>
      <c r="L63" t="s" s="72">
        <v>121</v>
      </c>
      <c r="M63" s="71"/>
      <c r="N63" s="71"/>
      <c r="O63" s="71"/>
      <c r="P63" s="73">
        <v>0</v>
      </c>
      <c r="Q63" s="74">
        <v>0</v>
      </c>
      <c r="R63" s="74">
        <v>0</v>
      </c>
      <c r="S63" s="73">
        <v>0</v>
      </c>
      <c r="T63" s="73">
        <v>0</v>
      </c>
      <c r="U63" t="s" s="72">
        <v>122</v>
      </c>
      <c r="V63" s="71"/>
      <c r="W63" s="71"/>
      <c r="X63" s="71"/>
      <c r="Y63" s="71"/>
      <c r="Z63" s="71"/>
      <c r="AA63" s="71"/>
      <c r="AB63" t="s" s="72">
        <v>124</v>
      </c>
      <c r="AC63" t="s" s="72">
        <v>124</v>
      </c>
      <c r="AD63" t="s" s="75">
        <v>125</v>
      </c>
      <c r="AE63" s="67"/>
    </row>
    <row r="64" ht="15" customHeight="1">
      <c r="A64" t="s" s="87">
        <v>32</v>
      </c>
      <c r="B64" s="76">
        <v>26.1</v>
      </c>
      <c r="C64" t="b" s="77">
        <v>0</v>
      </c>
      <c r="D64" s="78"/>
      <c r="E64" t="s" s="79">
        <v>246</v>
      </c>
      <c r="F64" t="s" s="79">
        <v>180</v>
      </c>
      <c r="G64" s="80">
        <v>1</v>
      </c>
      <c r="H64" t="s" s="79">
        <v>175</v>
      </c>
      <c r="I64" t="s" s="79">
        <v>175</v>
      </c>
      <c r="J64" s="80">
        <v>34</v>
      </c>
      <c r="K64" t="s" s="79">
        <v>128</v>
      </c>
      <c r="L64" t="s" s="79">
        <v>121</v>
      </c>
      <c r="M64" s="78"/>
      <c r="N64" s="78"/>
      <c r="O64" s="78"/>
      <c r="P64" s="80">
        <v>0</v>
      </c>
      <c r="Q64" s="81">
        <v>0</v>
      </c>
      <c r="R64" s="81">
        <v>0</v>
      </c>
      <c r="S64" s="80">
        <v>0</v>
      </c>
      <c r="T64" s="80">
        <v>0</v>
      </c>
      <c r="U64" t="s" s="79">
        <v>122</v>
      </c>
      <c r="V64" s="78"/>
      <c r="W64" s="78"/>
      <c r="X64" s="78"/>
      <c r="Y64" s="78"/>
      <c r="Z64" s="78"/>
      <c r="AA64" s="78"/>
      <c r="AB64" t="s" s="79">
        <v>124</v>
      </c>
      <c r="AC64" t="s" s="79">
        <v>124</v>
      </c>
      <c r="AD64" t="s" s="82">
        <v>125</v>
      </c>
      <c r="AE64" s="67"/>
    </row>
    <row r="65" ht="15" customHeight="1">
      <c r="A65" t="s" s="87">
        <v>32</v>
      </c>
      <c r="B65" s="69">
        <v>26.1</v>
      </c>
      <c r="C65" t="b" s="70">
        <v>0</v>
      </c>
      <c r="D65" s="71"/>
      <c r="E65" t="s" s="72">
        <v>247</v>
      </c>
      <c r="F65" t="s" s="72">
        <v>130</v>
      </c>
      <c r="G65" s="73">
        <v>1</v>
      </c>
      <c r="H65" t="s" s="72">
        <v>175</v>
      </c>
      <c r="I65" t="s" s="72">
        <v>203</v>
      </c>
      <c r="J65" s="73">
        <v>18</v>
      </c>
      <c r="K65" t="s" s="72">
        <v>204</v>
      </c>
      <c r="L65" s="71"/>
      <c r="M65" s="71"/>
      <c r="N65" s="71"/>
      <c r="O65" s="71"/>
      <c r="P65" s="71"/>
      <c r="Q65" s="71"/>
      <c r="R65" s="71"/>
      <c r="S65" s="71"/>
      <c r="T65" s="71"/>
      <c r="U65" s="71"/>
      <c r="V65" s="71"/>
      <c r="W65" s="71"/>
      <c r="X65" s="71"/>
      <c r="Y65" s="71"/>
      <c r="Z65" s="71"/>
      <c r="AA65" s="71"/>
      <c r="AB65" t="s" s="72">
        <v>125</v>
      </c>
      <c r="AC65" s="71"/>
      <c r="AD65" t="s" s="75">
        <v>125</v>
      </c>
      <c r="AE65" s="67"/>
    </row>
    <row r="66" ht="15" customHeight="1">
      <c r="A66" t="s" s="87">
        <v>32</v>
      </c>
      <c r="B66" s="76">
        <v>26.1</v>
      </c>
      <c r="C66" t="b" s="77">
        <v>0</v>
      </c>
      <c r="D66" s="78"/>
      <c r="E66" t="s" s="79">
        <v>248</v>
      </c>
      <c r="F66" t="s" s="79">
        <v>141</v>
      </c>
      <c r="G66" s="80">
        <v>1</v>
      </c>
      <c r="H66" t="s" s="79">
        <v>175</v>
      </c>
      <c r="I66" t="s" s="79">
        <v>175</v>
      </c>
      <c r="J66" s="80">
        <v>36</v>
      </c>
      <c r="K66" t="s" s="79">
        <v>128</v>
      </c>
      <c r="L66" t="s" s="79">
        <v>121</v>
      </c>
      <c r="M66" s="78"/>
      <c r="N66" s="78"/>
      <c r="O66" s="78"/>
      <c r="P66" s="80">
        <v>0</v>
      </c>
      <c r="Q66" s="81">
        <v>0</v>
      </c>
      <c r="R66" s="81">
        <v>0</v>
      </c>
      <c r="S66" s="80">
        <v>0</v>
      </c>
      <c r="T66" s="80">
        <v>0</v>
      </c>
      <c r="U66" t="s" s="79">
        <v>122</v>
      </c>
      <c r="V66" s="80">
        <v>0</v>
      </c>
      <c r="W66" s="81">
        <v>0</v>
      </c>
      <c r="X66" s="81">
        <v>0</v>
      </c>
      <c r="Y66" s="80">
        <v>0</v>
      </c>
      <c r="Z66" s="80">
        <v>0</v>
      </c>
      <c r="AA66" t="s" s="79">
        <v>123</v>
      </c>
      <c r="AB66" t="s" s="79">
        <v>124</v>
      </c>
      <c r="AC66" t="s" s="79">
        <v>124</v>
      </c>
      <c r="AD66" t="s" s="82">
        <v>125</v>
      </c>
      <c r="AE66" s="67"/>
    </row>
    <row r="67" ht="15" customHeight="1">
      <c r="A67" t="s" s="87">
        <v>32</v>
      </c>
      <c r="B67" s="69">
        <v>26.1</v>
      </c>
      <c r="C67" t="b" s="70">
        <v>0</v>
      </c>
      <c r="D67" s="71"/>
      <c r="E67" t="s" s="72">
        <v>249</v>
      </c>
      <c r="F67" t="s" s="72">
        <v>153</v>
      </c>
      <c r="G67" s="73">
        <v>1</v>
      </c>
      <c r="H67" t="s" s="72">
        <v>175</v>
      </c>
      <c r="I67" t="s" s="72">
        <v>175</v>
      </c>
      <c r="J67" s="73">
        <v>30</v>
      </c>
      <c r="K67" t="s" s="72">
        <v>250</v>
      </c>
      <c r="L67" t="s" s="72">
        <v>121</v>
      </c>
      <c r="M67" s="71"/>
      <c r="N67" s="71"/>
      <c r="O67" s="71"/>
      <c r="P67" s="73">
        <v>0</v>
      </c>
      <c r="Q67" s="74">
        <v>0</v>
      </c>
      <c r="R67" s="74">
        <v>0</v>
      </c>
      <c r="S67" s="73">
        <v>0</v>
      </c>
      <c r="T67" s="73">
        <v>0</v>
      </c>
      <c r="U67" t="s" s="72">
        <v>122</v>
      </c>
      <c r="V67" s="73">
        <v>0</v>
      </c>
      <c r="W67" s="74">
        <v>0</v>
      </c>
      <c r="X67" s="74">
        <v>0</v>
      </c>
      <c r="Y67" s="73">
        <v>0</v>
      </c>
      <c r="Z67" s="73">
        <v>0</v>
      </c>
      <c r="AA67" t="s" s="72">
        <v>123</v>
      </c>
      <c r="AB67" t="s" s="72">
        <v>124</v>
      </c>
      <c r="AC67" t="s" s="72">
        <v>124</v>
      </c>
      <c r="AD67" t="s" s="75">
        <v>125</v>
      </c>
      <c r="AE67" s="67"/>
    </row>
    <row r="68" ht="15" customHeight="1">
      <c r="A68" t="s" s="87">
        <v>32</v>
      </c>
      <c r="B68" s="76">
        <v>26.1</v>
      </c>
      <c r="C68" t="b" s="77">
        <v>0</v>
      </c>
      <c r="D68" s="78"/>
      <c r="E68" t="s" s="79">
        <v>251</v>
      </c>
      <c r="F68" t="s" s="79">
        <v>117</v>
      </c>
      <c r="G68" s="80">
        <v>1</v>
      </c>
      <c r="H68" t="s" s="79">
        <v>175</v>
      </c>
      <c r="I68" t="s" s="79">
        <v>175</v>
      </c>
      <c r="J68" s="80">
        <v>31</v>
      </c>
      <c r="K68" t="s" s="79">
        <v>128</v>
      </c>
      <c r="L68" t="s" s="79">
        <v>121</v>
      </c>
      <c r="M68" s="78"/>
      <c r="N68" s="78"/>
      <c r="O68" s="78"/>
      <c r="P68" s="80">
        <v>0</v>
      </c>
      <c r="Q68" s="81">
        <v>0</v>
      </c>
      <c r="R68" s="81">
        <v>0</v>
      </c>
      <c r="S68" s="80">
        <v>0</v>
      </c>
      <c r="T68" s="80">
        <v>0</v>
      </c>
      <c r="U68" t="s" s="79">
        <v>122</v>
      </c>
      <c r="V68" s="80">
        <v>0</v>
      </c>
      <c r="W68" s="81">
        <v>0</v>
      </c>
      <c r="X68" s="81">
        <v>0</v>
      </c>
      <c r="Y68" s="80">
        <v>0</v>
      </c>
      <c r="Z68" s="80">
        <v>0</v>
      </c>
      <c r="AA68" t="s" s="79">
        <v>123</v>
      </c>
      <c r="AB68" t="s" s="79">
        <v>124</v>
      </c>
      <c r="AC68" t="s" s="79">
        <v>124</v>
      </c>
      <c r="AD68" t="s" s="82">
        <v>125</v>
      </c>
      <c r="AE68" s="67"/>
    </row>
    <row r="69" ht="15" customHeight="1">
      <c r="A69" t="s" s="87">
        <v>32</v>
      </c>
      <c r="B69" s="69">
        <v>26.1</v>
      </c>
      <c r="C69" t="b" s="70">
        <v>0</v>
      </c>
      <c r="D69" s="71"/>
      <c r="E69" t="s" s="72">
        <v>252</v>
      </c>
      <c r="F69" t="s" s="72">
        <v>127</v>
      </c>
      <c r="G69" s="73">
        <v>1</v>
      </c>
      <c r="H69" t="s" s="72">
        <v>175</v>
      </c>
      <c r="I69" t="s" s="72">
        <v>203</v>
      </c>
      <c r="J69" s="73">
        <v>21</v>
      </c>
      <c r="K69" t="s" s="72">
        <v>253</v>
      </c>
      <c r="L69" s="71"/>
      <c r="M69" s="71"/>
      <c r="N69" s="71"/>
      <c r="O69" s="71"/>
      <c r="P69" s="71"/>
      <c r="Q69" s="71"/>
      <c r="R69" s="71"/>
      <c r="S69" s="71"/>
      <c r="T69" s="71"/>
      <c r="U69" s="71"/>
      <c r="V69" s="71"/>
      <c r="W69" s="71"/>
      <c r="X69" s="71"/>
      <c r="Y69" s="71"/>
      <c r="Z69" s="71"/>
      <c r="AA69" s="71"/>
      <c r="AB69" t="s" s="72">
        <v>125</v>
      </c>
      <c r="AC69" s="71"/>
      <c r="AD69" t="s" s="75">
        <v>125</v>
      </c>
      <c r="AE69" s="67"/>
    </row>
    <row r="70" ht="15" customHeight="1">
      <c r="A70" t="s" s="87">
        <v>32</v>
      </c>
      <c r="B70" s="76">
        <v>26.1</v>
      </c>
      <c r="C70" t="b" s="77">
        <v>0</v>
      </c>
      <c r="D70" s="78"/>
      <c r="E70" t="s" s="79">
        <v>254</v>
      </c>
      <c r="F70" t="s" s="79">
        <v>168</v>
      </c>
      <c r="G70" s="80">
        <v>1</v>
      </c>
      <c r="H70" t="s" s="79">
        <v>175</v>
      </c>
      <c r="I70" t="s" s="79">
        <v>203</v>
      </c>
      <c r="J70" s="80">
        <v>18</v>
      </c>
      <c r="K70" t="s" s="79">
        <v>255</v>
      </c>
      <c r="L70" t="s" s="79">
        <v>154</v>
      </c>
      <c r="M70" s="78"/>
      <c r="N70" s="78"/>
      <c r="O70" s="78"/>
      <c r="P70" s="80">
        <v>0</v>
      </c>
      <c r="Q70" s="81">
        <v>0</v>
      </c>
      <c r="R70" s="81">
        <v>0</v>
      </c>
      <c r="S70" s="80">
        <v>0</v>
      </c>
      <c r="T70" s="80">
        <v>0</v>
      </c>
      <c r="U70" t="s" s="79">
        <v>122</v>
      </c>
      <c r="V70" s="78"/>
      <c r="W70" s="78"/>
      <c r="X70" s="78"/>
      <c r="Y70" s="78"/>
      <c r="Z70" s="78"/>
      <c r="AA70" s="78"/>
      <c r="AB70" t="s" s="79">
        <v>124</v>
      </c>
      <c r="AC70" t="s" s="79">
        <v>124</v>
      </c>
      <c r="AD70" t="s" s="82">
        <v>125</v>
      </c>
      <c r="AE70" s="67"/>
    </row>
    <row r="71" ht="15" customHeight="1">
      <c r="A71" t="s" s="87">
        <v>32</v>
      </c>
      <c r="B71" s="69">
        <v>26.1</v>
      </c>
      <c r="C71" t="b" s="70">
        <v>0</v>
      </c>
      <c r="D71" s="71"/>
      <c r="E71" t="s" s="72">
        <v>256</v>
      </c>
      <c r="F71" t="s" s="72">
        <v>138</v>
      </c>
      <c r="G71" s="73">
        <v>1</v>
      </c>
      <c r="H71" t="s" s="72">
        <v>175</v>
      </c>
      <c r="I71" t="s" s="72">
        <v>203</v>
      </c>
      <c r="J71" s="73">
        <v>19</v>
      </c>
      <c r="K71" t="s" s="72">
        <v>257</v>
      </c>
      <c r="L71" t="s" s="72">
        <v>258</v>
      </c>
      <c r="M71" s="71"/>
      <c r="N71" s="71"/>
      <c r="O71" s="71"/>
      <c r="P71" s="71"/>
      <c r="Q71" s="71"/>
      <c r="R71" s="71"/>
      <c r="S71" s="71"/>
      <c r="T71" s="71"/>
      <c r="U71" s="71"/>
      <c r="V71" s="71"/>
      <c r="W71" s="71"/>
      <c r="X71" s="71"/>
      <c r="Y71" s="71"/>
      <c r="Z71" s="71"/>
      <c r="AA71" s="71"/>
      <c r="AB71" t="s" s="72">
        <v>125</v>
      </c>
      <c r="AC71" s="71"/>
      <c r="AD71" t="s" s="75">
        <v>125</v>
      </c>
      <c r="AE71" s="67"/>
    </row>
    <row r="72" ht="15" customHeight="1">
      <c r="A72" t="s" s="87">
        <v>32</v>
      </c>
      <c r="B72" s="76">
        <v>26.1</v>
      </c>
      <c r="C72" t="b" s="77">
        <v>0</v>
      </c>
      <c r="D72" s="78"/>
      <c r="E72" t="s" s="79">
        <v>259</v>
      </c>
      <c r="F72" t="s" s="79">
        <v>141</v>
      </c>
      <c r="G72" s="80">
        <v>1</v>
      </c>
      <c r="H72" t="s" s="79">
        <v>175</v>
      </c>
      <c r="I72" t="s" s="79">
        <v>175</v>
      </c>
      <c r="J72" s="80">
        <v>28</v>
      </c>
      <c r="K72" t="s" s="79">
        <v>260</v>
      </c>
      <c r="L72" t="s" s="79">
        <v>121</v>
      </c>
      <c r="M72" s="78"/>
      <c r="N72" s="78"/>
      <c r="O72" s="78"/>
      <c r="P72" s="80">
        <v>0</v>
      </c>
      <c r="Q72" s="81">
        <v>0</v>
      </c>
      <c r="R72" s="81">
        <v>0</v>
      </c>
      <c r="S72" s="80">
        <v>0</v>
      </c>
      <c r="T72" s="80">
        <v>0</v>
      </c>
      <c r="U72" t="s" s="79">
        <v>122</v>
      </c>
      <c r="V72" s="80">
        <v>0</v>
      </c>
      <c r="W72" s="81">
        <v>0</v>
      </c>
      <c r="X72" s="81">
        <v>0</v>
      </c>
      <c r="Y72" s="80">
        <v>0</v>
      </c>
      <c r="Z72" s="80">
        <v>0</v>
      </c>
      <c r="AA72" t="s" s="79">
        <v>123</v>
      </c>
      <c r="AB72" t="s" s="79">
        <v>124</v>
      </c>
      <c r="AC72" t="s" s="79">
        <v>124</v>
      </c>
      <c r="AD72" t="s" s="82">
        <v>125</v>
      </c>
      <c r="AE72" s="67"/>
    </row>
    <row r="73" ht="15" customHeight="1">
      <c r="A73" t="s" s="87">
        <v>32</v>
      </c>
      <c r="B73" s="69">
        <v>26.1</v>
      </c>
      <c r="C73" t="b" s="70">
        <v>0</v>
      </c>
      <c r="D73" s="71"/>
      <c r="E73" t="s" s="72">
        <v>261</v>
      </c>
      <c r="F73" t="s" s="72">
        <v>193</v>
      </c>
      <c r="G73" s="73">
        <v>1</v>
      </c>
      <c r="H73" t="s" s="72">
        <v>175</v>
      </c>
      <c r="I73" t="s" s="72">
        <v>175</v>
      </c>
      <c r="J73" s="73">
        <v>26</v>
      </c>
      <c r="K73" t="s" s="72">
        <v>128</v>
      </c>
      <c r="L73" t="s" s="72">
        <v>121</v>
      </c>
      <c r="M73" s="71"/>
      <c r="N73" s="71"/>
      <c r="O73" s="71"/>
      <c r="P73" s="73">
        <v>0</v>
      </c>
      <c r="Q73" s="74">
        <v>0</v>
      </c>
      <c r="R73" s="74">
        <v>0</v>
      </c>
      <c r="S73" s="73">
        <v>0</v>
      </c>
      <c r="T73" s="73">
        <v>0</v>
      </c>
      <c r="U73" t="s" s="72">
        <v>122</v>
      </c>
      <c r="V73" s="71"/>
      <c r="W73" s="71"/>
      <c r="X73" s="71"/>
      <c r="Y73" s="71"/>
      <c r="Z73" s="71"/>
      <c r="AA73" s="71"/>
      <c r="AB73" t="s" s="72">
        <v>124</v>
      </c>
      <c r="AC73" t="s" s="72">
        <v>124</v>
      </c>
      <c r="AD73" t="s" s="75">
        <v>125</v>
      </c>
      <c r="AE73" s="67"/>
    </row>
    <row r="74" ht="15" customHeight="1">
      <c r="A74" t="s" s="87">
        <v>32</v>
      </c>
      <c r="B74" s="76">
        <v>26.1</v>
      </c>
      <c r="C74" t="b" s="77">
        <v>0</v>
      </c>
      <c r="D74" s="78"/>
      <c r="E74" t="s" s="79">
        <v>262</v>
      </c>
      <c r="F74" t="s" s="79">
        <v>127</v>
      </c>
      <c r="G74" s="80">
        <v>1</v>
      </c>
      <c r="H74" t="s" s="79">
        <v>175</v>
      </c>
      <c r="I74" t="s" s="79">
        <v>203</v>
      </c>
      <c r="J74" s="80">
        <v>20</v>
      </c>
      <c r="K74" t="s" s="79">
        <v>128</v>
      </c>
      <c r="L74" t="s" s="79">
        <v>154</v>
      </c>
      <c r="M74" s="78"/>
      <c r="N74" s="78"/>
      <c r="O74" s="78"/>
      <c r="P74" s="80">
        <v>0</v>
      </c>
      <c r="Q74" s="81">
        <v>0</v>
      </c>
      <c r="R74" s="81">
        <v>0</v>
      </c>
      <c r="S74" s="80">
        <v>0</v>
      </c>
      <c r="T74" s="80">
        <v>0</v>
      </c>
      <c r="U74" t="s" s="79">
        <v>122</v>
      </c>
      <c r="V74" s="78"/>
      <c r="W74" s="78"/>
      <c r="X74" s="78"/>
      <c r="Y74" s="78"/>
      <c r="Z74" s="78"/>
      <c r="AA74" s="78"/>
      <c r="AB74" t="s" s="79">
        <v>124</v>
      </c>
      <c r="AC74" t="s" s="79">
        <v>124</v>
      </c>
      <c r="AD74" t="s" s="82">
        <v>125</v>
      </c>
      <c r="AE74" s="67"/>
    </row>
    <row r="75" ht="15" customHeight="1">
      <c r="A75" t="s" s="87">
        <v>32</v>
      </c>
      <c r="B75" s="69">
        <v>26.1</v>
      </c>
      <c r="C75" t="b" s="70">
        <v>0</v>
      </c>
      <c r="D75" s="71"/>
      <c r="E75" t="s" s="72">
        <v>263</v>
      </c>
      <c r="F75" t="s" s="72">
        <v>144</v>
      </c>
      <c r="G75" s="73">
        <v>1</v>
      </c>
      <c r="H75" t="s" s="72">
        <v>175</v>
      </c>
      <c r="I75" t="s" s="72">
        <v>203</v>
      </c>
      <c r="J75" s="73">
        <v>19</v>
      </c>
      <c r="K75" t="s" s="72">
        <v>264</v>
      </c>
      <c r="L75" t="s" s="72">
        <v>121</v>
      </c>
      <c r="M75" s="71"/>
      <c r="N75" s="71"/>
      <c r="O75" s="71"/>
      <c r="P75" s="73">
        <v>0</v>
      </c>
      <c r="Q75" s="74">
        <v>0</v>
      </c>
      <c r="R75" s="74">
        <v>0</v>
      </c>
      <c r="S75" s="73">
        <v>0</v>
      </c>
      <c r="T75" s="73">
        <v>0</v>
      </c>
      <c r="U75" t="s" s="72">
        <v>122</v>
      </c>
      <c r="V75" s="71"/>
      <c r="W75" s="71"/>
      <c r="X75" s="71"/>
      <c r="Y75" s="71"/>
      <c r="Z75" s="71"/>
      <c r="AA75" s="71"/>
      <c r="AB75" t="s" s="72">
        <v>124</v>
      </c>
      <c r="AC75" t="s" s="72">
        <v>124</v>
      </c>
      <c r="AD75" t="s" s="75">
        <v>125</v>
      </c>
      <c r="AE75" s="67"/>
    </row>
    <row r="76" ht="15" customHeight="1">
      <c r="A76" t="s" s="89">
        <v>32</v>
      </c>
      <c r="B76" s="90">
        <v>24</v>
      </c>
      <c r="C76" t="b" s="91">
        <v>0</v>
      </c>
      <c r="D76" s="92"/>
      <c r="E76" t="s" s="93">
        <v>265</v>
      </c>
      <c r="F76" t="s" s="93">
        <v>163</v>
      </c>
      <c r="G76" s="94">
        <v>1</v>
      </c>
      <c r="H76" t="s" s="93">
        <v>175</v>
      </c>
      <c r="I76" t="s" s="93">
        <v>266</v>
      </c>
      <c r="J76" s="94">
        <v>26</v>
      </c>
      <c r="K76" t="s" s="93">
        <v>267</v>
      </c>
      <c r="L76" s="92"/>
      <c r="M76" s="92"/>
      <c r="N76" s="92"/>
      <c r="O76" t="s" s="95">
        <v>268</v>
      </c>
      <c r="P76" s="92"/>
      <c r="Q76" s="92"/>
      <c r="R76" s="92"/>
      <c r="S76" s="92"/>
      <c r="T76" s="92"/>
      <c r="U76" s="92"/>
      <c r="V76" s="94">
        <v>9</v>
      </c>
      <c r="W76" s="101">
        <v>5.83</v>
      </c>
      <c r="X76" s="101">
        <v>3.78</v>
      </c>
      <c r="Y76" s="94">
        <v>0</v>
      </c>
      <c r="Z76" s="94">
        <v>0</v>
      </c>
      <c r="AA76" t="s" s="93">
        <v>123</v>
      </c>
      <c r="AB76" t="s" s="93">
        <v>125</v>
      </c>
      <c r="AC76" s="92"/>
      <c r="AD76" t="s" s="96">
        <v>125</v>
      </c>
      <c r="AE76" s="67"/>
    </row>
    <row r="77" ht="13.55" customHeight="1">
      <c r="A77" s="97"/>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9"/>
    </row>
  </sheetData>
  <mergeCells count="2">
    <mergeCell ref="A2:AD2"/>
    <mergeCell ref="A1:AD1"/>
  </mergeCells>
  <hyperlinks>
    <hyperlink ref="AA5" r:id="rId1" location="" tooltip="" display="0/0"/>
    <hyperlink ref="AB5" r:id="rId2" location="" tooltip="" display="Apri"/>
    <hyperlink ref="AC5" r:id="rId3" location="" tooltip="" display="Apri"/>
    <hyperlink ref="AA6" r:id="rId4" location="" tooltip="" display="0/0"/>
    <hyperlink ref="AB6" r:id="rId5" location="" tooltip="" display="Apri"/>
    <hyperlink ref="AC6" r:id="rId6" location="" tooltip="" display="Apri"/>
    <hyperlink ref="AA7" r:id="rId7" location="" tooltip="" display="0/0"/>
    <hyperlink ref="AB7" r:id="rId8" location="" tooltip="" display="Apri"/>
    <hyperlink ref="AC7" r:id="rId9" location="" tooltip="" display="Apri"/>
    <hyperlink ref="AA8" r:id="rId10" location="" tooltip="" display="0/0"/>
    <hyperlink ref="AB8" r:id="rId11" location="" tooltip="" display="Apri"/>
    <hyperlink ref="AC8" r:id="rId12" location="" tooltip="" display="Apri"/>
    <hyperlink ref="AB9" r:id="rId13" location="" tooltip="" display="Apri"/>
    <hyperlink ref="AC9" r:id="rId14" location="" tooltip="" display="Apri"/>
    <hyperlink ref="AA10" r:id="rId15" location="" tooltip="" display="0/0"/>
    <hyperlink ref="AB10" r:id="rId16" location="" tooltip="" display="Apri"/>
    <hyperlink ref="AC10" r:id="rId17" location="" tooltip="" display="Apri"/>
    <hyperlink ref="AA11" r:id="rId18" location="" tooltip="" display="0/0"/>
    <hyperlink ref="AB11" r:id="rId19" location="" tooltip="" display="Apri"/>
    <hyperlink ref="AC11" r:id="rId20" location="" tooltip="" display="Apri"/>
    <hyperlink ref="AA12" r:id="rId21" location="" tooltip="" display="0/0"/>
    <hyperlink ref="AB12" r:id="rId22" location="" tooltip="" display="Apri"/>
    <hyperlink ref="AC12" r:id="rId23" location="" tooltip="" display="Apri"/>
    <hyperlink ref="AA13" r:id="rId24" location="" tooltip="" display="0/0"/>
    <hyperlink ref="AB13" r:id="rId25" location="" tooltip="" display="Apri"/>
    <hyperlink ref="AC13" r:id="rId26" location="" tooltip="" display="Apri"/>
    <hyperlink ref="AA14" r:id="rId27" location="" tooltip="" display="0/0"/>
    <hyperlink ref="AB14" r:id="rId28" location="" tooltip="" display="Apri"/>
    <hyperlink ref="AC14" r:id="rId29" location="" tooltip="" display="Apri"/>
    <hyperlink ref="AA15" r:id="rId30" location="" tooltip="" display="0/0"/>
    <hyperlink ref="AB15" r:id="rId31" location="" tooltip="" display="Apri"/>
    <hyperlink ref="AC15" r:id="rId32" location="" tooltip="" display="Apri"/>
    <hyperlink ref="AA16" r:id="rId33" location="" tooltip="" display="0/0"/>
    <hyperlink ref="AB16" r:id="rId34" location="" tooltip="" display="Apri"/>
    <hyperlink ref="AC16" r:id="rId35" location="" tooltip="" display="Apri"/>
    <hyperlink ref="AB17" r:id="rId36" location="" tooltip="" display="Apri"/>
    <hyperlink ref="AC17" r:id="rId37" location="" tooltip="" display="Apri"/>
    <hyperlink ref="AA18" r:id="rId38" location="" tooltip="" display="0/0"/>
    <hyperlink ref="AB18" r:id="rId39" location="" tooltip="" display="Apri"/>
    <hyperlink ref="AC18" r:id="rId40" location="" tooltip="" display="Apri"/>
    <hyperlink ref="AA19" r:id="rId41" location="" tooltip="" display="0/0"/>
    <hyperlink ref="AB19" r:id="rId42" location="" tooltip="" display="Apri"/>
    <hyperlink ref="AC19" r:id="rId43" location="" tooltip="" display="Apri"/>
    <hyperlink ref="AA20" r:id="rId44" location="" tooltip="" display="0/0"/>
    <hyperlink ref="AB20" r:id="rId45" location="" tooltip="" display="Apri"/>
    <hyperlink ref="AC20" r:id="rId46" location="" tooltip="" display="Apri"/>
    <hyperlink ref="AA21" r:id="rId47" location="" tooltip="" display="0/0"/>
    <hyperlink ref="AB21" r:id="rId48" location="" tooltip="" display="Apri"/>
    <hyperlink ref="AC21" r:id="rId49" location="" tooltip="" display="Apri"/>
    <hyperlink ref="AB22" r:id="rId50" location="" tooltip="" display="Apri"/>
    <hyperlink ref="AC22" r:id="rId51" location="" tooltip="" display="Apri"/>
    <hyperlink ref="AB23" r:id="rId52" location="" tooltip="" display="Apri"/>
    <hyperlink ref="AC23" r:id="rId53" location="" tooltip="" display="Apri"/>
    <hyperlink ref="AA24" r:id="rId54" location="" tooltip="" display="0/0"/>
    <hyperlink ref="AB24" r:id="rId55" location="" tooltip="" display="Apri"/>
    <hyperlink ref="AC24" r:id="rId56" location="" tooltip="" display="Apri"/>
    <hyperlink ref="AB25" r:id="rId57" location="" tooltip="" display="Apri"/>
    <hyperlink ref="AC25" r:id="rId58" location="" tooltip="" display="Apri"/>
    <hyperlink ref="AB26" r:id="rId59" location="" tooltip="" display="Apri"/>
    <hyperlink ref="AC26" r:id="rId60" location="" tooltip="" display="Apri"/>
    <hyperlink ref="AA27" r:id="rId61" location="" tooltip="" display="0/0"/>
    <hyperlink ref="AB27" r:id="rId62" location="" tooltip="" display="Apri"/>
    <hyperlink ref="AC27" r:id="rId63" location="" tooltip="" display="Apri"/>
    <hyperlink ref="AA28" r:id="rId64" location="" tooltip="" display="0/0"/>
    <hyperlink ref="AB28" r:id="rId65" location="" tooltip="" display="Apri"/>
    <hyperlink ref="AC28" r:id="rId66" location="" tooltip="" display="Apri"/>
    <hyperlink ref="AA29" r:id="rId67" location="" tooltip="" display="0/0"/>
    <hyperlink ref="AB29" r:id="rId68" location="" tooltip="" display="Apri"/>
    <hyperlink ref="AC29" r:id="rId69" location="" tooltip="" display="Apri"/>
    <hyperlink ref="AA30" r:id="rId70" location="" tooltip="" display="0/0"/>
    <hyperlink ref="AB30" r:id="rId71" location="" tooltip="" display="Apri"/>
    <hyperlink ref="AC30" r:id="rId72" location="" tooltip="" display="Apri"/>
    <hyperlink ref="AA31" r:id="rId73" location="" tooltip="" display="0/0"/>
    <hyperlink ref="AA32" r:id="rId74" location="" tooltip="" display="0/0"/>
    <hyperlink ref="AB32" r:id="rId75" location="" tooltip="" display="Apri"/>
    <hyperlink ref="AC32" r:id="rId76" location="" tooltip="" display="Apri"/>
    <hyperlink ref="AA33" r:id="rId77" location="" tooltip="" display="0/0"/>
    <hyperlink ref="AB33" r:id="rId78" location="" tooltip="" display="Apri"/>
    <hyperlink ref="AC33" r:id="rId79" location="" tooltip="" display="Apri"/>
    <hyperlink ref="AB34" r:id="rId80" location="" tooltip="" display="Apri"/>
    <hyperlink ref="AC34" r:id="rId81" location="" tooltip="" display="Apri"/>
    <hyperlink ref="AA35" r:id="rId82" location="" tooltip="" display="0/0"/>
    <hyperlink ref="AB35" r:id="rId83" location="" tooltip="" display="Apri"/>
    <hyperlink ref="AC35" r:id="rId84" location="" tooltip="" display="Apri"/>
    <hyperlink ref="AA36" r:id="rId85" location="" tooltip="" display="0/0"/>
    <hyperlink ref="AB36" r:id="rId86" location="" tooltip="" display="Apri"/>
    <hyperlink ref="AC36" r:id="rId87" location="" tooltip="" display="Apri"/>
    <hyperlink ref="AA37" r:id="rId88" location="" tooltip="" display="0/0"/>
    <hyperlink ref="AB37" r:id="rId89" location="" tooltip="" display="Apri"/>
    <hyperlink ref="AC37" r:id="rId90" location="" tooltip="" display="Apri"/>
    <hyperlink ref="AA38" r:id="rId91" location="" tooltip="" display="0/0"/>
    <hyperlink ref="AB38" r:id="rId92" location="" tooltip="" display="Apri"/>
    <hyperlink ref="AC38" r:id="rId93" location="" tooltip="" display="Apri"/>
    <hyperlink ref="AA39" r:id="rId94" location="" tooltip="" display="0/0"/>
    <hyperlink ref="AA40" r:id="rId95" location="" tooltip="" display="0/0"/>
    <hyperlink ref="AB40" r:id="rId96" location="" tooltip="" display="Apri"/>
    <hyperlink ref="AC40" r:id="rId97" location="" tooltip="" display="Apri"/>
    <hyperlink ref="AA41" r:id="rId98" location="" tooltip="" display="0/0"/>
    <hyperlink ref="AB41" r:id="rId99" location="" tooltip="" display="Apri"/>
    <hyperlink ref="AC41" r:id="rId100" location="" tooltip="" display="Apri"/>
    <hyperlink ref="AA42" r:id="rId101" location="" tooltip="" display="0/0"/>
    <hyperlink ref="AB42" r:id="rId102" location="" tooltip="" display="Apri"/>
    <hyperlink ref="AC42" r:id="rId103" location="" tooltip="" display="Apri"/>
    <hyperlink ref="AB43" r:id="rId104" location="" tooltip="" display="Apri"/>
    <hyperlink ref="AC43" r:id="rId105" location="" tooltip="" display="Apri"/>
    <hyperlink ref="AA44" r:id="rId106" location="" tooltip="" display="0/0"/>
    <hyperlink ref="AB44" r:id="rId107" location="" tooltip="" display="Apri"/>
    <hyperlink ref="AC44" r:id="rId108" location="" tooltip="" display="Apri"/>
    <hyperlink ref="AB45" r:id="rId109" location="" tooltip="" display="Apri"/>
    <hyperlink ref="AC45" r:id="rId110" location="" tooltip="" display="Apri"/>
    <hyperlink ref="AB46" r:id="rId111" location="" tooltip="" display="Apri"/>
    <hyperlink ref="AC46" r:id="rId112" location="" tooltip="" display="Apri"/>
    <hyperlink ref="AB47" r:id="rId113" location="" tooltip="" display="Apri"/>
    <hyperlink ref="AC47" r:id="rId114" location="" tooltip="" display="Apri"/>
    <hyperlink ref="AA48" r:id="rId115" location="" tooltip="" display="0/0"/>
    <hyperlink ref="AB48" r:id="rId116" location="" tooltip="" display="Apri"/>
    <hyperlink ref="AC48" r:id="rId117" location="" tooltip="" display="Apri"/>
    <hyperlink ref="AA49" r:id="rId118" location="" tooltip="" display="0/0"/>
    <hyperlink ref="AB49" r:id="rId119" location="" tooltip="" display="Apri"/>
    <hyperlink ref="AC49" r:id="rId120" location="" tooltip="" display="Apri"/>
    <hyperlink ref="AB50" r:id="rId121" location="" tooltip="" display="Apri"/>
    <hyperlink ref="AC50" r:id="rId122" location="" tooltip="" display="Apri"/>
    <hyperlink ref="AA51" r:id="rId123" location="" tooltip="" display="0/0"/>
    <hyperlink ref="AB52" r:id="rId124" location="" tooltip="" display="Apri"/>
    <hyperlink ref="AC52" r:id="rId125" location="" tooltip="" display="Apri"/>
    <hyperlink ref="AB53" r:id="rId126" location="" tooltip="" display="Apri"/>
    <hyperlink ref="AC53" r:id="rId127" location="" tooltip="" display="Apri"/>
    <hyperlink ref="AA54" r:id="rId128" location="" tooltip="" display="0/0"/>
    <hyperlink ref="AB54" r:id="rId129" location="" tooltip="" display="Apri"/>
    <hyperlink ref="AC54" r:id="rId130" location="" tooltip="" display="Apri"/>
    <hyperlink ref="AB55" r:id="rId131" location="" tooltip="" display="Apri"/>
    <hyperlink ref="AC55" r:id="rId132" location="" tooltip="" display="Apri"/>
    <hyperlink ref="AA56" r:id="rId133" location="" tooltip="" display="0/0"/>
    <hyperlink ref="AB56" r:id="rId134" location="" tooltip="" display="Apri"/>
    <hyperlink ref="AC56" r:id="rId135" location="" tooltip="" display="Apri"/>
    <hyperlink ref="AB57" r:id="rId136" location="" tooltip="" display="Apri"/>
    <hyperlink ref="AC57" r:id="rId137" location="" tooltip="" display="Apri"/>
    <hyperlink ref="AB58" r:id="rId138" location="" tooltip="" display="Apri"/>
    <hyperlink ref="AC58" r:id="rId139" location="" tooltip="" display="Apri"/>
    <hyperlink ref="AA59" r:id="rId140" location="" tooltip="" display="0/0"/>
    <hyperlink ref="AB59" r:id="rId141" location="" tooltip="" display="Apri"/>
    <hyperlink ref="AC59" r:id="rId142" location="" tooltip="" display="Apri"/>
    <hyperlink ref="AA60" r:id="rId143" location="" tooltip="" display="0/0"/>
    <hyperlink ref="AB60" r:id="rId144" location="" tooltip="" display="Apri"/>
    <hyperlink ref="AC60" r:id="rId145" location="" tooltip="" display="Apri"/>
    <hyperlink ref="AA61" r:id="rId146" location="" tooltip="" display="0/0"/>
    <hyperlink ref="AB61" r:id="rId147" location="" tooltip="" display="Apri"/>
    <hyperlink ref="AC61" r:id="rId148" location="" tooltip="" display="Apri"/>
    <hyperlink ref="AB62" r:id="rId149" location="" tooltip="" display="Apri"/>
    <hyperlink ref="AC62" r:id="rId150" location="" tooltip="" display="Apri"/>
    <hyperlink ref="AB63" r:id="rId151" location="" tooltip="" display="Apri"/>
    <hyperlink ref="AC63" r:id="rId152" location="" tooltip="" display="Apri"/>
    <hyperlink ref="AB64" r:id="rId153" location="" tooltip="" display="Apri"/>
    <hyperlink ref="AC64" r:id="rId154" location="" tooltip="" display="Apri"/>
    <hyperlink ref="AA66" r:id="rId155" location="" tooltip="" display="0/0"/>
    <hyperlink ref="AB66" r:id="rId156" location="" tooltip="" display="Apri"/>
    <hyperlink ref="AC66" r:id="rId157" location="" tooltip="" display="Apri"/>
    <hyperlink ref="AA67" r:id="rId158" location="" tooltip="" display="0/0"/>
    <hyperlink ref="AB67" r:id="rId159" location="" tooltip="" display="Apri"/>
    <hyperlink ref="AC67" r:id="rId160" location="" tooltip="" display="Apri"/>
    <hyperlink ref="AA68" r:id="rId161" location="" tooltip="" display="0/0"/>
    <hyperlink ref="AB68" r:id="rId162" location="" tooltip="" display="Apri"/>
    <hyperlink ref="AC68" r:id="rId163" location="" tooltip="" display="Apri"/>
    <hyperlink ref="AB70" r:id="rId164" location="" tooltip="" display="Apri"/>
    <hyperlink ref="AC70" r:id="rId165" location="" tooltip="" display="Apri"/>
    <hyperlink ref="AA72" r:id="rId166" location="" tooltip="" display="0/0"/>
    <hyperlink ref="AB72" r:id="rId167" location="" tooltip="" display="Apri"/>
    <hyperlink ref="AC72" r:id="rId168" location="" tooltip="" display="Apri"/>
    <hyperlink ref="AB73" r:id="rId169" location="" tooltip="" display="Apri"/>
    <hyperlink ref="AC73" r:id="rId170" location="" tooltip="" display="Apri"/>
    <hyperlink ref="AB74" r:id="rId171" location="" tooltip="" display="Apri"/>
    <hyperlink ref="AC74" r:id="rId172" location="" tooltip="" display="Apri"/>
    <hyperlink ref="AB75" r:id="rId173" location="" tooltip="" display="Apri"/>
    <hyperlink ref="AC75" r:id="rId174" location="" tooltip="" display="Apri"/>
    <hyperlink ref="AA76" r:id="rId175" location="" tooltip="" display="0/0"/>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drawing r:id="rId176"/>
  <legacyDrawing r:id="rId177"/>
</worksheet>
</file>

<file path=xl/worksheets/sheet6.xml><?xml version="1.0" encoding="utf-8"?>
<worksheet xmlns:r="http://schemas.openxmlformats.org/officeDocument/2006/relationships" xmlns="http://schemas.openxmlformats.org/spreadsheetml/2006/main">
  <dimension ref="A1:AE204"/>
  <sheetViews>
    <sheetView workbookViewId="0" showGridLines="0" defaultGridColor="1"/>
  </sheetViews>
  <sheetFormatPr defaultColWidth="8.66667" defaultRowHeight="15" customHeight="1" outlineLevelRow="0" outlineLevelCol="0"/>
  <cols>
    <col min="1" max="1" width="16" style="102" customWidth="1"/>
    <col min="2" max="2" width="11" style="102" customWidth="1"/>
    <col min="3" max="3" width="3.17188" style="102" customWidth="1"/>
    <col min="4" max="4" width="12" style="102" customWidth="1"/>
    <col min="5" max="5" width="22" style="102" customWidth="1"/>
    <col min="6" max="6" width="17" style="102" customWidth="1"/>
    <col min="7" max="7" width="13" style="102" customWidth="1"/>
    <col min="8" max="8" width="36" style="102" customWidth="1"/>
    <col min="9" max="9" width="54" style="102" customWidth="1"/>
    <col min="10" max="10" width="7" style="102" customWidth="1"/>
    <col min="11" max="11" width="23" style="102" customWidth="1"/>
    <col min="12" max="12" width="9" style="102" customWidth="1"/>
    <col min="13" max="14" width="10" style="102" customWidth="1"/>
    <col min="15" max="15" width="34" style="102" customWidth="1"/>
    <col min="16" max="19" width="9" style="102" customWidth="1"/>
    <col min="20" max="20" width="10" style="102" customWidth="1"/>
    <col min="21" max="21" width="12" style="102" customWidth="1"/>
    <col min="22" max="25" width="9" style="102" customWidth="1"/>
    <col min="26" max="26" width="10" style="102" customWidth="1"/>
    <col min="27" max="27" width="12" style="102" customWidth="1"/>
    <col min="28" max="28" width="16" style="102" customWidth="1"/>
    <col min="29" max="30" width="17" style="102" customWidth="1"/>
    <col min="31" max="31" width="8.67188" style="102" customWidth="1"/>
    <col min="32" max="16384" width="8.67188" style="102" customWidth="1"/>
  </cols>
  <sheetData>
    <row r="1" ht="33.75" customHeight="1">
      <c r="A1" t="s" s="7">
        <v>76</v>
      </c>
      <c r="B1" s="8"/>
      <c r="C1" s="8"/>
      <c r="D1" s="8"/>
      <c r="E1" s="8"/>
      <c r="F1" s="8"/>
      <c r="G1" s="8"/>
      <c r="H1" s="8"/>
      <c r="I1" s="8"/>
      <c r="J1" s="8"/>
      <c r="K1" s="8"/>
      <c r="L1" s="8"/>
      <c r="M1" s="8"/>
      <c r="N1" s="8"/>
      <c r="O1" s="8"/>
      <c r="P1" s="8"/>
      <c r="Q1" s="8"/>
      <c r="R1" s="8"/>
      <c r="S1" s="8"/>
      <c r="T1" s="8"/>
      <c r="U1" s="8"/>
      <c r="V1" s="8"/>
      <c r="W1" s="8"/>
      <c r="X1" s="8"/>
      <c r="Y1" s="8"/>
      <c r="Z1" s="8"/>
      <c r="AA1" s="8"/>
      <c r="AB1" s="8"/>
      <c r="AC1" s="8"/>
      <c r="AD1" s="8"/>
      <c r="AE1" s="59"/>
    </row>
    <row r="2" ht="24.75" customHeight="1">
      <c r="A2" t="s" s="10">
        <v>1198</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60"/>
    </row>
    <row r="3" ht="15" customHeight="1">
      <c r="A3" s="61"/>
      <c r="B3" s="62"/>
      <c r="C3" s="63"/>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0"/>
    </row>
    <row r="4" ht="36" customHeight="1">
      <c r="A4" t="s" s="64">
        <v>87</v>
      </c>
      <c r="B4" t="s" s="65">
        <v>88</v>
      </c>
      <c r="C4" t="s" s="65">
        <v>89</v>
      </c>
      <c r="D4" t="s" s="65">
        <v>90</v>
      </c>
      <c r="E4" t="s" s="65">
        <v>91</v>
      </c>
      <c r="F4" t="s" s="65">
        <v>92</v>
      </c>
      <c r="G4" t="s" s="65">
        <v>93</v>
      </c>
      <c r="H4" t="s" s="65">
        <v>14</v>
      </c>
      <c r="I4" t="s" s="65">
        <v>94</v>
      </c>
      <c r="J4" t="s" s="65">
        <v>95</v>
      </c>
      <c r="K4" t="s" s="65">
        <v>96</v>
      </c>
      <c r="L4" t="s" s="65">
        <v>97</v>
      </c>
      <c r="M4" t="s" s="65">
        <v>98</v>
      </c>
      <c r="N4" t="s" s="65">
        <v>99</v>
      </c>
      <c r="O4" t="s" s="65">
        <v>100</v>
      </c>
      <c r="P4" t="s" s="65">
        <v>101</v>
      </c>
      <c r="Q4" t="s" s="65">
        <v>102</v>
      </c>
      <c r="R4" t="s" s="65">
        <v>103</v>
      </c>
      <c r="S4" t="s" s="65">
        <v>104</v>
      </c>
      <c r="T4" t="s" s="65">
        <v>105</v>
      </c>
      <c r="U4" t="s" s="65">
        <v>106</v>
      </c>
      <c r="V4" t="s" s="65">
        <v>107</v>
      </c>
      <c r="W4" t="s" s="65">
        <v>108</v>
      </c>
      <c r="X4" t="s" s="65">
        <v>109</v>
      </c>
      <c r="Y4" t="s" s="65">
        <v>110</v>
      </c>
      <c r="Z4" t="s" s="65">
        <v>111</v>
      </c>
      <c r="AA4" t="s" s="65">
        <v>112</v>
      </c>
      <c r="AB4" t="s" s="65">
        <v>113</v>
      </c>
      <c r="AC4" t="s" s="65">
        <v>114</v>
      </c>
      <c r="AD4" t="s" s="66">
        <v>115</v>
      </c>
      <c r="AE4" s="67"/>
    </row>
    <row r="5" ht="15" customHeight="1">
      <c r="A5" t="s" s="68">
        <v>26</v>
      </c>
      <c r="B5" s="69">
        <v>92.8</v>
      </c>
      <c r="C5" t="b" s="70">
        <v>0</v>
      </c>
      <c r="D5" s="71"/>
      <c r="E5" t="s" s="72">
        <v>269</v>
      </c>
      <c r="F5" t="s" s="72">
        <v>134</v>
      </c>
      <c r="G5" s="73">
        <v>42</v>
      </c>
      <c r="H5" t="s" s="72">
        <v>270</v>
      </c>
      <c r="I5" t="s" s="72">
        <v>271</v>
      </c>
      <c r="J5" s="73">
        <v>28</v>
      </c>
      <c r="K5" t="s" s="72">
        <v>128</v>
      </c>
      <c r="L5" t="s" s="72">
        <v>154</v>
      </c>
      <c r="M5" s="71"/>
      <c r="N5" t="s" s="72">
        <v>272</v>
      </c>
      <c r="O5" s="71"/>
      <c r="P5" s="73">
        <v>2</v>
      </c>
      <c r="Q5" s="74">
        <v>6.25</v>
      </c>
      <c r="R5" s="74">
        <v>6.25</v>
      </c>
      <c r="S5" s="73">
        <v>0</v>
      </c>
      <c r="T5" s="73">
        <v>0</v>
      </c>
      <c r="U5" t="s" s="72">
        <v>122</v>
      </c>
      <c r="V5" s="73">
        <v>35</v>
      </c>
      <c r="W5" s="74">
        <v>6.64</v>
      </c>
      <c r="X5" s="74">
        <v>7.69</v>
      </c>
      <c r="Y5" s="73">
        <v>7</v>
      </c>
      <c r="Z5" s="73">
        <v>17</v>
      </c>
      <c r="AA5" t="s" s="72">
        <v>123</v>
      </c>
      <c r="AB5" t="s" s="72">
        <v>124</v>
      </c>
      <c r="AC5" t="s" s="72">
        <v>124</v>
      </c>
      <c r="AD5" t="s" s="75">
        <v>125</v>
      </c>
      <c r="AE5" s="67"/>
    </row>
    <row r="6" ht="15" customHeight="1">
      <c r="A6" t="s" s="68">
        <v>26</v>
      </c>
      <c r="B6" s="76">
        <v>92.8</v>
      </c>
      <c r="C6" t="b" s="77">
        <v>0</v>
      </c>
      <c r="D6" t="s" s="85">
        <v>161</v>
      </c>
      <c r="E6" t="s" s="79">
        <v>273</v>
      </c>
      <c r="F6" t="s" s="79">
        <v>117</v>
      </c>
      <c r="G6" s="80">
        <v>36</v>
      </c>
      <c r="H6" t="s" s="79">
        <v>118</v>
      </c>
      <c r="I6" t="s" s="79">
        <v>274</v>
      </c>
      <c r="J6" s="80">
        <v>30</v>
      </c>
      <c r="K6" t="s" s="79">
        <v>128</v>
      </c>
      <c r="L6" t="s" s="79">
        <v>121</v>
      </c>
      <c r="M6" s="78"/>
      <c r="N6" s="78"/>
      <c r="O6" s="78"/>
      <c r="P6" s="80">
        <v>2</v>
      </c>
      <c r="Q6" s="81">
        <v>6.5</v>
      </c>
      <c r="R6" s="81">
        <v>7</v>
      </c>
      <c r="S6" s="80">
        <v>0</v>
      </c>
      <c r="T6" s="80">
        <v>1</v>
      </c>
      <c r="U6" t="s" s="79">
        <v>122</v>
      </c>
      <c r="V6" s="80">
        <v>36</v>
      </c>
      <c r="W6" s="81">
        <v>6.31</v>
      </c>
      <c r="X6" s="81">
        <v>6.57</v>
      </c>
      <c r="Y6" s="80">
        <v>4</v>
      </c>
      <c r="Z6" s="80">
        <v>2</v>
      </c>
      <c r="AA6" t="s" s="79">
        <v>123</v>
      </c>
      <c r="AB6" t="s" s="79">
        <v>124</v>
      </c>
      <c r="AC6" t="s" s="79">
        <v>124</v>
      </c>
      <c r="AD6" t="s" s="82">
        <v>125</v>
      </c>
      <c r="AE6" s="67"/>
    </row>
    <row r="7" ht="15" customHeight="1">
      <c r="A7" t="s" s="68">
        <v>26</v>
      </c>
      <c r="B7" s="69">
        <v>91.09999999999999</v>
      </c>
      <c r="C7" t="b" s="70">
        <v>0</v>
      </c>
      <c r="D7" s="71"/>
      <c r="E7" t="s" s="72">
        <v>275</v>
      </c>
      <c r="F7" t="s" s="72">
        <v>138</v>
      </c>
      <c r="G7" s="73">
        <v>37</v>
      </c>
      <c r="H7" t="s" s="72">
        <v>118</v>
      </c>
      <c r="I7" t="s" s="72">
        <v>276</v>
      </c>
      <c r="J7" s="73">
        <v>29</v>
      </c>
      <c r="K7" t="s" s="72">
        <v>277</v>
      </c>
      <c r="L7" t="s" s="72">
        <v>121</v>
      </c>
      <c r="M7" s="71"/>
      <c r="N7" s="71"/>
      <c r="O7" s="71"/>
      <c r="P7" s="73">
        <v>2</v>
      </c>
      <c r="Q7" s="74">
        <v>6.75</v>
      </c>
      <c r="R7" s="74">
        <v>8.25</v>
      </c>
      <c r="S7" s="73">
        <v>1</v>
      </c>
      <c r="T7" s="73">
        <v>0</v>
      </c>
      <c r="U7" t="s" s="72">
        <v>122</v>
      </c>
      <c r="V7" s="73">
        <v>26</v>
      </c>
      <c r="W7" s="74">
        <v>6.29</v>
      </c>
      <c r="X7" s="74">
        <v>6.77</v>
      </c>
      <c r="Y7" s="73">
        <v>4</v>
      </c>
      <c r="Z7" s="73">
        <v>3</v>
      </c>
      <c r="AA7" t="s" s="72">
        <v>123</v>
      </c>
      <c r="AB7" t="s" s="72">
        <v>124</v>
      </c>
      <c r="AC7" t="s" s="72">
        <v>124</v>
      </c>
      <c r="AD7" t="s" s="75">
        <v>125</v>
      </c>
      <c r="AE7" s="67"/>
    </row>
    <row r="8" ht="15" customHeight="1">
      <c r="A8" t="s" s="68">
        <v>26</v>
      </c>
      <c r="B8" s="76">
        <v>91</v>
      </c>
      <c r="C8" t="b" s="77">
        <v>0</v>
      </c>
      <c r="D8" s="78"/>
      <c r="E8" t="s" s="79">
        <v>278</v>
      </c>
      <c r="F8" t="s" s="79">
        <v>117</v>
      </c>
      <c r="G8" s="80">
        <v>37</v>
      </c>
      <c r="H8" t="s" s="79">
        <v>118</v>
      </c>
      <c r="I8" t="s" s="79">
        <v>279</v>
      </c>
      <c r="J8" s="80">
        <v>22</v>
      </c>
      <c r="K8" t="s" s="79">
        <v>277</v>
      </c>
      <c r="L8" t="s" s="79">
        <v>121</v>
      </c>
      <c r="M8" s="78"/>
      <c r="N8" s="78"/>
      <c r="O8" s="78"/>
      <c r="P8" s="80">
        <v>2</v>
      </c>
      <c r="Q8" s="81">
        <v>6.75</v>
      </c>
      <c r="R8" s="81">
        <v>7.25</v>
      </c>
      <c r="S8" s="80">
        <v>0</v>
      </c>
      <c r="T8" s="80">
        <v>1</v>
      </c>
      <c r="U8" t="s" s="79">
        <v>122</v>
      </c>
      <c r="V8" s="80">
        <v>30</v>
      </c>
      <c r="W8" s="81">
        <v>6.17</v>
      </c>
      <c r="X8" s="81">
        <v>6.52</v>
      </c>
      <c r="Y8" s="80">
        <v>5</v>
      </c>
      <c r="Z8" s="80">
        <v>0</v>
      </c>
      <c r="AA8" t="s" s="79">
        <v>123</v>
      </c>
      <c r="AB8" t="s" s="79">
        <v>124</v>
      </c>
      <c r="AC8" t="s" s="79">
        <v>124</v>
      </c>
      <c r="AD8" t="s" s="82">
        <v>125</v>
      </c>
      <c r="AE8" s="67"/>
    </row>
    <row r="9" ht="15" customHeight="1">
      <c r="A9" t="s" s="68">
        <v>26</v>
      </c>
      <c r="B9" s="69">
        <v>89.5</v>
      </c>
      <c r="C9" t="b" s="70">
        <v>0</v>
      </c>
      <c r="D9" s="71"/>
      <c r="E9" t="s" s="72">
        <v>280</v>
      </c>
      <c r="F9" t="s" s="72">
        <v>134</v>
      </c>
      <c r="G9" s="73">
        <v>34</v>
      </c>
      <c r="H9" t="s" s="72">
        <v>118</v>
      </c>
      <c r="I9" t="s" s="72">
        <v>276</v>
      </c>
      <c r="J9" s="73">
        <v>27</v>
      </c>
      <c r="K9" t="s" s="72">
        <v>128</v>
      </c>
      <c r="L9" t="s" s="72">
        <v>154</v>
      </c>
      <c r="M9" s="71"/>
      <c r="N9" s="71"/>
      <c r="O9" s="71"/>
      <c r="P9" s="73">
        <v>2</v>
      </c>
      <c r="Q9" s="74">
        <v>6</v>
      </c>
      <c r="R9" s="74">
        <v>6</v>
      </c>
      <c r="S9" s="73">
        <v>0</v>
      </c>
      <c r="T9" s="73">
        <v>0</v>
      </c>
      <c r="U9" t="s" s="72">
        <v>122</v>
      </c>
      <c r="V9" s="73">
        <v>28</v>
      </c>
      <c r="W9" s="74">
        <v>6.16</v>
      </c>
      <c r="X9" s="74">
        <v>6.3</v>
      </c>
      <c r="Y9" s="73">
        <v>1</v>
      </c>
      <c r="Z9" s="73">
        <v>4</v>
      </c>
      <c r="AA9" t="s" s="72">
        <v>123</v>
      </c>
      <c r="AB9" t="s" s="72">
        <v>124</v>
      </c>
      <c r="AC9" t="s" s="72">
        <v>124</v>
      </c>
      <c r="AD9" t="s" s="75">
        <v>125</v>
      </c>
      <c r="AE9" s="67"/>
    </row>
    <row r="10" ht="15" customHeight="1">
      <c r="A10" t="s" s="68">
        <v>26</v>
      </c>
      <c r="B10" s="76">
        <v>89.2</v>
      </c>
      <c r="C10" t="b" s="77">
        <v>0</v>
      </c>
      <c r="D10" s="78"/>
      <c r="E10" t="s" s="79">
        <v>281</v>
      </c>
      <c r="F10" t="s" s="79">
        <v>127</v>
      </c>
      <c r="G10" s="80">
        <v>32</v>
      </c>
      <c r="H10" t="s" s="79">
        <v>118</v>
      </c>
      <c r="I10" t="s" s="79">
        <v>119</v>
      </c>
      <c r="J10" s="80">
        <v>34</v>
      </c>
      <c r="K10" t="s" s="79">
        <v>128</v>
      </c>
      <c r="L10" t="s" s="79">
        <v>121</v>
      </c>
      <c r="M10" s="78"/>
      <c r="N10" s="78"/>
      <c r="O10" s="78"/>
      <c r="P10" s="80">
        <v>2</v>
      </c>
      <c r="Q10" s="81">
        <v>6.25</v>
      </c>
      <c r="R10" s="81">
        <v>6.25</v>
      </c>
      <c r="S10" s="80">
        <v>0</v>
      </c>
      <c r="T10" s="80">
        <v>0</v>
      </c>
      <c r="U10" t="s" s="79">
        <v>122</v>
      </c>
      <c r="V10" s="80">
        <v>35</v>
      </c>
      <c r="W10" s="81">
        <v>6.03</v>
      </c>
      <c r="X10" s="81">
        <v>6.27</v>
      </c>
      <c r="Y10" s="80">
        <v>3</v>
      </c>
      <c r="Z10" s="80">
        <v>1</v>
      </c>
      <c r="AA10" t="s" s="79">
        <v>123</v>
      </c>
      <c r="AB10" t="s" s="79">
        <v>124</v>
      </c>
      <c r="AC10" t="s" s="79">
        <v>124</v>
      </c>
      <c r="AD10" t="s" s="82">
        <v>125</v>
      </c>
      <c r="AE10" s="67"/>
    </row>
    <row r="11" ht="15" customHeight="1">
      <c r="A11" t="s" s="68">
        <v>26</v>
      </c>
      <c r="B11" s="69">
        <v>88.59999999999999</v>
      </c>
      <c r="C11" t="b" s="70">
        <v>0</v>
      </c>
      <c r="D11" t="s" s="84">
        <v>161</v>
      </c>
      <c r="E11" t="s" s="72">
        <v>282</v>
      </c>
      <c r="F11" t="s" s="72">
        <v>117</v>
      </c>
      <c r="G11" s="73">
        <v>31</v>
      </c>
      <c r="H11" t="s" s="72">
        <v>283</v>
      </c>
      <c r="I11" t="s" s="72">
        <v>284</v>
      </c>
      <c r="J11" s="73">
        <v>27</v>
      </c>
      <c r="K11" t="s" s="72">
        <v>285</v>
      </c>
      <c r="L11" t="s" s="72">
        <v>154</v>
      </c>
      <c r="M11" s="71"/>
      <c r="N11" s="71"/>
      <c r="O11" s="71"/>
      <c r="P11" s="73">
        <v>1</v>
      </c>
      <c r="Q11" s="74">
        <v>6.5</v>
      </c>
      <c r="R11" s="74">
        <v>6.5</v>
      </c>
      <c r="S11" s="73">
        <v>0</v>
      </c>
      <c r="T11" s="73">
        <v>0</v>
      </c>
      <c r="U11" t="s" s="72">
        <v>122</v>
      </c>
      <c r="V11" s="73">
        <v>31</v>
      </c>
      <c r="W11" s="74">
        <v>6.15</v>
      </c>
      <c r="X11" s="74">
        <v>6.39</v>
      </c>
      <c r="Y11" s="73">
        <v>3</v>
      </c>
      <c r="Z11" s="73">
        <v>1</v>
      </c>
      <c r="AA11" t="s" s="72">
        <v>123</v>
      </c>
      <c r="AB11" t="s" s="72">
        <v>124</v>
      </c>
      <c r="AC11" t="s" s="72">
        <v>124</v>
      </c>
      <c r="AD11" t="s" s="75">
        <v>125</v>
      </c>
      <c r="AE11" s="67"/>
    </row>
    <row r="12" ht="15" customHeight="1">
      <c r="A12" t="s" s="68">
        <v>26</v>
      </c>
      <c r="B12" s="76">
        <v>88.5</v>
      </c>
      <c r="C12" t="b" s="77">
        <v>0</v>
      </c>
      <c r="D12" s="78"/>
      <c r="E12" t="s" s="79">
        <v>286</v>
      </c>
      <c r="F12" t="s" s="79">
        <v>138</v>
      </c>
      <c r="G12" s="80">
        <v>31</v>
      </c>
      <c r="H12" t="s" s="79">
        <v>118</v>
      </c>
      <c r="I12" t="s" s="79">
        <v>287</v>
      </c>
      <c r="J12" s="80">
        <v>26</v>
      </c>
      <c r="K12" t="s" s="79">
        <v>288</v>
      </c>
      <c r="L12" t="s" s="79">
        <v>121</v>
      </c>
      <c r="M12" s="78"/>
      <c r="N12" s="78"/>
      <c r="O12" s="78"/>
      <c r="P12" s="80">
        <v>2</v>
      </c>
      <c r="Q12" s="81">
        <v>6.5</v>
      </c>
      <c r="R12" s="81">
        <v>6.5</v>
      </c>
      <c r="S12" s="80">
        <v>0</v>
      </c>
      <c r="T12" s="80">
        <v>0</v>
      </c>
      <c r="U12" t="s" s="79">
        <v>122</v>
      </c>
      <c r="V12" s="80">
        <v>37</v>
      </c>
      <c r="W12" s="81">
        <v>6.2</v>
      </c>
      <c r="X12" s="81">
        <v>6.42</v>
      </c>
      <c r="Y12" s="80">
        <v>2</v>
      </c>
      <c r="Z12" s="80">
        <v>4</v>
      </c>
      <c r="AA12" t="s" s="79">
        <v>123</v>
      </c>
      <c r="AB12" t="s" s="79">
        <v>124</v>
      </c>
      <c r="AC12" t="s" s="79">
        <v>124</v>
      </c>
      <c r="AD12" t="s" s="82">
        <v>125</v>
      </c>
      <c r="AE12" s="67"/>
    </row>
    <row r="13" ht="15" customHeight="1">
      <c r="A13" t="s" s="68">
        <v>26</v>
      </c>
      <c r="B13" s="69">
        <v>88.40000000000001</v>
      </c>
      <c r="C13" t="b" s="70">
        <v>0</v>
      </c>
      <c r="D13" s="71"/>
      <c r="E13" t="s" s="72">
        <v>289</v>
      </c>
      <c r="F13" t="s" s="72">
        <v>159</v>
      </c>
      <c r="G13" s="73">
        <v>31</v>
      </c>
      <c r="H13" t="s" s="72">
        <v>118</v>
      </c>
      <c r="I13" t="s" s="72">
        <v>119</v>
      </c>
      <c r="J13" s="73">
        <v>26</v>
      </c>
      <c r="K13" t="s" s="72">
        <v>290</v>
      </c>
      <c r="L13" t="s" s="72">
        <v>121</v>
      </c>
      <c r="M13" s="71"/>
      <c r="N13" s="71"/>
      <c r="O13" s="71"/>
      <c r="P13" s="73">
        <v>2</v>
      </c>
      <c r="Q13" s="74">
        <v>6.25</v>
      </c>
      <c r="R13" s="74">
        <v>6.25</v>
      </c>
      <c r="S13" s="73">
        <v>0</v>
      </c>
      <c r="T13" s="73">
        <v>0</v>
      </c>
      <c r="U13" t="s" s="72">
        <v>122</v>
      </c>
      <c r="V13" s="73">
        <v>35</v>
      </c>
      <c r="W13" s="74">
        <v>6.26</v>
      </c>
      <c r="X13" s="74">
        <v>6.47</v>
      </c>
      <c r="Y13" s="73">
        <v>3</v>
      </c>
      <c r="Z13" s="73">
        <v>1</v>
      </c>
      <c r="AA13" t="s" s="72">
        <v>291</v>
      </c>
      <c r="AB13" t="s" s="72">
        <v>124</v>
      </c>
      <c r="AC13" t="s" s="72">
        <v>124</v>
      </c>
      <c r="AD13" t="s" s="75">
        <v>125</v>
      </c>
      <c r="AE13" s="67"/>
    </row>
    <row r="14" ht="15" customHeight="1">
      <c r="A14" t="s" s="68">
        <v>26</v>
      </c>
      <c r="B14" s="76">
        <v>88.2</v>
      </c>
      <c r="C14" t="b" s="77">
        <v>0</v>
      </c>
      <c r="D14" t="s" s="85">
        <v>161</v>
      </c>
      <c r="E14" t="s" s="79">
        <v>292</v>
      </c>
      <c r="F14" t="s" s="79">
        <v>130</v>
      </c>
      <c r="G14" s="80">
        <v>34</v>
      </c>
      <c r="H14" t="s" s="79">
        <v>118</v>
      </c>
      <c r="I14" t="s" s="79">
        <v>293</v>
      </c>
      <c r="J14" s="80">
        <v>25</v>
      </c>
      <c r="K14" t="s" s="79">
        <v>184</v>
      </c>
      <c r="L14" t="s" s="79">
        <v>154</v>
      </c>
      <c r="M14" s="78"/>
      <c r="N14" s="78"/>
      <c r="O14" s="78"/>
      <c r="P14" s="80">
        <v>2</v>
      </c>
      <c r="Q14" s="81">
        <v>6.5</v>
      </c>
      <c r="R14" s="81">
        <v>6.25</v>
      </c>
      <c r="S14" s="80">
        <v>0</v>
      </c>
      <c r="T14" s="80">
        <v>0</v>
      </c>
      <c r="U14" t="s" s="79">
        <v>122</v>
      </c>
      <c r="V14" s="80">
        <v>34</v>
      </c>
      <c r="W14" s="81">
        <v>6.28</v>
      </c>
      <c r="X14" s="81">
        <v>6.66</v>
      </c>
      <c r="Y14" s="80">
        <v>5</v>
      </c>
      <c r="Z14" s="80">
        <v>0</v>
      </c>
      <c r="AA14" t="s" s="79">
        <v>123</v>
      </c>
      <c r="AB14" t="s" s="79">
        <v>124</v>
      </c>
      <c r="AC14" t="s" s="79">
        <v>124</v>
      </c>
      <c r="AD14" t="s" s="82">
        <v>125</v>
      </c>
      <c r="AE14" s="67"/>
    </row>
    <row r="15" ht="15" customHeight="1">
      <c r="A15" t="s" s="68">
        <v>26</v>
      </c>
      <c r="B15" s="69">
        <v>87.3</v>
      </c>
      <c r="C15" t="b" s="70">
        <v>0</v>
      </c>
      <c r="D15" s="71"/>
      <c r="E15" t="s" s="72">
        <v>294</v>
      </c>
      <c r="F15" t="s" s="72">
        <v>153</v>
      </c>
      <c r="G15" s="73">
        <v>31</v>
      </c>
      <c r="H15" t="s" s="72">
        <v>118</v>
      </c>
      <c r="I15" t="s" s="72">
        <v>135</v>
      </c>
      <c r="J15" s="73">
        <v>33</v>
      </c>
      <c r="K15" t="s" s="72">
        <v>128</v>
      </c>
      <c r="L15" t="s" s="72">
        <v>121</v>
      </c>
      <c r="M15" s="71"/>
      <c r="N15" s="71"/>
      <c r="O15" s="71"/>
      <c r="P15" s="73">
        <v>2</v>
      </c>
      <c r="Q15" s="74">
        <v>6</v>
      </c>
      <c r="R15" s="74">
        <v>5.75</v>
      </c>
      <c r="S15" s="73">
        <v>0</v>
      </c>
      <c r="T15" s="73">
        <v>0</v>
      </c>
      <c r="U15" t="s" s="72">
        <v>122</v>
      </c>
      <c r="V15" s="73">
        <v>26</v>
      </c>
      <c r="W15" s="74">
        <v>6.02</v>
      </c>
      <c r="X15" s="74">
        <v>6.27</v>
      </c>
      <c r="Y15" s="73">
        <v>2</v>
      </c>
      <c r="Z15" s="73">
        <v>1</v>
      </c>
      <c r="AA15" t="s" s="72">
        <v>123</v>
      </c>
      <c r="AB15" t="s" s="72">
        <v>124</v>
      </c>
      <c r="AC15" t="s" s="72">
        <v>124</v>
      </c>
      <c r="AD15" t="s" s="75">
        <v>125</v>
      </c>
      <c r="AE15" s="67"/>
    </row>
    <row r="16" ht="15" customHeight="1">
      <c r="A16" t="s" s="68">
        <v>26</v>
      </c>
      <c r="B16" s="76">
        <v>86.90000000000001</v>
      </c>
      <c r="C16" t="b" s="77">
        <v>0</v>
      </c>
      <c r="D16" s="78"/>
      <c r="E16" t="s" s="79">
        <v>295</v>
      </c>
      <c r="F16" t="s" s="79">
        <v>134</v>
      </c>
      <c r="G16" s="80">
        <v>30</v>
      </c>
      <c r="H16" t="s" s="79">
        <v>296</v>
      </c>
      <c r="I16" t="s" s="79">
        <v>297</v>
      </c>
      <c r="J16" s="80">
        <v>31</v>
      </c>
      <c r="K16" t="s" s="79">
        <v>298</v>
      </c>
      <c r="L16" t="s" s="79">
        <v>121</v>
      </c>
      <c r="M16" s="78"/>
      <c r="N16" s="78"/>
      <c r="O16" s="78"/>
      <c r="P16" s="80">
        <v>2</v>
      </c>
      <c r="Q16" s="81">
        <v>5.5</v>
      </c>
      <c r="R16" s="81">
        <v>5.25</v>
      </c>
      <c r="S16" s="80">
        <v>0</v>
      </c>
      <c r="T16" s="80">
        <v>0</v>
      </c>
      <c r="U16" t="s" s="79">
        <v>122</v>
      </c>
      <c r="V16" s="80">
        <v>32</v>
      </c>
      <c r="W16" s="81">
        <v>6.27</v>
      </c>
      <c r="X16" s="81">
        <v>6.39</v>
      </c>
      <c r="Y16" s="80">
        <v>2</v>
      </c>
      <c r="Z16" s="80">
        <v>0</v>
      </c>
      <c r="AA16" t="s" s="79">
        <v>123</v>
      </c>
      <c r="AB16" t="s" s="79">
        <v>124</v>
      </c>
      <c r="AC16" t="s" s="79">
        <v>124</v>
      </c>
      <c r="AD16" t="s" s="82">
        <v>125</v>
      </c>
      <c r="AE16" s="67"/>
    </row>
    <row r="17" ht="15" customHeight="1">
      <c r="A17" t="s" s="68">
        <v>26</v>
      </c>
      <c r="B17" s="69">
        <v>85.09999999999999</v>
      </c>
      <c r="C17" t="b" s="70">
        <v>0</v>
      </c>
      <c r="D17" t="s" s="84">
        <v>161</v>
      </c>
      <c r="E17" t="s" s="72">
        <v>299</v>
      </c>
      <c r="F17" t="s" s="72">
        <v>117</v>
      </c>
      <c r="G17" s="73">
        <v>25</v>
      </c>
      <c r="H17" t="s" s="72">
        <v>118</v>
      </c>
      <c r="I17" t="s" s="72">
        <v>300</v>
      </c>
      <c r="J17" s="73">
        <v>31</v>
      </c>
      <c r="K17" t="s" s="72">
        <v>136</v>
      </c>
      <c r="L17" t="s" s="72">
        <v>154</v>
      </c>
      <c r="M17" s="71"/>
      <c r="N17" s="71"/>
      <c r="O17" s="71"/>
      <c r="P17" s="73">
        <v>2</v>
      </c>
      <c r="Q17" s="74">
        <v>6.5</v>
      </c>
      <c r="R17" s="74">
        <v>6.25</v>
      </c>
      <c r="S17" s="73">
        <v>0</v>
      </c>
      <c r="T17" s="73">
        <v>0</v>
      </c>
      <c r="U17" t="s" s="72">
        <v>122</v>
      </c>
      <c r="V17" s="73">
        <v>27</v>
      </c>
      <c r="W17" s="74">
        <v>6.17</v>
      </c>
      <c r="X17" s="74">
        <v>6.41</v>
      </c>
      <c r="Y17" s="73">
        <v>3</v>
      </c>
      <c r="Z17" s="73">
        <v>2</v>
      </c>
      <c r="AA17" t="s" s="72">
        <v>123</v>
      </c>
      <c r="AB17" t="s" s="72">
        <v>124</v>
      </c>
      <c r="AC17" t="s" s="72">
        <v>124</v>
      </c>
      <c r="AD17" t="s" s="75">
        <v>125</v>
      </c>
      <c r="AE17" s="67"/>
    </row>
    <row r="18" ht="15" customHeight="1">
      <c r="A18" t="s" s="68">
        <v>26</v>
      </c>
      <c r="B18" s="76">
        <v>81.8</v>
      </c>
      <c r="C18" t="b" s="77">
        <v>0</v>
      </c>
      <c r="D18" s="78"/>
      <c r="E18" t="s" s="79">
        <v>301</v>
      </c>
      <c r="F18" t="s" s="79">
        <v>134</v>
      </c>
      <c r="G18" s="80">
        <v>30</v>
      </c>
      <c r="H18" t="s" s="79">
        <v>302</v>
      </c>
      <c r="I18" t="s" s="79">
        <v>303</v>
      </c>
      <c r="J18" s="80">
        <v>32</v>
      </c>
      <c r="K18" t="s" s="79">
        <v>304</v>
      </c>
      <c r="L18" t="s" s="79">
        <v>121</v>
      </c>
      <c r="M18" s="78"/>
      <c r="N18" s="78"/>
      <c r="O18" s="78"/>
      <c r="P18" s="80">
        <v>2</v>
      </c>
      <c r="Q18" s="81">
        <v>6</v>
      </c>
      <c r="R18" s="81">
        <v>6</v>
      </c>
      <c r="S18" s="80">
        <v>0</v>
      </c>
      <c r="T18" s="80">
        <v>0</v>
      </c>
      <c r="U18" t="s" s="79">
        <v>122</v>
      </c>
      <c r="V18" s="78"/>
      <c r="W18" s="78"/>
      <c r="X18" s="78"/>
      <c r="Y18" s="78"/>
      <c r="Z18" s="78"/>
      <c r="AA18" s="78"/>
      <c r="AB18" t="s" s="79">
        <v>124</v>
      </c>
      <c r="AC18" t="s" s="79">
        <v>124</v>
      </c>
      <c r="AD18" t="s" s="82">
        <v>125</v>
      </c>
      <c r="AE18" s="67"/>
    </row>
    <row r="19" ht="15" customHeight="1">
      <c r="A19" t="s" s="68">
        <v>26</v>
      </c>
      <c r="B19" s="69">
        <v>81.5</v>
      </c>
      <c r="C19" t="b" s="70">
        <v>0</v>
      </c>
      <c r="D19" s="71"/>
      <c r="E19" t="s" s="72">
        <v>305</v>
      </c>
      <c r="F19" t="s" s="72">
        <v>153</v>
      </c>
      <c r="G19" s="73">
        <v>27</v>
      </c>
      <c r="H19" t="s" s="72">
        <v>118</v>
      </c>
      <c r="I19" t="s" s="72">
        <v>306</v>
      </c>
      <c r="J19" s="73">
        <v>33</v>
      </c>
      <c r="K19" t="s" s="72">
        <v>128</v>
      </c>
      <c r="L19" t="s" s="72">
        <v>121</v>
      </c>
      <c r="M19" s="71"/>
      <c r="N19" s="71"/>
      <c r="O19" s="71"/>
      <c r="P19" s="73">
        <v>2</v>
      </c>
      <c r="Q19" s="74">
        <v>5.75</v>
      </c>
      <c r="R19" s="74">
        <v>5.75</v>
      </c>
      <c r="S19" s="73">
        <v>0</v>
      </c>
      <c r="T19" s="73">
        <v>0</v>
      </c>
      <c r="U19" t="s" s="72">
        <v>122</v>
      </c>
      <c r="V19" s="73">
        <v>30</v>
      </c>
      <c r="W19" s="74">
        <v>6.1</v>
      </c>
      <c r="X19" s="74">
        <v>6.48</v>
      </c>
      <c r="Y19" s="73">
        <v>3</v>
      </c>
      <c r="Z19" s="73">
        <v>3</v>
      </c>
      <c r="AA19" t="s" s="72">
        <v>123</v>
      </c>
      <c r="AB19" t="s" s="72">
        <v>124</v>
      </c>
      <c r="AC19" t="s" s="72">
        <v>124</v>
      </c>
      <c r="AD19" t="s" s="75">
        <v>125</v>
      </c>
      <c r="AE19" s="67"/>
    </row>
    <row r="20" ht="15" customHeight="1">
      <c r="A20" t="s" s="68">
        <v>26</v>
      </c>
      <c r="B20" s="76">
        <v>80.7</v>
      </c>
      <c r="C20" t="b" s="77">
        <v>0</v>
      </c>
      <c r="D20" s="78"/>
      <c r="E20" t="s" s="79">
        <v>307</v>
      </c>
      <c r="F20" t="s" s="79">
        <v>127</v>
      </c>
      <c r="G20" s="80">
        <v>27</v>
      </c>
      <c r="H20" t="s" s="79">
        <v>118</v>
      </c>
      <c r="I20" t="s" s="79">
        <v>308</v>
      </c>
      <c r="J20" s="80">
        <v>22</v>
      </c>
      <c r="K20" t="s" s="79">
        <v>128</v>
      </c>
      <c r="L20" t="s" s="79">
        <v>121</v>
      </c>
      <c r="M20" s="78"/>
      <c r="N20" s="78"/>
      <c r="O20" s="78"/>
      <c r="P20" s="80">
        <v>2</v>
      </c>
      <c r="Q20" s="81">
        <v>6</v>
      </c>
      <c r="R20" s="81">
        <v>6</v>
      </c>
      <c r="S20" s="80">
        <v>0</v>
      </c>
      <c r="T20" s="80">
        <v>0</v>
      </c>
      <c r="U20" t="s" s="79">
        <v>122</v>
      </c>
      <c r="V20" s="80">
        <v>24</v>
      </c>
      <c r="W20" s="81">
        <v>6.04</v>
      </c>
      <c r="X20" s="81">
        <v>6.42</v>
      </c>
      <c r="Y20" s="80">
        <v>3</v>
      </c>
      <c r="Z20" s="80">
        <v>1</v>
      </c>
      <c r="AA20" t="s" s="79">
        <v>123</v>
      </c>
      <c r="AB20" t="s" s="79">
        <v>124</v>
      </c>
      <c r="AC20" t="s" s="79">
        <v>124</v>
      </c>
      <c r="AD20" t="s" s="82">
        <v>125</v>
      </c>
      <c r="AE20" s="67"/>
    </row>
    <row r="21" ht="15" customHeight="1">
      <c r="A21" t="s" s="68">
        <v>26</v>
      </c>
      <c r="B21" s="69">
        <v>80.2</v>
      </c>
      <c r="C21" t="b" s="70">
        <v>0</v>
      </c>
      <c r="D21" s="71"/>
      <c r="E21" t="s" s="72">
        <v>309</v>
      </c>
      <c r="F21" t="s" s="72">
        <v>138</v>
      </c>
      <c r="G21" s="73">
        <v>27</v>
      </c>
      <c r="H21" t="s" s="72">
        <v>164</v>
      </c>
      <c r="I21" t="s" s="72">
        <v>310</v>
      </c>
      <c r="J21" s="73">
        <v>26</v>
      </c>
      <c r="K21" t="s" s="72">
        <v>128</v>
      </c>
      <c r="L21" t="s" s="72">
        <v>154</v>
      </c>
      <c r="M21" s="71"/>
      <c r="N21" t="s" s="72">
        <v>311</v>
      </c>
      <c r="O21" t="s" s="88">
        <v>268</v>
      </c>
      <c r="P21" s="73">
        <v>1</v>
      </c>
      <c r="Q21" s="74">
        <v>5.5</v>
      </c>
      <c r="R21" s="74">
        <v>5</v>
      </c>
      <c r="S21" s="73">
        <v>0</v>
      </c>
      <c r="T21" s="73">
        <v>0</v>
      </c>
      <c r="U21" t="s" s="72">
        <v>122</v>
      </c>
      <c r="V21" s="73">
        <v>36</v>
      </c>
      <c r="W21" s="74">
        <v>5.79</v>
      </c>
      <c r="X21" s="74">
        <v>5.97</v>
      </c>
      <c r="Y21" s="73">
        <v>3</v>
      </c>
      <c r="Z21" s="73">
        <v>4</v>
      </c>
      <c r="AA21" t="s" s="72">
        <v>123</v>
      </c>
      <c r="AB21" t="s" s="72">
        <v>124</v>
      </c>
      <c r="AC21" t="s" s="72">
        <v>124</v>
      </c>
      <c r="AD21" t="s" s="75">
        <v>125</v>
      </c>
      <c r="AE21" s="67"/>
    </row>
    <row r="22" ht="15" customHeight="1">
      <c r="A22" t="s" s="68">
        <v>26</v>
      </c>
      <c r="B22" s="76">
        <v>79.8</v>
      </c>
      <c r="C22" t="b" s="77">
        <v>0</v>
      </c>
      <c r="D22" s="78"/>
      <c r="E22" t="s" s="79">
        <v>312</v>
      </c>
      <c r="F22" t="s" s="79">
        <v>156</v>
      </c>
      <c r="G22" s="80">
        <v>22</v>
      </c>
      <c r="H22" t="s" s="79">
        <v>118</v>
      </c>
      <c r="I22" t="s" s="79">
        <v>287</v>
      </c>
      <c r="J22" s="80">
        <v>26</v>
      </c>
      <c r="K22" t="s" s="79">
        <v>313</v>
      </c>
      <c r="L22" t="s" s="79">
        <v>121</v>
      </c>
      <c r="M22" s="78"/>
      <c r="N22" s="78"/>
      <c r="O22" s="78"/>
      <c r="P22" s="80">
        <v>3</v>
      </c>
      <c r="Q22" s="81">
        <v>5.67</v>
      </c>
      <c r="R22" s="81">
        <v>5.17</v>
      </c>
      <c r="S22" s="80">
        <v>0</v>
      </c>
      <c r="T22" s="80">
        <v>0</v>
      </c>
      <c r="U22" t="s" s="79">
        <v>122</v>
      </c>
      <c r="V22" s="80">
        <v>30</v>
      </c>
      <c r="W22" s="81">
        <v>6.13</v>
      </c>
      <c r="X22" s="81">
        <v>6.52</v>
      </c>
      <c r="Y22" s="80">
        <v>5</v>
      </c>
      <c r="Z22" s="80">
        <v>0</v>
      </c>
      <c r="AA22" t="s" s="79">
        <v>123</v>
      </c>
      <c r="AB22" t="s" s="79">
        <v>124</v>
      </c>
      <c r="AC22" t="s" s="79">
        <v>124</v>
      </c>
      <c r="AD22" t="s" s="82">
        <v>125</v>
      </c>
      <c r="AE22" s="67"/>
    </row>
    <row r="23" ht="15" customHeight="1">
      <c r="A23" t="s" s="68">
        <v>26</v>
      </c>
      <c r="B23" s="69">
        <v>79.8</v>
      </c>
      <c r="C23" t="b" s="70">
        <v>0</v>
      </c>
      <c r="D23" s="71"/>
      <c r="E23" t="s" s="72">
        <v>314</v>
      </c>
      <c r="F23" t="s" s="72">
        <v>117</v>
      </c>
      <c r="G23" s="73">
        <v>29</v>
      </c>
      <c r="H23" t="s" s="72">
        <v>164</v>
      </c>
      <c r="I23" t="s" s="72">
        <v>315</v>
      </c>
      <c r="J23" s="73">
        <v>28</v>
      </c>
      <c r="K23" t="s" s="72">
        <v>316</v>
      </c>
      <c r="L23" t="s" s="72">
        <v>121</v>
      </c>
      <c r="M23" s="71"/>
      <c r="N23" s="71"/>
      <c r="O23" s="71"/>
      <c r="P23" s="73">
        <v>1</v>
      </c>
      <c r="Q23" s="74">
        <v>6</v>
      </c>
      <c r="R23" s="74">
        <v>6</v>
      </c>
      <c r="S23" s="73">
        <v>0</v>
      </c>
      <c r="T23" s="73">
        <v>0</v>
      </c>
      <c r="U23" t="s" s="72">
        <v>122</v>
      </c>
      <c r="V23" s="71"/>
      <c r="W23" s="71"/>
      <c r="X23" s="71"/>
      <c r="Y23" s="71"/>
      <c r="Z23" s="71"/>
      <c r="AA23" s="71"/>
      <c r="AB23" t="s" s="72">
        <v>124</v>
      </c>
      <c r="AC23" t="s" s="72">
        <v>124</v>
      </c>
      <c r="AD23" t="s" s="75">
        <v>125</v>
      </c>
      <c r="AE23" s="67"/>
    </row>
    <row r="24" ht="15" customHeight="1">
      <c r="A24" t="s" s="68">
        <v>26</v>
      </c>
      <c r="B24" s="76">
        <v>79.2</v>
      </c>
      <c r="C24" t="b" s="77">
        <v>0</v>
      </c>
      <c r="D24" s="78"/>
      <c r="E24" t="s" s="79">
        <v>317</v>
      </c>
      <c r="F24" t="s" s="79">
        <v>130</v>
      </c>
      <c r="G24" s="80">
        <v>23</v>
      </c>
      <c r="H24" t="s" s="79">
        <v>118</v>
      </c>
      <c r="I24" t="s" s="79">
        <v>119</v>
      </c>
      <c r="J24" s="80">
        <v>26</v>
      </c>
      <c r="K24" t="s" s="79">
        <v>136</v>
      </c>
      <c r="L24" t="s" s="79">
        <v>121</v>
      </c>
      <c r="M24" s="78"/>
      <c r="N24" s="78"/>
      <c r="O24" s="78"/>
      <c r="P24" s="80">
        <v>2</v>
      </c>
      <c r="Q24" s="81">
        <v>6.5</v>
      </c>
      <c r="R24" s="81">
        <v>6.5</v>
      </c>
      <c r="S24" s="80">
        <v>0</v>
      </c>
      <c r="T24" s="80">
        <v>0</v>
      </c>
      <c r="U24" t="s" s="79">
        <v>122</v>
      </c>
      <c r="V24" s="80">
        <v>31</v>
      </c>
      <c r="W24" s="81">
        <v>5.95</v>
      </c>
      <c r="X24" s="81">
        <v>5.87</v>
      </c>
      <c r="Y24" s="80">
        <v>0</v>
      </c>
      <c r="Z24" s="80">
        <v>0</v>
      </c>
      <c r="AA24" t="s" s="79">
        <v>123</v>
      </c>
      <c r="AB24" t="s" s="79">
        <v>124</v>
      </c>
      <c r="AC24" t="s" s="79">
        <v>124</v>
      </c>
      <c r="AD24" t="s" s="82">
        <v>125</v>
      </c>
      <c r="AE24" s="67"/>
    </row>
    <row r="25" ht="15" customHeight="1">
      <c r="A25" t="s" s="83">
        <v>28</v>
      </c>
      <c r="B25" s="69">
        <v>78.7</v>
      </c>
      <c r="C25" t="b" s="70">
        <v>0</v>
      </c>
      <c r="D25" t="s" s="84">
        <v>161</v>
      </c>
      <c r="E25" t="s" s="72">
        <v>318</v>
      </c>
      <c r="F25" t="s" s="72">
        <v>141</v>
      </c>
      <c r="G25" s="73">
        <v>25</v>
      </c>
      <c r="H25" t="s" s="72">
        <v>118</v>
      </c>
      <c r="I25" t="s" s="72">
        <v>319</v>
      </c>
      <c r="J25" s="73">
        <v>21</v>
      </c>
      <c r="K25" t="s" s="72">
        <v>136</v>
      </c>
      <c r="L25" t="s" s="72">
        <v>121</v>
      </c>
      <c r="M25" s="71"/>
      <c r="N25" s="71"/>
      <c r="O25" s="71"/>
      <c r="P25" s="73">
        <v>3</v>
      </c>
      <c r="Q25" s="74">
        <v>6</v>
      </c>
      <c r="R25" s="74">
        <v>6</v>
      </c>
      <c r="S25" s="73">
        <v>0</v>
      </c>
      <c r="T25" s="73">
        <v>0</v>
      </c>
      <c r="U25" t="s" s="72">
        <v>122</v>
      </c>
      <c r="V25" s="73">
        <v>32</v>
      </c>
      <c r="W25" s="74">
        <v>6.16</v>
      </c>
      <c r="X25" s="74">
        <v>6.14</v>
      </c>
      <c r="Y25" s="73">
        <v>2</v>
      </c>
      <c r="Z25" s="73">
        <v>0</v>
      </c>
      <c r="AA25" t="s" s="72">
        <v>123</v>
      </c>
      <c r="AB25" t="s" s="72">
        <v>124</v>
      </c>
      <c r="AC25" t="s" s="72">
        <v>124</v>
      </c>
      <c r="AD25" t="s" s="75">
        <v>125</v>
      </c>
      <c r="AE25" s="67"/>
    </row>
    <row r="26" ht="15" customHeight="1">
      <c r="A26" t="s" s="83">
        <v>28</v>
      </c>
      <c r="B26" s="76">
        <v>78.5</v>
      </c>
      <c r="C26" t="b" s="77">
        <v>0</v>
      </c>
      <c r="D26" t="s" s="85">
        <v>161</v>
      </c>
      <c r="E26" t="s" s="79">
        <v>320</v>
      </c>
      <c r="F26" t="s" s="79">
        <v>163</v>
      </c>
      <c r="G26" s="80">
        <v>23</v>
      </c>
      <c r="H26" t="s" s="79">
        <v>118</v>
      </c>
      <c r="I26" t="s" s="79">
        <v>321</v>
      </c>
      <c r="J26" s="80">
        <v>21</v>
      </c>
      <c r="K26" t="s" s="79">
        <v>128</v>
      </c>
      <c r="L26" t="s" s="79">
        <v>121</v>
      </c>
      <c r="M26" s="78"/>
      <c r="N26" s="78"/>
      <c r="O26" s="78"/>
      <c r="P26" s="80">
        <v>2</v>
      </c>
      <c r="Q26" s="81">
        <v>6.25</v>
      </c>
      <c r="R26" s="81">
        <v>7.75</v>
      </c>
      <c r="S26" s="80">
        <v>1</v>
      </c>
      <c r="T26" s="80">
        <v>0</v>
      </c>
      <c r="U26" t="s" s="79">
        <v>122</v>
      </c>
      <c r="V26" s="80">
        <v>24</v>
      </c>
      <c r="W26" s="81">
        <v>5.73</v>
      </c>
      <c r="X26" s="81">
        <v>5.73</v>
      </c>
      <c r="Y26" s="80">
        <v>1</v>
      </c>
      <c r="Z26" s="80">
        <v>0</v>
      </c>
      <c r="AA26" t="s" s="79">
        <v>123</v>
      </c>
      <c r="AB26" t="s" s="79">
        <v>124</v>
      </c>
      <c r="AC26" t="s" s="79">
        <v>124</v>
      </c>
      <c r="AD26" t="s" s="82">
        <v>125</v>
      </c>
      <c r="AE26" s="67"/>
    </row>
    <row r="27" ht="15" customHeight="1">
      <c r="A27" t="s" s="83">
        <v>28</v>
      </c>
      <c r="B27" s="69">
        <v>78.5</v>
      </c>
      <c r="C27" t="b" s="70">
        <v>0</v>
      </c>
      <c r="D27" t="s" s="84">
        <v>161</v>
      </c>
      <c r="E27" t="s" s="72">
        <v>322</v>
      </c>
      <c r="F27" t="s" s="72">
        <v>168</v>
      </c>
      <c r="G27" s="73">
        <v>21</v>
      </c>
      <c r="H27" t="s" s="72">
        <v>323</v>
      </c>
      <c r="I27" t="s" s="72">
        <v>324</v>
      </c>
      <c r="J27" s="73">
        <v>21</v>
      </c>
      <c r="K27" t="s" s="72">
        <v>325</v>
      </c>
      <c r="L27" t="s" s="72">
        <v>121</v>
      </c>
      <c r="M27" s="71"/>
      <c r="N27" s="71"/>
      <c r="O27" s="71"/>
      <c r="P27" s="73">
        <v>2</v>
      </c>
      <c r="Q27" s="74">
        <v>6</v>
      </c>
      <c r="R27" s="74">
        <v>7.5</v>
      </c>
      <c r="S27" s="73">
        <v>1</v>
      </c>
      <c r="T27" s="73">
        <v>0</v>
      </c>
      <c r="U27" t="s" s="72">
        <v>122</v>
      </c>
      <c r="V27" s="73">
        <v>36</v>
      </c>
      <c r="W27" s="74">
        <v>6.03</v>
      </c>
      <c r="X27" s="74">
        <v>6.04</v>
      </c>
      <c r="Y27" s="73">
        <v>2</v>
      </c>
      <c r="Z27" s="73">
        <v>0</v>
      </c>
      <c r="AA27" t="s" s="72">
        <v>123</v>
      </c>
      <c r="AB27" t="s" s="72">
        <v>124</v>
      </c>
      <c r="AC27" t="s" s="72">
        <v>124</v>
      </c>
      <c r="AD27" t="s" s="75">
        <v>125</v>
      </c>
      <c r="AE27" s="67"/>
    </row>
    <row r="28" ht="15" customHeight="1">
      <c r="A28" t="s" s="83">
        <v>28</v>
      </c>
      <c r="B28" s="76">
        <v>77.90000000000001</v>
      </c>
      <c r="C28" t="b" s="77">
        <v>0</v>
      </c>
      <c r="D28" s="78"/>
      <c r="E28" t="s" s="79">
        <v>326</v>
      </c>
      <c r="F28" t="s" s="79">
        <v>153</v>
      </c>
      <c r="G28" s="80">
        <v>25</v>
      </c>
      <c r="H28" t="s" s="79">
        <v>118</v>
      </c>
      <c r="I28" t="s" s="79">
        <v>118</v>
      </c>
      <c r="J28" s="80">
        <v>32</v>
      </c>
      <c r="K28" t="s" s="79">
        <v>327</v>
      </c>
      <c r="L28" t="s" s="79">
        <v>328</v>
      </c>
      <c r="M28" s="78"/>
      <c r="N28" s="78"/>
      <c r="O28" s="78"/>
      <c r="P28" s="80">
        <v>2</v>
      </c>
      <c r="Q28" s="81">
        <v>6</v>
      </c>
      <c r="R28" s="81">
        <v>6.5</v>
      </c>
      <c r="S28" s="80">
        <v>0</v>
      </c>
      <c r="T28" s="80">
        <v>1</v>
      </c>
      <c r="U28" t="s" s="79">
        <v>122</v>
      </c>
      <c r="V28" s="80">
        <v>21</v>
      </c>
      <c r="W28" s="81">
        <v>6.26</v>
      </c>
      <c r="X28" s="81">
        <v>6.48</v>
      </c>
      <c r="Y28" s="80">
        <v>2</v>
      </c>
      <c r="Z28" s="80">
        <v>0</v>
      </c>
      <c r="AA28" t="s" s="79">
        <v>123</v>
      </c>
      <c r="AB28" t="s" s="79">
        <v>124</v>
      </c>
      <c r="AC28" t="s" s="79">
        <v>124</v>
      </c>
      <c r="AD28" t="s" s="82">
        <v>125</v>
      </c>
      <c r="AE28" s="67"/>
    </row>
    <row r="29" ht="15" customHeight="1">
      <c r="A29" t="s" s="83">
        <v>28</v>
      </c>
      <c r="B29" s="69">
        <v>77.5</v>
      </c>
      <c r="C29" t="b" s="70">
        <v>0</v>
      </c>
      <c r="D29" t="s" s="84">
        <v>161</v>
      </c>
      <c r="E29" t="s" s="72">
        <v>329</v>
      </c>
      <c r="F29" t="s" s="72">
        <v>144</v>
      </c>
      <c r="G29" s="73">
        <v>23</v>
      </c>
      <c r="H29" t="s" s="72">
        <v>164</v>
      </c>
      <c r="I29" t="s" s="72">
        <v>330</v>
      </c>
      <c r="J29" s="73">
        <v>26</v>
      </c>
      <c r="K29" t="s" s="72">
        <v>136</v>
      </c>
      <c r="L29" t="s" s="72">
        <v>154</v>
      </c>
      <c r="M29" s="71"/>
      <c r="N29" t="s" s="72">
        <v>311</v>
      </c>
      <c r="O29" s="71"/>
      <c r="P29" s="73">
        <v>1</v>
      </c>
      <c r="Q29" s="74">
        <v>6</v>
      </c>
      <c r="R29" s="74">
        <v>6</v>
      </c>
      <c r="S29" s="73">
        <v>0</v>
      </c>
      <c r="T29" s="73">
        <v>0</v>
      </c>
      <c r="U29" t="s" s="72">
        <v>122</v>
      </c>
      <c r="V29" s="73">
        <v>31</v>
      </c>
      <c r="W29" s="74">
        <v>5.94</v>
      </c>
      <c r="X29" s="74">
        <v>6.03</v>
      </c>
      <c r="Y29" s="73">
        <v>1</v>
      </c>
      <c r="Z29" s="73">
        <v>3</v>
      </c>
      <c r="AA29" t="s" s="72">
        <v>123</v>
      </c>
      <c r="AB29" t="s" s="72">
        <v>124</v>
      </c>
      <c r="AC29" t="s" s="72">
        <v>124</v>
      </c>
      <c r="AD29" t="s" s="75">
        <v>125</v>
      </c>
      <c r="AE29" s="67"/>
    </row>
    <row r="30" ht="15" customHeight="1">
      <c r="A30" t="s" s="83">
        <v>28</v>
      </c>
      <c r="B30" s="76">
        <v>76.7</v>
      </c>
      <c r="C30" t="b" s="77">
        <v>0</v>
      </c>
      <c r="D30" s="78"/>
      <c r="E30" t="s" s="79">
        <v>331</v>
      </c>
      <c r="F30" t="s" s="79">
        <v>193</v>
      </c>
      <c r="G30" s="80">
        <v>20</v>
      </c>
      <c r="H30" t="s" s="79">
        <v>118</v>
      </c>
      <c r="I30" t="s" s="79">
        <v>332</v>
      </c>
      <c r="J30" s="80">
        <v>27</v>
      </c>
      <c r="K30" t="s" s="79">
        <v>128</v>
      </c>
      <c r="L30" t="s" s="79">
        <v>154</v>
      </c>
      <c r="M30" s="78"/>
      <c r="N30" t="s" s="79">
        <v>272</v>
      </c>
      <c r="O30" s="78"/>
      <c r="P30" s="80">
        <v>2</v>
      </c>
      <c r="Q30" s="81">
        <v>5.75</v>
      </c>
      <c r="R30" s="81">
        <v>5.75</v>
      </c>
      <c r="S30" s="80">
        <v>0</v>
      </c>
      <c r="T30" s="80">
        <v>0</v>
      </c>
      <c r="U30" t="s" s="79">
        <v>122</v>
      </c>
      <c r="V30" s="80">
        <v>34</v>
      </c>
      <c r="W30" s="81">
        <v>6.1</v>
      </c>
      <c r="X30" s="81">
        <v>6.13</v>
      </c>
      <c r="Y30" s="80">
        <v>0</v>
      </c>
      <c r="Z30" s="80">
        <v>2</v>
      </c>
      <c r="AA30" t="s" s="79">
        <v>123</v>
      </c>
      <c r="AB30" t="s" s="79">
        <v>124</v>
      </c>
      <c r="AC30" t="s" s="79">
        <v>124</v>
      </c>
      <c r="AD30" t="s" s="82">
        <v>125</v>
      </c>
      <c r="AE30" s="67"/>
    </row>
    <row r="31" ht="15" customHeight="1">
      <c r="A31" t="s" s="83">
        <v>28</v>
      </c>
      <c r="B31" s="69">
        <v>76.3</v>
      </c>
      <c r="C31" t="b" s="70">
        <v>0</v>
      </c>
      <c r="D31" s="71"/>
      <c r="E31" t="s" s="72">
        <v>333</v>
      </c>
      <c r="F31" t="s" s="72">
        <v>159</v>
      </c>
      <c r="G31" s="73">
        <v>24</v>
      </c>
      <c r="H31" t="s" s="72">
        <v>118</v>
      </c>
      <c r="I31" t="s" s="72">
        <v>118</v>
      </c>
      <c r="J31" s="73">
        <v>32</v>
      </c>
      <c r="K31" t="s" s="72">
        <v>334</v>
      </c>
      <c r="L31" t="s" s="72">
        <v>154</v>
      </c>
      <c r="M31" s="71"/>
      <c r="N31" s="71"/>
      <c r="O31" s="71"/>
      <c r="P31" s="73">
        <v>2</v>
      </c>
      <c r="Q31" s="74">
        <v>7</v>
      </c>
      <c r="R31" s="74">
        <v>10</v>
      </c>
      <c r="S31" s="73">
        <v>2</v>
      </c>
      <c r="T31" s="73">
        <v>0</v>
      </c>
      <c r="U31" t="s" s="72">
        <v>122</v>
      </c>
      <c r="V31" s="73">
        <v>26</v>
      </c>
      <c r="W31" s="74">
        <v>5.9</v>
      </c>
      <c r="X31" s="74">
        <v>5.88</v>
      </c>
      <c r="Y31" s="73">
        <v>0</v>
      </c>
      <c r="Z31" s="73">
        <v>2</v>
      </c>
      <c r="AA31" t="s" s="72">
        <v>123</v>
      </c>
      <c r="AB31" t="s" s="72">
        <v>124</v>
      </c>
      <c r="AC31" t="s" s="72">
        <v>124</v>
      </c>
      <c r="AD31" t="s" s="75">
        <v>125</v>
      </c>
      <c r="AE31" s="67"/>
    </row>
    <row r="32" ht="15" customHeight="1">
      <c r="A32" t="s" s="83">
        <v>28</v>
      </c>
      <c r="B32" s="76">
        <v>76.09999999999999</v>
      </c>
      <c r="C32" t="b" s="77">
        <v>0</v>
      </c>
      <c r="D32" s="78"/>
      <c r="E32" t="s" s="79">
        <v>335</v>
      </c>
      <c r="F32" t="s" s="79">
        <v>156</v>
      </c>
      <c r="G32" s="80">
        <v>20</v>
      </c>
      <c r="H32" t="s" s="79">
        <v>118</v>
      </c>
      <c r="I32" t="s" s="79">
        <v>119</v>
      </c>
      <c r="J32" s="80">
        <v>27</v>
      </c>
      <c r="K32" t="s" s="79">
        <v>336</v>
      </c>
      <c r="L32" t="s" s="79">
        <v>154</v>
      </c>
      <c r="M32" s="78"/>
      <c r="N32" s="78"/>
      <c r="O32" s="78"/>
      <c r="P32" s="80">
        <v>3</v>
      </c>
      <c r="Q32" s="81">
        <v>5.33</v>
      </c>
      <c r="R32" s="81">
        <v>5.33</v>
      </c>
      <c r="S32" s="80">
        <v>0</v>
      </c>
      <c r="T32" s="80">
        <v>0</v>
      </c>
      <c r="U32" t="s" s="79">
        <v>122</v>
      </c>
      <c r="V32" s="80">
        <v>36</v>
      </c>
      <c r="W32" s="81">
        <v>6.11</v>
      </c>
      <c r="X32" s="81">
        <v>6.17</v>
      </c>
      <c r="Y32" s="80">
        <v>1</v>
      </c>
      <c r="Z32" s="80">
        <v>0</v>
      </c>
      <c r="AA32" t="s" s="79">
        <v>123</v>
      </c>
      <c r="AB32" t="s" s="79">
        <v>124</v>
      </c>
      <c r="AC32" t="s" s="79">
        <v>124</v>
      </c>
      <c r="AD32" t="s" s="82">
        <v>125</v>
      </c>
      <c r="AE32" s="67"/>
    </row>
    <row r="33" ht="15" customHeight="1">
      <c r="A33" t="s" s="83">
        <v>28</v>
      </c>
      <c r="B33" s="69">
        <v>76.09999999999999</v>
      </c>
      <c r="C33" t="b" s="70">
        <v>0</v>
      </c>
      <c r="D33" s="71"/>
      <c r="E33" t="s" s="72">
        <v>337</v>
      </c>
      <c r="F33" t="s" s="72">
        <v>141</v>
      </c>
      <c r="G33" s="73">
        <v>27</v>
      </c>
      <c r="H33" t="s" s="72">
        <v>118</v>
      </c>
      <c r="I33" t="s" s="72">
        <v>150</v>
      </c>
      <c r="J33" s="73">
        <v>27</v>
      </c>
      <c r="K33" t="s" s="72">
        <v>338</v>
      </c>
      <c r="L33" t="s" s="72">
        <v>121</v>
      </c>
      <c r="M33" s="71"/>
      <c r="N33" s="71"/>
      <c r="O33" s="71"/>
      <c r="P33" s="73">
        <v>3</v>
      </c>
      <c r="Q33" s="74">
        <v>6.33</v>
      </c>
      <c r="R33" s="74">
        <v>6.33</v>
      </c>
      <c r="S33" s="73">
        <v>0</v>
      </c>
      <c r="T33" s="73">
        <v>0</v>
      </c>
      <c r="U33" t="s" s="72">
        <v>122</v>
      </c>
      <c r="V33" s="71"/>
      <c r="W33" s="71"/>
      <c r="X33" s="71"/>
      <c r="Y33" s="71"/>
      <c r="Z33" s="71"/>
      <c r="AA33" s="71"/>
      <c r="AB33" t="s" s="72">
        <v>124</v>
      </c>
      <c r="AC33" t="s" s="72">
        <v>124</v>
      </c>
      <c r="AD33" t="s" s="75">
        <v>125</v>
      </c>
      <c r="AE33" s="67"/>
    </row>
    <row r="34" ht="15" customHeight="1">
      <c r="A34" t="s" s="83">
        <v>28</v>
      </c>
      <c r="B34" s="76">
        <v>74.90000000000001</v>
      </c>
      <c r="C34" t="b" s="77">
        <v>0</v>
      </c>
      <c r="D34" s="78"/>
      <c r="E34" t="s" s="79">
        <v>339</v>
      </c>
      <c r="F34" t="s" s="79">
        <v>134</v>
      </c>
      <c r="G34" s="80">
        <v>32</v>
      </c>
      <c r="H34" t="s" s="79">
        <v>340</v>
      </c>
      <c r="I34" t="s" s="79">
        <v>341</v>
      </c>
      <c r="J34" s="80">
        <v>25</v>
      </c>
      <c r="K34" t="s" s="79">
        <v>342</v>
      </c>
      <c r="L34" t="s" s="79">
        <v>121</v>
      </c>
      <c r="M34" s="78"/>
      <c r="N34" s="78"/>
      <c r="O34" s="78"/>
      <c r="P34" s="80">
        <v>2</v>
      </c>
      <c r="Q34" s="81">
        <v>6.75</v>
      </c>
      <c r="R34" s="81">
        <v>8.25</v>
      </c>
      <c r="S34" s="80">
        <v>1</v>
      </c>
      <c r="T34" s="80">
        <v>0</v>
      </c>
      <c r="U34" t="s" s="79">
        <v>122</v>
      </c>
      <c r="V34" s="80">
        <v>23</v>
      </c>
      <c r="W34" s="81">
        <v>6.2</v>
      </c>
      <c r="X34" s="81">
        <v>6.63</v>
      </c>
      <c r="Y34" s="80">
        <v>3</v>
      </c>
      <c r="Z34" s="80">
        <v>2</v>
      </c>
      <c r="AA34" t="s" s="79">
        <v>123</v>
      </c>
      <c r="AB34" t="s" s="79">
        <v>124</v>
      </c>
      <c r="AC34" t="s" s="79">
        <v>124</v>
      </c>
      <c r="AD34" t="s" s="82">
        <v>125</v>
      </c>
      <c r="AE34" s="67"/>
    </row>
    <row r="35" ht="15" customHeight="1">
      <c r="A35" t="s" s="83">
        <v>28</v>
      </c>
      <c r="B35" s="69">
        <v>73.8</v>
      </c>
      <c r="C35" t="b" s="70">
        <v>0</v>
      </c>
      <c r="D35" t="s" s="84">
        <v>161</v>
      </c>
      <c r="E35" t="s" s="72">
        <v>343</v>
      </c>
      <c r="F35" t="s" s="72">
        <v>134</v>
      </c>
      <c r="G35" s="73">
        <v>26</v>
      </c>
      <c r="H35" t="s" s="72">
        <v>164</v>
      </c>
      <c r="I35" t="s" s="72">
        <v>165</v>
      </c>
      <c r="J35" s="73">
        <v>26</v>
      </c>
      <c r="K35" t="s" s="72">
        <v>344</v>
      </c>
      <c r="L35" t="s" s="72">
        <v>121</v>
      </c>
      <c r="M35" s="71"/>
      <c r="N35" s="71"/>
      <c r="O35" s="71"/>
      <c r="P35" s="73">
        <v>0</v>
      </c>
      <c r="Q35" s="74">
        <v>0</v>
      </c>
      <c r="R35" s="74">
        <v>0</v>
      </c>
      <c r="S35" s="73">
        <v>0</v>
      </c>
      <c r="T35" s="73">
        <v>0</v>
      </c>
      <c r="U35" t="s" s="72">
        <v>122</v>
      </c>
      <c r="V35" s="71"/>
      <c r="W35" s="71"/>
      <c r="X35" s="71"/>
      <c r="Y35" s="71"/>
      <c r="Z35" s="71"/>
      <c r="AA35" s="71"/>
      <c r="AB35" t="s" s="72">
        <v>124</v>
      </c>
      <c r="AC35" t="s" s="72">
        <v>124</v>
      </c>
      <c r="AD35" t="s" s="75">
        <v>125</v>
      </c>
      <c r="AE35" s="67"/>
    </row>
    <row r="36" ht="15" customHeight="1">
      <c r="A36" t="s" s="83">
        <v>28</v>
      </c>
      <c r="B36" s="76">
        <v>73</v>
      </c>
      <c r="C36" t="b" s="77">
        <v>0</v>
      </c>
      <c r="D36" s="78"/>
      <c r="E36" t="s" s="79">
        <v>345</v>
      </c>
      <c r="F36" t="s" s="79">
        <v>144</v>
      </c>
      <c r="G36" s="80">
        <v>21</v>
      </c>
      <c r="H36" t="s" s="79">
        <v>118</v>
      </c>
      <c r="I36" t="s" s="79">
        <v>346</v>
      </c>
      <c r="J36" s="80">
        <v>26</v>
      </c>
      <c r="K36" t="s" s="79">
        <v>197</v>
      </c>
      <c r="L36" t="s" s="79">
        <v>121</v>
      </c>
      <c r="M36" s="78"/>
      <c r="N36" s="78"/>
      <c r="O36" s="78"/>
      <c r="P36" s="80">
        <v>2</v>
      </c>
      <c r="Q36" s="81">
        <v>6</v>
      </c>
      <c r="R36" s="81">
        <v>6</v>
      </c>
      <c r="S36" s="80">
        <v>0</v>
      </c>
      <c r="T36" s="80">
        <v>0</v>
      </c>
      <c r="U36" t="s" s="79">
        <v>122</v>
      </c>
      <c r="V36" s="80">
        <v>16</v>
      </c>
      <c r="W36" s="81">
        <v>6.03</v>
      </c>
      <c r="X36" s="81">
        <v>6.38</v>
      </c>
      <c r="Y36" s="80">
        <v>1</v>
      </c>
      <c r="Z36" s="80">
        <v>4</v>
      </c>
      <c r="AA36" t="s" s="79">
        <v>123</v>
      </c>
      <c r="AB36" t="s" s="79">
        <v>124</v>
      </c>
      <c r="AC36" t="s" s="79">
        <v>124</v>
      </c>
      <c r="AD36" t="s" s="82">
        <v>125</v>
      </c>
      <c r="AE36" s="67"/>
    </row>
    <row r="37" ht="15" customHeight="1">
      <c r="A37" t="s" s="83">
        <v>28</v>
      </c>
      <c r="B37" s="69">
        <v>72.5</v>
      </c>
      <c r="C37" t="b" s="70">
        <v>0</v>
      </c>
      <c r="D37" s="71"/>
      <c r="E37" t="s" s="72">
        <v>347</v>
      </c>
      <c r="F37" t="s" s="72">
        <v>170</v>
      </c>
      <c r="G37" s="73">
        <v>26</v>
      </c>
      <c r="H37" t="s" s="72">
        <v>175</v>
      </c>
      <c r="I37" t="s" s="72">
        <v>348</v>
      </c>
      <c r="J37" s="73">
        <v>27</v>
      </c>
      <c r="K37" t="s" s="72">
        <v>277</v>
      </c>
      <c r="L37" t="s" s="72">
        <v>121</v>
      </c>
      <c r="M37" s="71"/>
      <c r="N37" s="71"/>
      <c r="O37" s="71"/>
      <c r="P37" s="73">
        <v>1</v>
      </c>
      <c r="Q37" s="74">
        <v>5</v>
      </c>
      <c r="R37" s="74">
        <v>5</v>
      </c>
      <c r="S37" s="73">
        <v>0</v>
      </c>
      <c r="T37" s="73">
        <v>0</v>
      </c>
      <c r="U37" t="s" s="72">
        <v>122</v>
      </c>
      <c r="V37" s="73">
        <v>36</v>
      </c>
      <c r="W37" s="74">
        <v>6.07</v>
      </c>
      <c r="X37" s="74">
        <v>6.11</v>
      </c>
      <c r="Y37" s="73">
        <v>1</v>
      </c>
      <c r="Z37" s="73">
        <v>2</v>
      </c>
      <c r="AA37" t="s" s="72">
        <v>123</v>
      </c>
      <c r="AB37" t="s" s="72">
        <v>124</v>
      </c>
      <c r="AC37" t="s" s="72">
        <v>124</v>
      </c>
      <c r="AD37" t="s" s="75">
        <v>125</v>
      </c>
      <c r="AE37" s="67"/>
    </row>
    <row r="38" ht="15" customHeight="1">
      <c r="A38" t="s" s="83">
        <v>28</v>
      </c>
      <c r="B38" s="76">
        <v>70.59999999999999</v>
      </c>
      <c r="C38" t="b" s="77">
        <v>0</v>
      </c>
      <c r="D38" s="78"/>
      <c r="E38" t="s" s="79">
        <v>349</v>
      </c>
      <c r="F38" t="s" s="79">
        <v>168</v>
      </c>
      <c r="G38" s="80">
        <v>20</v>
      </c>
      <c r="H38" t="s" s="79">
        <v>164</v>
      </c>
      <c r="I38" t="s" s="79">
        <v>350</v>
      </c>
      <c r="J38" s="80">
        <v>26</v>
      </c>
      <c r="K38" t="s" s="79">
        <v>128</v>
      </c>
      <c r="L38" t="s" s="79">
        <v>154</v>
      </c>
      <c r="M38" s="78"/>
      <c r="N38" s="78"/>
      <c r="O38" s="78"/>
      <c r="P38" s="80">
        <v>1</v>
      </c>
      <c r="Q38" s="81">
        <v>5.5</v>
      </c>
      <c r="R38" s="81">
        <v>5.5</v>
      </c>
      <c r="S38" s="80">
        <v>0</v>
      </c>
      <c r="T38" s="80">
        <v>0</v>
      </c>
      <c r="U38" t="s" s="79">
        <v>122</v>
      </c>
      <c r="V38" s="80">
        <v>37</v>
      </c>
      <c r="W38" s="81">
        <v>5.93</v>
      </c>
      <c r="X38" s="81">
        <v>5.97</v>
      </c>
      <c r="Y38" s="80">
        <v>0</v>
      </c>
      <c r="Z38" s="80">
        <v>3</v>
      </c>
      <c r="AA38" t="s" s="79">
        <v>123</v>
      </c>
      <c r="AB38" t="s" s="79">
        <v>124</v>
      </c>
      <c r="AC38" t="s" s="79">
        <v>124</v>
      </c>
      <c r="AD38" t="s" s="82">
        <v>125</v>
      </c>
      <c r="AE38" s="67"/>
    </row>
    <row r="39" ht="15" customHeight="1">
      <c r="A39" t="s" s="83">
        <v>28</v>
      </c>
      <c r="B39" s="69">
        <v>70.5</v>
      </c>
      <c r="C39" t="b" s="70">
        <v>0</v>
      </c>
      <c r="D39" s="71"/>
      <c r="E39" t="s" s="72">
        <v>351</v>
      </c>
      <c r="F39" t="s" s="72">
        <v>141</v>
      </c>
      <c r="G39" s="73">
        <v>27</v>
      </c>
      <c r="H39" t="s" s="72">
        <v>352</v>
      </c>
      <c r="I39" t="s" s="72">
        <v>353</v>
      </c>
      <c r="J39" s="73">
        <v>22</v>
      </c>
      <c r="K39" t="s" s="72">
        <v>136</v>
      </c>
      <c r="L39" t="s" s="72">
        <v>154</v>
      </c>
      <c r="M39" s="71"/>
      <c r="N39" s="71"/>
      <c r="O39" s="71"/>
      <c r="P39" s="73">
        <v>3</v>
      </c>
      <c r="Q39" s="74">
        <v>6.33</v>
      </c>
      <c r="R39" s="74">
        <v>6.67</v>
      </c>
      <c r="S39" s="73">
        <v>0</v>
      </c>
      <c r="T39" s="73">
        <v>1</v>
      </c>
      <c r="U39" t="s" s="72">
        <v>122</v>
      </c>
      <c r="V39" s="73">
        <v>26</v>
      </c>
      <c r="W39" s="74">
        <v>6.06</v>
      </c>
      <c r="X39" s="74">
        <v>6.23</v>
      </c>
      <c r="Y39" s="73">
        <v>1</v>
      </c>
      <c r="Z39" s="73">
        <v>3</v>
      </c>
      <c r="AA39" t="s" s="72">
        <v>123</v>
      </c>
      <c r="AB39" t="s" s="72">
        <v>124</v>
      </c>
      <c r="AC39" t="s" s="72">
        <v>124</v>
      </c>
      <c r="AD39" t="s" s="75">
        <v>125</v>
      </c>
      <c r="AE39" s="67"/>
    </row>
    <row r="40" ht="15" customHeight="1">
      <c r="A40" t="s" s="83">
        <v>28</v>
      </c>
      <c r="B40" s="76">
        <v>69.90000000000001</v>
      </c>
      <c r="C40" t="b" s="77">
        <v>0</v>
      </c>
      <c r="D40" s="78"/>
      <c r="E40" t="s" s="79">
        <v>354</v>
      </c>
      <c r="F40" t="s" s="79">
        <v>141</v>
      </c>
      <c r="G40" s="80">
        <v>27</v>
      </c>
      <c r="H40" t="s" s="79">
        <v>175</v>
      </c>
      <c r="I40" t="s" s="79">
        <v>355</v>
      </c>
      <c r="J40" s="80">
        <v>31</v>
      </c>
      <c r="K40" t="s" s="79">
        <v>356</v>
      </c>
      <c r="L40" t="s" s="79">
        <v>154</v>
      </c>
      <c r="M40" s="78"/>
      <c r="N40" s="78"/>
      <c r="O40" s="78"/>
      <c r="P40" s="80">
        <v>1</v>
      </c>
      <c r="Q40" s="81">
        <v>6.5</v>
      </c>
      <c r="R40" s="81">
        <v>6.5</v>
      </c>
      <c r="S40" s="80">
        <v>0</v>
      </c>
      <c r="T40" s="80">
        <v>0</v>
      </c>
      <c r="U40" t="s" s="79">
        <v>122</v>
      </c>
      <c r="V40" s="80">
        <v>30</v>
      </c>
      <c r="W40" s="81">
        <v>6.12</v>
      </c>
      <c r="X40" s="81">
        <v>6.5</v>
      </c>
      <c r="Y40" s="80">
        <v>4</v>
      </c>
      <c r="Z40" s="80">
        <v>1</v>
      </c>
      <c r="AA40" t="s" s="79">
        <v>123</v>
      </c>
      <c r="AB40" t="s" s="79">
        <v>124</v>
      </c>
      <c r="AC40" t="s" s="79">
        <v>124</v>
      </c>
      <c r="AD40" t="s" s="82">
        <v>125</v>
      </c>
      <c r="AE40" s="67"/>
    </row>
    <row r="41" ht="15" customHeight="1">
      <c r="A41" t="s" s="83">
        <v>28</v>
      </c>
      <c r="B41" s="69">
        <v>69.40000000000001</v>
      </c>
      <c r="C41" t="b" s="70">
        <v>0</v>
      </c>
      <c r="D41" s="71"/>
      <c r="E41" t="s" s="72">
        <v>357</v>
      </c>
      <c r="F41" t="s" s="72">
        <v>193</v>
      </c>
      <c r="G41" s="73">
        <v>18</v>
      </c>
      <c r="H41" t="s" s="72">
        <v>118</v>
      </c>
      <c r="I41" t="s" s="72">
        <v>119</v>
      </c>
      <c r="J41" s="73">
        <v>26</v>
      </c>
      <c r="K41" t="s" s="72">
        <v>128</v>
      </c>
      <c r="L41" t="s" s="72">
        <v>121</v>
      </c>
      <c r="M41" s="71"/>
      <c r="N41" s="71"/>
      <c r="O41" s="71"/>
      <c r="P41" s="73">
        <v>2</v>
      </c>
      <c r="Q41" s="74">
        <v>6</v>
      </c>
      <c r="R41" s="74">
        <v>5.75</v>
      </c>
      <c r="S41" s="73">
        <v>0</v>
      </c>
      <c r="T41" s="73">
        <v>0</v>
      </c>
      <c r="U41" t="s" s="72">
        <v>122</v>
      </c>
      <c r="V41" s="73">
        <v>35</v>
      </c>
      <c r="W41" s="74">
        <v>6.01</v>
      </c>
      <c r="X41" s="74">
        <v>6.11</v>
      </c>
      <c r="Y41" s="73">
        <v>2</v>
      </c>
      <c r="Z41" s="73">
        <v>0</v>
      </c>
      <c r="AA41" t="s" s="72">
        <v>123</v>
      </c>
      <c r="AB41" t="s" s="72">
        <v>124</v>
      </c>
      <c r="AC41" t="s" s="72">
        <v>124</v>
      </c>
      <c r="AD41" t="s" s="75">
        <v>125</v>
      </c>
      <c r="AE41" s="67"/>
    </row>
    <row r="42" ht="15" customHeight="1">
      <c r="A42" t="s" s="83">
        <v>28</v>
      </c>
      <c r="B42" s="76">
        <v>69.40000000000001</v>
      </c>
      <c r="C42" t="b" s="77">
        <v>0</v>
      </c>
      <c r="D42" s="78"/>
      <c r="E42" t="s" s="79">
        <v>358</v>
      </c>
      <c r="F42" t="s" s="79">
        <v>138</v>
      </c>
      <c r="G42" s="80">
        <v>20</v>
      </c>
      <c r="H42" t="s" s="79">
        <v>359</v>
      </c>
      <c r="I42" t="s" s="79">
        <v>359</v>
      </c>
      <c r="J42" s="80">
        <v>28</v>
      </c>
      <c r="K42" t="s" s="79">
        <v>230</v>
      </c>
      <c r="L42" t="s" s="79">
        <v>154</v>
      </c>
      <c r="M42" s="78"/>
      <c r="N42" s="78"/>
      <c r="O42" s="78"/>
      <c r="P42" s="80">
        <v>1</v>
      </c>
      <c r="Q42" s="81">
        <v>5.5</v>
      </c>
      <c r="R42" s="81">
        <v>5</v>
      </c>
      <c r="S42" s="80">
        <v>0</v>
      </c>
      <c r="T42" s="80">
        <v>0</v>
      </c>
      <c r="U42" t="s" s="79">
        <v>122</v>
      </c>
      <c r="V42" s="80">
        <v>28</v>
      </c>
      <c r="W42" s="81">
        <v>5.91</v>
      </c>
      <c r="X42" s="81">
        <v>5.93</v>
      </c>
      <c r="Y42" s="80">
        <v>1</v>
      </c>
      <c r="Z42" s="80">
        <v>0</v>
      </c>
      <c r="AA42" t="s" s="79">
        <v>123</v>
      </c>
      <c r="AB42" t="s" s="79">
        <v>124</v>
      </c>
      <c r="AC42" t="s" s="79">
        <v>124</v>
      </c>
      <c r="AD42" t="s" s="82">
        <v>125</v>
      </c>
      <c r="AE42" s="67"/>
    </row>
    <row r="43" ht="15" customHeight="1">
      <c r="A43" t="s" s="83">
        <v>28</v>
      </c>
      <c r="B43" s="69">
        <v>69.09999999999999</v>
      </c>
      <c r="C43" t="b" s="70">
        <v>0</v>
      </c>
      <c r="D43" t="s" s="84">
        <v>178</v>
      </c>
      <c r="E43" t="s" s="72">
        <v>360</v>
      </c>
      <c r="F43" t="s" s="72">
        <v>141</v>
      </c>
      <c r="G43" s="73">
        <v>20</v>
      </c>
      <c r="H43" t="s" s="72">
        <v>361</v>
      </c>
      <c r="I43" t="s" s="72">
        <v>362</v>
      </c>
      <c r="J43" s="73">
        <v>24</v>
      </c>
      <c r="K43" t="s" s="72">
        <v>277</v>
      </c>
      <c r="L43" t="s" s="72">
        <v>121</v>
      </c>
      <c r="M43" s="71"/>
      <c r="N43" s="71"/>
      <c r="O43" s="71"/>
      <c r="P43" s="73">
        <v>3</v>
      </c>
      <c r="Q43" s="74">
        <v>6</v>
      </c>
      <c r="R43" s="74">
        <v>6.33</v>
      </c>
      <c r="S43" s="73">
        <v>0</v>
      </c>
      <c r="T43" s="73">
        <v>1</v>
      </c>
      <c r="U43" t="s" s="72">
        <v>122</v>
      </c>
      <c r="V43" s="71"/>
      <c r="W43" s="71"/>
      <c r="X43" s="71"/>
      <c r="Y43" s="71"/>
      <c r="Z43" s="71"/>
      <c r="AA43" s="71"/>
      <c r="AB43" t="s" s="72">
        <v>124</v>
      </c>
      <c r="AC43" t="s" s="72">
        <v>124</v>
      </c>
      <c r="AD43" t="s" s="75">
        <v>125</v>
      </c>
      <c r="AE43" s="67"/>
    </row>
    <row r="44" ht="15" customHeight="1">
      <c r="A44" t="s" s="83">
        <v>28</v>
      </c>
      <c r="B44" s="76">
        <v>68.90000000000001</v>
      </c>
      <c r="C44" t="b" s="77">
        <v>0</v>
      </c>
      <c r="D44" s="78"/>
      <c r="E44" t="s" s="79">
        <v>363</v>
      </c>
      <c r="F44" t="s" s="79">
        <v>147</v>
      </c>
      <c r="G44" s="80">
        <v>19</v>
      </c>
      <c r="H44" t="s" s="79">
        <v>164</v>
      </c>
      <c r="I44" t="s" s="79">
        <v>364</v>
      </c>
      <c r="J44" s="80">
        <v>31</v>
      </c>
      <c r="K44" t="s" s="79">
        <v>230</v>
      </c>
      <c r="L44" t="s" s="79">
        <v>121</v>
      </c>
      <c r="M44" s="78"/>
      <c r="N44" s="78"/>
      <c r="O44" s="78"/>
      <c r="P44" s="80">
        <v>0</v>
      </c>
      <c r="Q44" s="81">
        <v>0</v>
      </c>
      <c r="R44" s="81">
        <v>0</v>
      </c>
      <c r="S44" s="80">
        <v>0</v>
      </c>
      <c r="T44" s="80">
        <v>0</v>
      </c>
      <c r="U44" t="s" s="79">
        <v>122</v>
      </c>
      <c r="V44" s="80">
        <v>26</v>
      </c>
      <c r="W44" s="81">
        <v>6.02</v>
      </c>
      <c r="X44" s="81">
        <v>6.19</v>
      </c>
      <c r="Y44" s="80">
        <v>2</v>
      </c>
      <c r="Z44" s="80">
        <v>1</v>
      </c>
      <c r="AA44" t="s" s="79">
        <v>123</v>
      </c>
      <c r="AB44" t="s" s="79">
        <v>124</v>
      </c>
      <c r="AC44" t="s" s="79">
        <v>124</v>
      </c>
      <c r="AD44" t="s" s="82">
        <v>125</v>
      </c>
      <c r="AE44" s="67"/>
    </row>
    <row r="45" ht="15" customHeight="1">
      <c r="A45" t="s" s="83">
        <v>28</v>
      </c>
      <c r="B45" s="69">
        <v>68.3</v>
      </c>
      <c r="C45" t="b" s="70">
        <v>0</v>
      </c>
      <c r="D45" s="71"/>
      <c r="E45" t="s" s="72">
        <v>365</v>
      </c>
      <c r="F45" t="s" s="72">
        <v>163</v>
      </c>
      <c r="G45" s="73">
        <v>20</v>
      </c>
      <c r="H45" t="s" s="72">
        <v>164</v>
      </c>
      <c r="I45" t="s" s="72">
        <v>164</v>
      </c>
      <c r="J45" s="73">
        <v>24</v>
      </c>
      <c r="K45" t="s" s="72">
        <v>366</v>
      </c>
      <c r="L45" t="s" s="72">
        <v>121</v>
      </c>
      <c r="M45" s="71"/>
      <c r="N45" s="71"/>
      <c r="O45" s="71"/>
      <c r="P45" s="73">
        <v>0</v>
      </c>
      <c r="Q45" s="74">
        <v>0</v>
      </c>
      <c r="R45" s="74">
        <v>0</v>
      </c>
      <c r="S45" s="73">
        <v>0</v>
      </c>
      <c r="T45" s="73">
        <v>0</v>
      </c>
      <c r="U45" t="s" s="72">
        <v>122</v>
      </c>
      <c r="V45" s="73">
        <v>26</v>
      </c>
      <c r="W45" s="74">
        <v>6.1</v>
      </c>
      <c r="X45" s="74">
        <v>6.21</v>
      </c>
      <c r="Y45" s="73">
        <v>2</v>
      </c>
      <c r="Z45" s="73">
        <v>0</v>
      </c>
      <c r="AA45" t="s" s="72">
        <v>123</v>
      </c>
      <c r="AB45" t="s" s="72">
        <v>124</v>
      </c>
      <c r="AC45" t="s" s="72">
        <v>124</v>
      </c>
      <c r="AD45" t="s" s="75">
        <v>125</v>
      </c>
      <c r="AE45" s="67"/>
    </row>
    <row r="46" ht="15" customHeight="1">
      <c r="A46" t="s" s="83">
        <v>28</v>
      </c>
      <c r="B46" s="76">
        <v>67.59999999999999</v>
      </c>
      <c r="C46" t="b" s="77">
        <v>0</v>
      </c>
      <c r="D46" s="78"/>
      <c r="E46" t="s" s="79">
        <v>367</v>
      </c>
      <c r="F46" t="s" s="79">
        <v>138</v>
      </c>
      <c r="G46" s="80">
        <v>24</v>
      </c>
      <c r="H46" t="s" s="79">
        <v>368</v>
      </c>
      <c r="I46" t="s" s="79">
        <v>369</v>
      </c>
      <c r="J46" s="80">
        <v>27</v>
      </c>
      <c r="K46" t="s" s="79">
        <v>304</v>
      </c>
      <c r="L46" t="s" s="79">
        <v>154</v>
      </c>
      <c r="M46" s="78"/>
      <c r="N46" s="78"/>
      <c r="O46" s="78"/>
      <c r="P46" s="80">
        <v>2</v>
      </c>
      <c r="Q46" s="81">
        <v>6</v>
      </c>
      <c r="R46" s="81">
        <v>6</v>
      </c>
      <c r="S46" s="80">
        <v>0</v>
      </c>
      <c r="T46" s="80">
        <v>0</v>
      </c>
      <c r="U46" t="s" s="79">
        <v>122</v>
      </c>
      <c r="V46" s="80">
        <v>35</v>
      </c>
      <c r="W46" s="81">
        <v>6.04</v>
      </c>
      <c r="X46" s="81">
        <v>6.1</v>
      </c>
      <c r="Y46" s="80">
        <v>1</v>
      </c>
      <c r="Z46" s="80">
        <v>1</v>
      </c>
      <c r="AA46" t="s" s="79">
        <v>123</v>
      </c>
      <c r="AB46" t="s" s="79">
        <v>124</v>
      </c>
      <c r="AC46" t="s" s="79">
        <v>124</v>
      </c>
      <c r="AD46" t="s" s="82">
        <v>125</v>
      </c>
      <c r="AE46" s="67"/>
    </row>
    <row r="47" ht="15" customHeight="1">
      <c r="A47" t="s" s="83">
        <v>28</v>
      </c>
      <c r="B47" s="69">
        <v>67.59999999999999</v>
      </c>
      <c r="C47" t="b" s="70">
        <v>0</v>
      </c>
      <c r="D47" t="s" s="84">
        <v>178</v>
      </c>
      <c r="E47" t="s" s="72">
        <v>370</v>
      </c>
      <c r="F47" t="s" s="72">
        <v>127</v>
      </c>
      <c r="G47" s="73">
        <v>19</v>
      </c>
      <c r="H47" t="s" s="72">
        <v>164</v>
      </c>
      <c r="I47" t="s" s="72">
        <v>371</v>
      </c>
      <c r="J47" s="73">
        <v>22</v>
      </c>
      <c r="K47" t="s" s="72">
        <v>128</v>
      </c>
      <c r="L47" t="s" s="72">
        <v>154</v>
      </c>
      <c r="M47" s="71"/>
      <c r="N47" s="71"/>
      <c r="O47" s="71"/>
      <c r="P47" s="73">
        <v>1</v>
      </c>
      <c r="Q47" s="74">
        <v>5.5</v>
      </c>
      <c r="R47" s="74">
        <v>5.5</v>
      </c>
      <c r="S47" s="73">
        <v>0</v>
      </c>
      <c r="T47" s="73">
        <v>0</v>
      </c>
      <c r="U47" t="s" s="72">
        <v>122</v>
      </c>
      <c r="V47" s="73">
        <v>22</v>
      </c>
      <c r="W47" s="74">
        <v>6.11</v>
      </c>
      <c r="X47" s="74">
        <v>6.18</v>
      </c>
      <c r="Y47" s="73">
        <v>0</v>
      </c>
      <c r="Z47" s="73">
        <v>3</v>
      </c>
      <c r="AA47" t="s" s="72">
        <v>123</v>
      </c>
      <c r="AB47" t="s" s="72">
        <v>124</v>
      </c>
      <c r="AC47" t="s" s="72">
        <v>124</v>
      </c>
      <c r="AD47" t="s" s="75">
        <v>125</v>
      </c>
      <c r="AE47" s="67"/>
    </row>
    <row r="48" ht="15" customHeight="1">
      <c r="A48" t="s" s="83">
        <v>28</v>
      </c>
      <c r="B48" s="76">
        <v>66.8</v>
      </c>
      <c r="C48" t="b" s="77">
        <v>0</v>
      </c>
      <c r="D48" t="s" s="85">
        <v>178</v>
      </c>
      <c r="E48" t="s" s="79">
        <v>372</v>
      </c>
      <c r="F48" t="s" s="79">
        <v>170</v>
      </c>
      <c r="G48" s="80">
        <v>19</v>
      </c>
      <c r="H48" t="s" s="79">
        <v>373</v>
      </c>
      <c r="I48" t="s" s="79">
        <v>374</v>
      </c>
      <c r="J48" s="80">
        <v>21</v>
      </c>
      <c r="K48" t="s" s="79">
        <v>136</v>
      </c>
      <c r="L48" t="s" s="79">
        <v>121</v>
      </c>
      <c r="M48" s="78"/>
      <c r="N48" s="78"/>
      <c r="O48" s="78"/>
      <c r="P48" s="80">
        <v>2</v>
      </c>
      <c r="Q48" s="81">
        <v>5</v>
      </c>
      <c r="R48" s="81">
        <v>4.75</v>
      </c>
      <c r="S48" s="80">
        <v>0</v>
      </c>
      <c r="T48" s="80">
        <v>0</v>
      </c>
      <c r="U48" t="s" s="79">
        <v>122</v>
      </c>
      <c r="V48" s="80">
        <v>1</v>
      </c>
      <c r="W48" s="81">
        <v>5.5</v>
      </c>
      <c r="X48" s="81">
        <v>5</v>
      </c>
      <c r="Y48" s="80">
        <v>0</v>
      </c>
      <c r="Z48" s="80">
        <v>0</v>
      </c>
      <c r="AA48" t="s" s="79">
        <v>123</v>
      </c>
      <c r="AB48" t="s" s="79">
        <v>124</v>
      </c>
      <c r="AC48" t="s" s="79">
        <v>124</v>
      </c>
      <c r="AD48" t="s" s="82">
        <v>125</v>
      </c>
      <c r="AE48" s="67"/>
    </row>
    <row r="49" ht="15" customHeight="1">
      <c r="A49" t="s" s="83">
        <v>28</v>
      </c>
      <c r="B49" s="69">
        <v>66.40000000000001</v>
      </c>
      <c r="C49" t="b" s="70">
        <v>0</v>
      </c>
      <c r="D49" s="71"/>
      <c r="E49" t="s" s="72">
        <v>375</v>
      </c>
      <c r="F49" t="s" s="72">
        <v>130</v>
      </c>
      <c r="G49" s="73">
        <v>21</v>
      </c>
      <c r="H49" t="s" s="72">
        <v>164</v>
      </c>
      <c r="I49" t="s" s="72">
        <v>376</v>
      </c>
      <c r="J49" s="73">
        <v>26</v>
      </c>
      <c r="K49" t="s" s="72">
        <v>128</v>
      </c>
      <c r="L49" t="s" s="72">
        <v>121</v>
      </c>
      <c r="M49" s="71"/>
      <c r="N49" s="71"/>
      <c r="O49" t="s" s="88">
        <v>377</v>
      </c>
      <c r="P49" s="73">
        <v>1</v>
      </c>
      <c r="Q49" s="74">
        <v>6</v>
      </c>
      <c r="R49" s="74">
        <v>6</v>
      </c>
      <c r="S49" s="73">
        <v>0</v>
      </c>
      <c r="T49" s="73">
        <v>0</v>
      </c>
      <c r="U49" t="s" s="72">
        <v>122</v>
      </c>
      <c r="V49" s="73">
        <v>29</v>
      </c>
      <c r="W49" s="74">
        <v>5.91</v>
      </c>
      <c r="X49" s="74">
        <v>5.84</v>
      </c>
      <c r="Y49" s="73">
        <v>0</v>
      </c>
      <c r="Z49" s="73">
        <v>0</v>
      </c>
      <c r="AA49" t="s" s="72">
        <v>123</v>
      </c>
      <c r="AB49" t="s" s="72">
        <v>124</v>
      </c>
      <c r="AC49" t="s" s="72">
        <v>124</v>
      </c>
      <c r="AD49" t="s" s="75">
        <v>125</v>
      </c>
      <c r="AE49" s="67"/>
    </row>
    <row r="50" ht="15" customHeight="1">
      <c r="A50" t="s" s="83">
        <v>28</v>
      </c>
      <c r="B50" s="76">
        <v>65.2</v>
      </c>
      <c r="C50" t="b" s="77">
        <v>0</v>
      </c>
      <c r="D50" s="78"/>
      <c r="E50" t="s" s="79">
        <v>378</v>
      </c>
      <c r="F50" t="s" s="79">
        <v>149</v>
      </c>
      <c r="G50" s="80">
        <v>20</v>
      </c>
      <c r="H50" t="s" s="79">
        <v>164</v>
      </c>
      <c r="I50" t="s" s="79">
        <v>376</v>
      </c>
      <c r="J50" s="80">
        <v>33</v>
      </c>
      <c r="K50" t="s" s="79">
        <v>379</v>
      </c>
      <c r="L50" t="s" s="79">
        <v>121</v>
      </c>
      <c r="M50" s="78"/>
      <c r="N50" s="78"/>
      <c r="O50" t="s" s="88">
        <v>380</v>
      </c>
      <c r="P50" s="80">
        <v>1</v>
      </c>
      <c r="Q50" s="81">
        <v>6</v>
      </c>
      <c r="R50" s="81">
        <v>6</v>
      </c>
      <c r="S50" s="80">
        <v>0</v>
      </c>
      <c r="T50" s="80">
        <v>0</v>
      </c>
      <c r="U50" t="s" s="79">
        <v>122</v>
      </c>
      <c r="V50" s="80">
        <v>33</v>
      </c>
      <c r="W50" s="81">
        <v>5.8</v>
      </c>
      <c r="X50" s="81">
        <v>5.91</v>
      </c>
      <c r="Y50" s="80">
        <v>1</v>
      </c>
      <c r="Z50" s="80">
        <v>2</v>
      </c>
      <c r="AA50" t="s" s="79">
        <v>123</v>
      </c>
      <c r="AB50" t="s" s="79">
        <v>124</v>
      </c>
      <c r="AC50" t="s" s="79">
        <v>124</v>
      </c>
      <c r="AD50" t="s" s="82">
        <v>125</v>
      </c>
      <c r="AE50" s="67"/>
    </row>
    <row r="51" ht="15" customHeight="1">
      <c r="A51" t="s" s="83">
        <v>28</v>
      </c>
      <c r="B51" s="69">
        <v>64.59999999999999</v>
      </c>
      <c r="C51" t="b" s="70">
        <v>0</v>
      </c>
      <c r="D51" t="s" s="84">
        <v>191</v>
      </c>
      <c r="E51" t="s" s="72">
        <v>381</v>
      </c>
      <c r="F51" t="s" s="72">
        <v>134</v>
      </c>
      <c r="G51" s="73">
        <v>23</v>
      </c>
      <c r="H51" t="s" s="72">
        <v>382</v>
      </c>
      <c r="I51" t="s" s="72">
        <v>383</v>
      </c>
      <c r="J51" s="73">
        <v>27</v>
      </c>
      <c r="K51" t="s" s="72">
        <v>277</v>
      </c>
      <c r="L51" t="s" s="72">
        <v>154</v>
      </c>
      <c r="M51" s="71"/>
      <c r="N51" s="71"/>
      <c r="O51" s="71"/>
      <c r="P51" s="73">
        <v>0</v>
      </c>
      <c r="Q51" s="74">
        <v>0</v>
      </c>
      <c r="R51" s="74">
        <v>0</v>
      </c>
      <c r="S51" s="73">
        <v>0</v>
      </c>
      <c r="T51" s="73">
        <v>0</v>
      </c>
      <c r="U51" t="s" s="72">
        <v>122</v>
      </c>
      <c r="V51" s="73">
        <v>28</v>
      </c>
      <c r="W51" s="74">
        <v>6.05</v>
      </c>
      <c r="X51" s="74">
        <v>6.09</v>
      </c>
      <c r="Y51" s="73">
        <v>1</v>
      </c>
      <c r="Z51" s="73">
        <v>1</v>
      </c>
      <c r="AA51" t="s" s="72">
        <v>123</v>
      </c>
      <c r="AB51" t="s" s="72">
        <v>124</v>
      </c>
      <c r="AC51" t="s" s="72">
        <v>124</v>
      </c>
      <c r="AD51" t="s" s="75">
        <v>125</v>
      </c>
      <c r="AE51" s="67"/>
    </row>
    <row r="52" ht="15" customHeight="1">
      <c r="A52" t="s" s="83">
        <v>28</v>
      </c>
      <c r="B52" s="76">
        <v>62.8</v>
      </c>
      <c r="C52" t="b" s="77">
        <v>0</v>
      </c>
      <c r="D52" s="78"/>
      <c r="E52" t="s" s="79">
        <v>384</v>
      </c>
      <c r="F52" t="s" s="79">
        <v>193</v>
      </c>
      <c r="G52" s="80">
        <v>17</v>
      </c>
      <c r="H52" t="s" s="79">
        <v>164</v>
      </c>
      <c r="I52" t="s" s="79">
        <v>364</v>
      </c>
      <c r="J52" s="80">
        <v>33</v>
      </c>
      <c r="K52" t="s" s="79">
        <v>277</v>
      </c>
      <c r="L52" t="s" s="79">
        <v>121</v>
      </c>
      <c r="M52" s="78"/>
      <c r="N52" s="78"/>
      <c r="O52" s="78"/>
      <c r="P52" s="80">
        <v>0</v>
      </c>
      <c r="Q52" s="81">
        <v>0</v>
      </c>
      <c r="R52" s="81">
        <v>0</v>
      </c>
      <c r="S52" s="80">
        <v>0</v>
      </c>
      <c r="T52" s="80">
        <v>0</v>
      </c>
      <c r="U52" t="s" s="79">
        <v>122</v>
      </c>
      <c r="V52" s="80">
        <v>25</v>
      </c>
      <c r="W52" s="81">
        <v>6.18</v>
      </c>
      <c r="X52" s="81">
        <v>6.14</v>
      </c>
      <c r="Y52" s="80">
        <v>1</v>
      </c>
      <c r="Z52" s="80">
        <v>0</v>
      </c>
      <c r="AA52" t="s" s="79">
        <v>123</v>
      </c>
      <c r="AB52" t="s" s="79">
        <v>124</v>
      </c>
      <c r="AC52" t="s" s="79">
        <v>124</v>
      </c>
      <c r="AD52" t="s" s="82">
        <v>125</v>
      </c>
      <c r="AE52" s="67"/>
    </row>
    <row r="53" ht="15" customHeight="1">
      <c r="A53" t="s" s="83">
        <v>28</v>
      </c>
      <c r="B53" s="69">
        <v>62.6</v>
      </c>
      <c r="C53" t="b" s="70">
        <v>0</v>
      </c>
      <c r="D53" s="71"/>
      <c r="E53" t="s" s="72">
        <v>385</v>
      </c>
      <c r="F53" t="s" s="72">
        <v>127</v>
      </c>
      <c r="G53" s="73">
        <v>24</v>
      </c>
      <c r="H53" t="s" s="72">
        <v>175</v>
      </c>
      <c r="I53" t="s" s="72">
        <v>175</v>
      </c>
      <c r="J53" s="73">
        <v>26</v>
      </c>
      <c r="K53" t="s" s="72">
        <v>128</v>
      </c>
      <c r="L53" t="s" s="72">
        <v>121</v>
      </c>
      <c r="M53" s="71"/>
      <c r="N53" s="71"/>
      <c r="O53" s="71"/>
      <c r="P53" s="73">
        <v>0</v>
      </c>
      <c r="Q53" s="74">
        <v>0</v>
      </c>
      <c r="R53" s="74">
        <v>0</v>
      </c>
      <c r="S53" s="73">
        <v>0</v>
      </c>
      <c r="T53" s="73">
        <v>0</v>
      </c>
      <c r="U53" t="s" s="72">
        <v>122</v>
      </c>
      <c r="V53" s="73">
        <v>22</v>
      </c>
      <c r="W53" s="74">
        <v>5.75</v>
      </c>
      <c r="X53" s="74">
        <v>5.75</v>
      </c>
      <c r="Y53" s="73">
        <v>0</v>
      </c>
      <c r="Z53" s="73">
        <v>1</v>
      </c>
      <c r="AA53" t="s" s="72">
        <v>123</v>
      </c>
      <c r="AB53" t="s" s="72">
        <v>124</v>
      </c>
      <c r="AC53" t="s" s="72">
        <v>124</v>
      </c>
      <c r="AD53" t="s" s="75">
        <v>125</v>
      </c>
      <c r="AE53" s="67"/>
    </row>
    <row r="54" ht="15" customHeight="1">
      <c r="A54" t="s" s="83">
        <v>28</v>
      </c>
      <c r="B54" s="76">
        <v>62.5</v>
      </c>
      <c r="C54" t="b" s="77">
        <v>0</v>
      </c>
      <c r="D54" s="78"/>
      <c r="E54" t="s" s="79">
        <v>386</v>
      </c>
      <c r="F54" t="s" s="79">
        <v>159</v>
      </c>
      <c r="G54" s="80">
        <v>17</v>
      </c>
      <c r="H54" t="s" s="79">
        <v>118</v>
      </c>
      <c r="I54" t="s" s="79">
        <v>118</v>
      </c>
      <c r="J54" s="80">
        <v>31</v>
      </c>
      <c r="K54" t="s" s="79">
        <v>387</v>
      </c>
      <c r="L54" t="s" s="79">
        <v>121</v>
      </c>
      <c r="M54" s="78"/>
      <c r="N54" s="78"/>
      <c r="O54" s="78"/>
      <c r="P54" s="80">
        <v>2</v>
      </c>
      <c r="Q54" s="81">
        <v>6.5</v>
      </c>
      <c r="R54" s="81">
        <v>6.5</v>
      </c>
      <c r="S54" s="80">
        <v>0</v>
      </c>
      <c r="T54" s="80">
        <v>0</v>
      </c>
      <c r="U54" t="s" s="79">
        <v>122</v>
      </c>
      <c r="V54" s="80">
        <v>27</v>
      </c>
      <c r="W54" s="81">
        <v>5.94</v>
      </c>
      <c r="X54" s="81">
        <v>6.17</v>
      </c>
      <c r="Y54" s="80">
        <v>2</v>
      </c>
      <c r="Z54" s="80">
        <v>1</v>
      </c>
      <c r="AA54" t="s" s="79">
        <v>123</v>
      </c>
      <c r="AB54" t="s" s="79">
        <v>124</v>
      </c>
      <c r="AC54" t="s" s="79">
        <v>124</v>
      </c>
      <c r="AD54" t="s" s="82">
        <v>125</v>
      </c>
      <c r="AE54" s="67"/>
    </row>
    <row r="55" ht="15" customHeight="1">
      <c r="A55" t="s" s="86">
        <v>30</v>
      </c>
      <c r="B55" s="69">
        <v>62.1</v>
      </c>
      <c r="C55" t="b" s="70">
        <v>0</v>
      </c>
      <c r="D55" s="71"/>
      <c r="E55" t="s" s="72">
        <v>388</v>
      </c>
      <c r="F55" t="s" s="72">
        <v>127</v>
      </c>
      <c r="G55" s="73">
        <v>18</v>
      </c>
      <c r="H55" t="s" s="72">
        <v>164</v>
      </c>
      <c r="I55" t="s" s="72">
        <v>164</v>
      </c>
      <c r="J55" s="73">
        <v>24</v>
      </c>
      <c r="K55" t="s" s="72">
        <v>206</v>
      </c>
      <c r="L55" t="s" s="72">
        <v>121</v>
      </c>
      <c r="M55" s="71"/>
      <c r="N55" s="71"/>
      <c r="O55" s="71"/>
      <c r="P55" s="73">
        <v>0</v>
      </c>
      <c r="Q55" s="74">
        <v>0</v>
      </c>
      <c r="R55" s="74">
        <v>0</v>
      </c>
      <c r="S55" s="73">
        <v>0</v>
      </c>
      <c r="T55" s="73">
        <v>0</v>
      </c>
      <c r="U55" t="s" s="72">
        <v>122</v>
      </c>
      <c r="V55" s="73">
        <v>28</v>
      </c>
      <c r="W55" s="74">
        <v>6.04</v>
      </c>
      <c r="X55" s="74">
        <v>6.29</v>
      </c>
      <c r="Y55" s="73">
        <v>3</v>
      </c>
      <c r="Z55" s="73">
        <v>0</v>
      </c>
      <c r="AA55" t="s" s="72">
        <v>123</v>
      </c>
      <c r="AB55" t="s" s="72">
        <v>124</v>
      </c>
      <c r="AC55" t="s" s="72">
        <v>124</v>
      </c>
      <c r="AD55" t="s" s="75">
        <v>125</v>
      </c>
      <c r="AE55" s="67"/>
    </row>
    <row r="56" ht="15" customHeight="1">
      <c r="A56" t="s" s="86">
        <v>30</v>
      </c>
      <c r="B56" s="76">
        <v>61.7</v>
      </c>
      <c r="C56" t="b" s="77">
        <v>0</v>
      </c>
      <c r="D56" t="s" s="85">
        <v>161</v>
      </c>
      <c r="E56" t="s" s="79">
        <v>389</v>
      </c>
      <c r="F56" t="s" s="79">
        <v>134</v>
      </c>
      <c r="G56" s="80">
        <v>21</v>
      </c>
      <c r="H56" t="s" s="79">
        <v>390</v>
      </c>
      <c r="I56" t="s" s="79">
        <v>391</v>
      </c>
      <c r="J56" s="80">
        <v>30</v>
      </c>
      <c r="K56" t="s" s="79">
        <v>142</v>
      </c>
      <c r="L56" t="s" s="79">
        <v>121</v>
      </c>
      <c r="M56" s="78"/>
      <c r="N56" s="78"/>
      <c r="O56" s="78"/>
      <c r="P56" s="80">
        <v>1</v>
      </c>
      <c r="Q56" s="81">
        <v>6</v>
      </c>
      <c r="R56" s="81">
        <v>6</v>
      </c>
      <c r="S56" s="80">
        <v>0</v>
      </c>
      <c r="T56" s="80">
        <v>0</v>
      </c>
      <c r="U56" t="s" s="79">
        <v>122</v>
      </c>
      <c r="V56" s="80">
        <v>1</v>
      </c>
      <c r="W56" s="81">
        <v>6.5</v>
      </c>
      <c r="X56" s="81">
        <v>6.5</v>
      </c>
      <c r="Y56" s="80">
        <v>0</v>
      </c>
      <c r="Z56" s="80">
        <v>0</v>
      </c>
      <c r="AA56" t="s" s="79">
        <v>123</v>
      </c>
      <c r="AB56" t="s" s="79">
        <v>124</v>
      </c>
      <c r="AC56" t="s" s="79">
        <v>124</v>
      </c>
      <c r="AD56" t="s" s="82">
        <v>125</v>
      </c>
      <c r="AE56" s="67"/>
    </row>
    <row r="57" ht="15" customHeight="1">
      <c r="A57" t="s" s="86">
        <v>30</v>
      </c>
      <c r="B57" s="69">
        <v>61.6</v>
      </c>
      <c r="C57" t="b" s="70">
        <v>0</v>
      </c>
      <c r="D57" s="71"/>
      <c r="E57" t="s" s="72">
        <v>392</v>
      </c>
      <c r="F57" t="s" s="72">
        <v>130</v>
      </c>
      <c r="G57" s="73">
        <v>20</v>
      </c>
      <c r="H57" t="s" s="72">
        <v>175</v>
      </c>
      <c r="I57" t="s" s="72">
        <v>393</v>
      </c>
      <c r="J57" s="73">
        <v>20</v>
      </c>
      <c r="K57" t="s" s="72">
        <v>128</v>
      </c>
      <c r="L57" t="s" s="72">
        <v>154</v>
      </c>
      <c r="M57" s="71"/>
      <c r="N57" s="71"/>
      <c r="O57" s="71"/>
      <c r="P57" s="73">
        <v>2</v>
      </c>
      <c r="Q57" s="74">
        <v>6</v>
      </c>
      <c r="R57" s="74">
        <v>6</v>
      </c>
      <c r="S57" s="73">
        <v>0</v>
      </c>
      <c r="T57" s="73">
        <v>0</v>
      </c>
      <c r="U57" t="s" s="72">
        <v>122</v>
      </c>
      <c r="V57" s="73">
        <v>31</v>
      </c>
      <c r="W57" s="74">
        <v>6</v>
      </c>
      <c r="X57" s="74">
        <v>6.08</v>
      </c>
      <c r="Y57" s="73">
        <v>2</v>
      </c>
      <c r="Z57" s="73">
        <v>0</v>
      </c>
      <c r="AA57" t="s" s="72">
        <v>123</v>
      </c>
      <c r="AB57" t="s" s="72">
        <v>124</v>
      </c>
      <c r="AC57" t="s" s="72">
        <v>124</v>
      </c>
      <c r="AD57" t="s" s="75">
        <v>125</v>
      </c>
      <c r="AE57" s="67"/>
    </row>
    <row r="58" ht="15" customHeight="1">
      <c r="A58" t="s" s="86">
        <v>30</v>
      </c>
      <c r="B58" s="76">
        <v>61.2</v>
      </c>
      <c r="C58" t="b" s="77">
        <v>0</v>
      </c>
      <c r="D58" t="s" s="85">
        <v>191</v>
      </c>
      <c r="E58" t="s" s="79">
        <v>394</v>
      </c>
      <c r="F58" t="s" s="79">
        <v>149</v>
      </c>
      <c r="G58" s="80">
        <v>18</v>
      </c>
      <c r="H58" t="s" s="79">
        <v>164</v>
      </c>
      <c r="I58" t="s" s="79">
        <v>315</v>
      </c>
      <c r="J58" s="80">
        <v>26</v>
      </c>
      <c r="K58" t="s" s="79">
        <v>395</v>
      </c>
      <c r="L58" t="s" s="79">
        <v>121</v>
      </c>
      <c r="M58" s="78"/>
      <c r="N58" s="78"/>
      <c r="O58" s="78"/>
      <c r="P58" s="80">
        <v>0</v>
      </c>
      <c r="Q58" s="81">
        <v>0</v>
      </c>
      <c r="R58" s="81">
        <v>0</v>
      </c>
      <c r="S58" s="80">
        <v>0</v>
      </c>
      <c r="T58" s="80">
        <v>0</v>
      </c>
      <c r="U58" t="s" s="79">
        <v>122</v>
      </c>
      <c r="V58" s="78"/>
      <c r="W58" s="78"/>
      <c r="X58" s="78"/>
      <c r="Y58" s="78"/>
      <c r="Z58" s="78"/>
      <c r="AA58" s="78"/>
      <c r="AB58" t="s" s="79">
        <v>124</v>
      </c>
      <c r="AC58" t="s" s="79">
        <v>124</v>
      </c>
      <c r="AD58" t="s" s="82">
        <v>125</v>
      </c>
      <c r="AE58" s="67"/>
    </row>
    <row r="59" ht="15" customHeight="1">
      <c r="A59" t="s" s="86">
        <v>30</v>
      </c>
      <c r="B59" s="69">
        <v>60.5</v>
      </c>
      <c r="C59" t="b" s="70">
        <v>0</v>
      </c>
      <c r="D59" s="71"/>
      <c r="E59" t="s" s="72">
        <v>396</v>
      </c>
      <c r="F59" t="s" s="72">
        <v>144</v>
      </c>
      <c r="G59" s="73">
        <v>19</v>
      </c>
      <c r="H59" t="s" s="72">
        <v>397</v>
      </c>
      <c r="I59" t="s" s="72">
        <v>398</v>
      </c>
      <c r="J59" s="73">
        <v>26</v>
      </c>
      <c r="K59" t="s" s="72">
        <v>399</v>
      </c>
      <c r="L59" t="s" s="72">
        <v>154</v>
      </c>
      <c r="M59" s="71"/>
      <c r="N59" s="71"/>
      <c r="O59" s="71"/>
      <c r="P59" s="73">
        <v>0</v>
      </c>
      <c r="Q59" s="74">
        <v>0</v>
      </c>
      <c r="R59" s="74">
        <v>0</v>
      </c>
      <c r="S59" s="73">
        <v>0</v>
      </c>
      <c r="T59" s="73">
        <v>0</v>
      </c>
      <c r="U59" t="s" s="72">
        <v>122</v>
      </c>
      <c r="V59" s="71"/>
      <c r="W59" s="71"/>
      <c r="X59" s="71"/>
      <c r="Y59" s="71"/>
      <c r="Z59" s="71"/>
      <c r="AA59" s="71"/>
      <c r="AB59" t="s" s="72">
        <v>124</v>
      </c>
      <c r="AC59" t="s" s="72">
        <v>124</v>
      </c>
      <c r="AD59" t="s" s="75">
        <v>125</v>
      </c>
      <c r="AE59" s="67"/>
    </row>
    <row r="60" ht="15" customHeight="1">
      <c r="A60" t="s" s="86">
        <v>30</v>
      </c>
      <c r="B60" s="76">
        <v>60.5</v>
      </c>
      <c r="C60" t="b" s="77">
        <v>0</v>
      </c>
      <c r="D60" s="78"/>
      <c r="E60" t="s" s="79">
        <v>400</v>
      </c>
      <c r="F60" t="s" s="79">
        <v>153</v>
      </c>
      <c r="G60" s="80">
        <v>19</v>
      </c>
      <c r="H60" t="s" s="79">
        <v>164</v>
      </c>
      <c r="I60" t="s" s="79">
        <v>401</v>
      </c>
      <c r="J60" s="80">
        <v>25</v>
      </c>
      <c r="K60" t="s" s="79">
        <v>288</v>
      </c>
      <c r="L60" t="s" s="79">
        <v>154</v>
      </c>
      <c r="M60" s="78"/>
      <c r="N60" s="78"/>
      <c r="O60" s="78"/>
      <c r="P60" s="80">
        <v>0</v>
      </c>
      <c r="Q60" s="81">
        <v>0</v>
      </c>
      <c r="R60" s="81">
        <v>0</v>
      </c>
      <c r="S60" s="80">
        <v>0</v>
      </c>
      <c r="T60" s="80">
        <v>0</v>
      </c>
      <c r="U60" t="s" s="79">
        <v>122</v>
      </c>
      <c r="V60" s="78"/>
      <c r="W60" s="78"/>
      <c r="X60" s="78"/>
      <c r="Y60" s="78"/>
      <c r="Z60" s="78"/>
      <c r="AA60" s="78"/>
      <c r="AB60" t="s" s="79">
        <v>124</v>
      </c>
      <c r="AC60" t="s" s="79">
        <v>124</v>
      </c>
      <c r="AD60" t="s" s="82">
        <v>125</v>
      </c>
      <c r="AE60" s="67"/>
    </row>
    <row r="61" ht="15" customHeight="1">
      <c r="A61" t="s" s="86">
        <v>30</v>
      </c>
      <c r="B61" s="69">
        <v>60.2</v>
      </c>
      <c r="C61" t="b" s="70">
        <v>0</v>
      </c>
      <c r="D61" s="71"/>
      <c r="E61" t="s" s="72">
        <v>402</v>
      </c>
      <c r="F61" t="s" s="72">
        <v>149</v>
      </c>
      <c r="G61" s="73">
        <v>18</v>
      </c>
      <c r="H61" t="s" s="72">
        <v>118</v>
      </c>
      <c r="I61" t="s" s="72">
        <v>150</v>
      </c>
      <c r="J61" s="73">
        <v>30</v>
      </c>
      <c r="K61" t="s" s="72">
        <v>136</v>
      </c>
      <c r="L61" t="s" s="72">
        <v>154</v>
      </c>
      <c r="M61" s="71"/>
      <c r="N61" s="71"/>
      <c r="O61" s="71"/>
      <c r="P61" s="73">
        <v>2</v>
      </c>
      <c r="Q61" s="74">
        <v>6</v>
      </c>
      <c r="R61" s="74">
        <v>6</v>
      </c>
      <c r="S61" s="73">
        <v>0</v>
      </c>
      <c r="T61" s="73">
        <v>0</v>
      </c>
      <c r="U61" t="s" s="72">
        <v>122</v>
      </c>
      <c r="V61" s="71"/>
      <c r="W61" s="71"/>
      <c r="X61" s="71"/>
      <c r="Y61" s="71"/>
      <c r="Z61" s="71"/>
      <c r="AA61" s="71"/>
      <c r="AB61" t="s" s="72">
        <v>124</v>
      </c>
      <c r="AC61" t="s" s="72">
        <v>124</v>
      </c>
      <c r="AD61" t="s" s="75">
        <v>125</v>
      </c>
      <c r="AE61" s="67"/>
    </row>
    <row r="62" ht="15" customHeight="1">
      <c r="A62" t="s" s="86">
        <v>30</v>
      </c>
      <c r="B62" s="76">
        <v>59.6</v>
      </c>
      <c r="C62" t="b" s="77">
        <v>0</v>
      </c>
      <c r="D62" s="78"/>
      <c r="E62" t="s" s="79">
        <v>403</v>
      </c>
      <c r="F62" t="s" s="79">
        <v>163</v>
      </c>
      <c r="G62" s="80">
        <v>16</v>
      </c>
      <c r="H62" t="s" s="79">
        <v>118</v>
      </c>
      <c r="I62" t="s" s="79">
        <v>118</v>
      </c>
      <c r="J62" s="80">
        <v>27</v>
      </c>
      <c r="K62" t="s" s="79">
        <v>404</v>
      </c>
      <c r="L62" t="s" s="79">
        <v>121</v>
      </c>
      <c r="M62" s="78"/>
      <c r="N62" s="78"/>
      <c r="O62" s="78"/>
      <c r="P62" s="80">
        <v>2</v>
      </c>
      <c r="Q62" s="81">
        <v>5.5</v>
      </c>
      <c r="R62" s="81">
        <v>5.5</v>
      </c>
      <c r="S62" s="80">
        <v>0</v>
      </c>
      <c r="T62" s="80">
        <v>0</v>
      </c>
      <c r="U62" t="s" s="79">
        <v>122</v>
      </c>
      <c r="V62" s="80">
        <v>35</v>
      </c>
      <c r="W62" s="81">
        <v>5.89</v>
      </c>
      <c r="X62" s="81">
        <v>5.96</v>
      </c>
      <c r="Y62" s="80">
        <v>1</v>
      </c>
      <c r="Z62" s="80">
        <v>1</v>
      </c>
      <c r="AA62" t="s" s="79">
        <v>123</v>
      </c>
      <c r="AB62" t="s" s="79">
        <v>124</v>
      </c>
      <c r="AC62" t="s" s="79">
        <v>124</v>
      </c>
      <c r="AD62" t="s" s="82">
        <v>125</v>
      </c>
      <c r="AE62" s="67"/>
    </row>
    <row r="63" ht="15" customHeight="1">
      <c r="A63" t="s" s="86">
        <v>30</v>
      </c>
      <c r="B63" s="69">
        <v>59.3</v>
      </c>
      <c r="C63" t="b" s="70">
        <v>0</v>
      </c>
      <c r="D63" s="71"/>
      <c r="E63" t="s" s="72">
        <v>405</v>
      </c>
      <c r="F63" t="s" s="72">
        <v>147</v>
      </c>
      <c r="G63" s="73">
        <v>16</v>
      </c>
      <c r="H63" t="s" s="72">
        <v>118</v>
      </c>
      <c r="I63" t="s" s="72">
        <v>131</v>
      </c>
      <c r="J63" s="73">
        <v>24</v>
      </c>
      <c r="K63" t="s" s="72">
        <v>406</v>
      </c>
      <c r="L63" t="s" s="72">
        <v>154</v>
      </c>
      <c r="M63" s="71"/>
      <c r="N63" s="71"/>
      <c r="O63" s="71"/>
      <c r="P63" s="73">
        <v>2</v>
      </c>
      <c r="Q63" s="74">
        <v>6</v>
      </c>
      <c r="R63" s="74">
        <v>6</v>
      </c>
      <c r="S63" s="73">
        <v>0</v>
      </c>
      <c r="T63" s="73">
        <v>0</v>
      </c>
      <c r="U63" t="s" s="72">
        <v>122</v>
      </c>
      <c r="V63" s="73">
        <v>34</v>
      </c>
      <c r="W63" s="74">
        <v>5.97</v>
      </c>
      <c r="X63" s="74">
        <v>5.91</v>
      </c>
      <c r="Y63" s="73">
        <v>0</v>
      </c>
      <c r="Z63" s="73">
        <v>3</v>
      </c>
      <c r="AA63" t="s" s="72">
        <v>123</v>
      </c>
      <c r="AB63" t="s" s="72">
        <v>124</v>
      </c>
      <c r="AC63" t="s" s="72">
        <v>124</v>
      </c>
      <c r="AD63" t="s" s="75">
        <v>125</v>
      </c>
      <c r="AE63" s="67"/>
    </row>
    <row r="64" ht="15" customHeight="1">
      <c r="A64" t="s" s="86">
        <v>30</v>
      </c>
      <c r="B64" s="76">
        <v>59.3</v>
      </c>
      <c r="C64" t="b" s="77">
        <v>0</v>
      </c>
      <c r="D64" t="s" s="85">
        <v>191</v>
      </c>
      <c r="E64" t="s" s="79">
        <v>407</v>
      </c>
      <c r="F64" t="s" s="79">
        <v>117</v>
      </c>
      <c r="G64" s="80">
        <v>22</v>
      </c>
      <c r="H64" t="s" s="79">
        <v>175</v>
      </c>
      <c r="I64" t="s" s="79">
        <v>408</v>
      </c>
      <c r="J64" s="80">
        <v>27</v>
      </c>
      <c r="K64" t="s" s="79">
        <v>316</v>
      </c>
      <c r="L64" t="s" s="79">
        <v>121</v>
      </c>
      <c r="M64" s="78"/>
      <c r="N64" s="78"/>
      <c r="O64" s="78"/>
      <c r="P64" s="80">
        <v>0</v>
      </c>
      <c r="Q64" s="81">
        <v>0</v>
      </c>
      <c r="R64" s="81">
        <v>0</v>
      </c>
      <c r="S64" s="80">
        <v>0</v>
      </c>
      <c r="T64" s="80">
        <v>0</v>
      </c>
      <c r="U64" t="s" s="79">
        <v>122</v>
      </c>
      <c r="V64" s="78"/>
      <c r="W64" s="78"/>
      <c r="X64" s="78"/>
      <c r="Y64" s="78"/>
      <c r="Z64" s="78"/>
      <c r="AA64" s="78"/>
      <c r="AB64" t="s" s="79">
        <v>124</v>
      </c>
      <c r="AC64" t="s" s="79">
        <v>124</v>
      </c>
      <c r="AD64" t="s" s="82">
        <v>125</v>
      </c>
      <c r="AE64" s="67"/>
    </row>
    <row r="65" ht="15" customHeight="1">
      <c r="A65" t="s" s="86">
        <v>30</v>
      </c>
      <c r="B65" s="69">
        <v>58.6</v>
      </c>
      <c r="C65" t="b" s="70">
        <v>0</v>
      </c>
      <c r="D65" s="71"/>
      <c r="E65" t="s" s="72">
        <v>409</v>
      </c>
      <c r="F65" t="s" s="72">
        <v>127</v>
      </c>
      <c r="G65" s="73">
        <v>24</v>
      </c>
      <c r="H65" t="s" s="72">
        <v>175</v>
      </c>
      <c r="I65" t="s" s="72">
        <v>266</v>
      </c>
      <c r="J65" s="73">
        <v>27</v>
      </c>
      <c r="K65" t="s" s="72">
        <v>410</v>
      </c>
      <c r="L65" t="s" s="72">
        <v>121</v>
      </c>
      <c r="M65" s="71"/>
      <c r="N65" s="71"/>
      <c r="O65" t="s" s="88">
        <v>380</v>
      </c>
      <c r="P65" s="73">
        <v>0</v>
      </c>
      <c r="Q65" s="74">
        <v>0</v>
      </c>
      <c r="R65" s="74">
        <v>0</v>
      </c>
      <c r="S65" s="73">
        <v>0</v>
      </c>
      <c r="T65" s="73">
        <v>0</v>
      </c>
      <c r="U65" t="s" s="72">
        <v>122</v>
      </c>
      <c r="V65" s="73">
        <v>28</v>
      </c>
      <c r="W65" s="74">
        <v>6.02</v>
      </c>
      <c r="X65" s="74">
        <v>5.96</v>
      </c>
      <c r="Y65" s="73">
        <v>1</v>
      </c>
      <c r="Z65" s="73">
        <v>0</v>
      </c>
      <c r="AA65" t="s" s="72">
        <v>123</v>
      </c>
      <c r="AB65" t="s" s="72">
        <v>124</v>
      </c>
      <c r="AC65" t="s" s="72">
        <v>124</v>
      </c>
      <c r="AD65" t="s" s="75">
        <v>125</v>
      </c>
      <c r="AE65" s="67"/>
    </row>
    <row r="66" ht="15" customHeight="1">
      <c r="A66" t="s" s="86">
        <v>30</v>
      </c>
      <c r="B66" s="76">
        <v>58.3</v>
      </c>
      <c r="C66" t="b" s="77">
        <v>0</v>
      </c>
      <c r="D66" s="78"/>
      <c r="E66" t="s" s="79">
        <v>411</v>
      </c>
      <c r="F66" t="s" s="79">
        <v>138</v>
      </c>
      <c r="G66" s="80">
        <v>19</v>
      </c>
      <c r="H66" t="s" s="79">
        <v>175</v>
      </c>
      <c r="I66" t="s" s="79">
        <v>200</v>
      </c>
      <c r="J66" s="80">
        <v>29</v>
      </c>
      <c r="K66" t="s" s="79">
        <v>412</v>
      </c>
      <c r="L66" t="s" s="79">
        <v>121</v>
      </c>
      <c r="M66" s="78"/>
      <c r="N66" s="78"/>
      <c r="O66" s="78"/>
      <c r="P66" s="80">
        <v>2</v>
      </c>
      <c r="Q66" s="81">
        <v>6</v>
      </c>
      <c r="R66" s="81">
        <v>5.75</v>
      </c>
      <c r="S66" s="80">
        <v>0</v>
      </c>
      <c r="T66" s="80">
        <v>0</v>
      </c>
      <c r="U66" t="s" s="79">
        <v>122</v>
      </c>
      <c r="V66" s="80">
        <v>32</v>
      </c>
      <c r="W66" s="81">
        <v>6.08</v>
      </c>
      <c r="X66" s="81">
        <v>6.17</v>
      </c>
      <c r="Y66" s="80">
        <v>1</v>
      </c>
      <c r="Z66" s="80">
        <v>2</v>
      </c>
      <c r="AA66" t="s" s="79">
        <v>123</v>
      </c>
      <c r="AB66" t="s" s="79">
        <v>124</v>
      </c>
      <c r="AC66" t="s" s="79">
        <v>124</v>
      </c>
      <c r="AD66" t="s" s="82">
        <v>125</v>
      </c>
      <c r="AE66" s="67"/>
    </row>
    <row r="67" ht="15" customHeight="1">
      <c r="A67" t="s" s="86">
        <v>30</v>
      </c>
      <c r="B67" s="69">
        <v>57.7</v>
      </c>
      <c r="C67" t="b" s="70">
        <v>0</v>
      </c>
      <c r="D67" s="71"/>
      <c r="E67" t="s" s="72">
        <v>413</v>
      </c>
      <c r="F67" t="s" s="72">
        <v>149</v>
      </c>
      <c r="G67" s="73">
        <v>16</v>
      </c>
      <c r="H67" t="s" s="72">
        <v>118</v>
      </c>
      <c r="I67" t="s" s="72">
        <v>118</v>
      </c>
      <c r="J67" s="73">
        <v>23</v>
      </c>
      <c r="K67" t="s" s="72">
        <v>206</v>
      </c>
      <c r="L67" t="s" s="72">
        <v>154</v>
      </c>
      <c r="M67" s="71"/>
      <c r="N67" s="71"/>
      <c r="O67" s="71"/>
      <c r="P67" s="73">
        <v>2</v>
      </c>
      <c r="Q67" s="74">
        <v>6.25</v>
      </c>
      <c r="R67" s="74">
        <v>6</v>
      </c>
      <c r="S67" s="73">
        <v>0</v>
      </c>
      <c r="T67" s="73">
        <v>0</v>
      </c>
      <c r="U67" t="s" s="72">
        <v>122</v>
      </c>
      <c r="V67" s="73">
        <v>23</v>
      </c>
      <c r="W67" s="74">
        <v>5.91</v>
      </c>
      <c r="X67" s="74">
        <v>5.85</v>
      </c>
      <c r="Y67" s="73">
        <v>0</v>
      </c>
      <c r="Z67" s="73">
        <v>0</v>
      </c>
      <c r="AA67" t="s" s="72">
        <v>123</v>
      </c>
      <c r="AB67" t="s" s="72">
        <v>124</v>
      </c>
      <c r="AC67" t="s" s="72">
        <v>124</v>
      </c>
      <c r="AD67" t="s" s="75">
        <v>125</v>
      </c>
      <c r="AE67" s="67"/>
    </row>
    <row r="68" ht="15" customHeight="1">
      <c r="A68" t="s" s="86">
        <v>30</v>
      </c>
      <c r="B68" s="76">
        <v>57.5</v>
      </c>
      <c r="C68" t="b" s="77">
        <v>0</v>
      </c>
      <c r="D68" t="s" s="85">
        <v>191</v>
      </c>
      <c r="E68" t="s" s="79">
        <v>414</v>
      </c>
      <c r="F68" t="s" s="79">
        <v>149</v>
      </c>
      <c r="G68" s="80">
        <v>19</v>
      </c>
      <c r="H68" t="s" s="79">
        <v>175</v>
      </c>
      <c r="I68" t="s" s="79">
        <v>415</v>
      </c>
      <c r="J68" s="80">
        <v>28</v>
      </c>
      <c r="K68" t="s" s="79">
        <v>416</v>
      </c>
      <c r="L68" t="s" s="79">
        <v>121</v>
      </c>
      <c r="M68" s="78"/>
      <c r="N68" s="78"/>
      <c r="O68" s="78"/>
      <c r="P68" s="80">
        <v>2</v>
      </c>
      <c r="Q68" s="81">
        <v>6.25</v>
      </c>
      <c r="R68" s="81">
        <v>6.25</v>
      </c>
      <c r="S68" s="80">
        <v>0</v>
      </c>
      <c r="T68" s="80">
        <v>0</v>
      </c>
      <c r="U68" t="s" s="79">
        <v>122</v>
      </c>
      <c r="V68" s="78"/>
      <c r="W68" s="78"/>
      <c r="X68" s="78"/>
      <c r="Y68" s="78"/>
      <c r="Z68" s="78"/>
      <c r="AA68" s="78"/>
      <c r="AB68" t="s" s="79">
        <v>124</v>
      </c>
      <c r="AC68" t="s" s="79">
        <v>124</v>
      </c>
      <c r="AD68" t="s" s="82">
        <v>125</v>
      </c>
      <c r="AE68" s="67"/>
    </row>
    <row r="69" ht="15" customHeight="1">
      <c r="A69" t="s" s="86">
        <v>30</v>
      </c>
      <c r="B69" s="69">
        <v>56.9</v>
      </c>
      <c r="C69" t="b" s="70">
        <v>0</v>
      </c>
      <c r="D69" s="71"/>
      <c r="E69" t="s" s="72">
        <v>417</v>
      </c>
      <c r="F69" t="s" s="72">
        <v>163</v>
      </c>
      <c r="G69" s="73">
        <v>19</v>
      </c>
      <c r="H69" t="s" s="72">
        <v>175</v>
      </c>
      <c r="I69" t="s" s="72">
        <v>175</v>
      </c>
      <c r="J69" s="73">
        <v>29</v>
      </c>
      <c r="K69" t="s" s="72">
        <v>418</v>
      </c>
      <c r="L69" t="s" s="72">
        <v>121</v>
      </c>
      <c r="M69" s="71"/>
      <c r="N69" s="71"/>
      <c r="O69" s="71"/>
      <c r="P69" s="73">
        <v>2</v>
      </c>
      <c r="Q69" s="74">
        <v>6</v>
      </c>
      <c r="R69" s="74">
        <v>6</v>
      </c>
      <c r="S69" s="73">
        <v>0</v>
      </c>
      <c r="T69" s="73">
        <v>0</v>
      </c>
      <c r="U69" t="s" s="72">
        <v>122</v>
      </c>
      <c r="V69" s="73">
        <v>24</v>
      </c>
      <c r="W69" s="74">
        <v>5.96</v>
      </c>
      <c r="X69" s="74">
        <v>5.94</v>
      </c>
      <c r="Y69" s="73">
        <v>0</v>
      </c>
      <c r="Z69" s="73">
        <v>2</v>
      </c>
      <c r="AA69" t="s" s="72">
        <v>123</v>
      </c>
      <c r="AB69" t="s" s="72">
        <v>124</v>
      </c>
      <c r="AC69" t="s" s="72">
        <v>124</v>
      </c>
      <c r="AD69" t="s" s="75">
        <v>125</v>
      </c>
      <c r="AE69" s="67"/>
    </row>
    <row r="70" ht="15" customHeight="1">
      <c r="A70" t="s" s="86">
        <v>30</v>
      </c>
      <c r="B70" s="76">
        <v>56</v>
      </c>
      <c r="C70" t="b" s="77">
        <v>0</v>
      </c>
      <c r="D70" s="78"/>
      <c r="E70" t="s" s="79">
        <v>419</v>
      </c>
      <c r="F70" t="s" s="79">
        <v>168</v>
      </c>
      <c r="G70" s="80">
        <v>15</v>
      </c>
      <c r="H70" t="s" s="79">
        <v>118</v>
      </c>
      <c r="I70" t="s" s="79">
        <v>118</v>
      </c>
      <c r="J70" s="80">
        <v>23</v>
      </c>
      <c r="K70" t="s" s="79">
        <v>420</v>
      </c>
      <c r="L70" t="s" s="79">
        <v>121</v>
      </c>
      <c r="M70" s="78"/>
      <c r="N70" s="78"/>
      <c r="O70" s="78"/>
      <c r="P70" s="80">
        <v>2</v>
      </c>
      <c r="Q70" s="81">
        <v>5.75</v>
      </c>
      <c r="R70" s="81">
        <v>6</v>
      </c>
      <c r="S70" s="80">
        <v>0</v>
      </c>
      <c r="T70" s="80">
        <v>1</v>
      </c>
      <c r="U70" t="s" s="79">
        <v>122</v>
      </c>
      <c r="V70" s="80">
        <v>36</v>
      </c>
      <c r="W70" s="81">
        <v>5.86</v>
      </c>
      <c r="X70" s="81">
        <v>5.74</v>
      </c>
      <c r="Y70" s="80">
        <v>0</v>
      </c>
      <c r="Z70" s="80">
        <v>0</v>
      </c>
      <c r="AA70" t="s" s="79">
        <v>123</v>
      </c>
      <c r="AB70" t="s" s="79">
        <v>124</v>
      </c>
      <c r="AC70" t="s" s="79">
        <v>124</v>
      </c>
      <c r="AD70" t="s" s="82">
        <v>125</v>
      </c>
      <c r="AE70" s="67"/>
    </row>
    <row r="71" ht="15" customHeight="1">
      <c r="A71" t="s" s="86">
        <v>30</v>
      </c>
      <c r="B71" s="69">
        <v>55.3</v>
      </c>
      <c r="C71" t="b" s="70">
        <v>0</v>
      </c>
      <c r="D71" t="s" s="84">
        <v>178</v>
      </c>
      <c r="E71" t="s" s="72">
        <v>421</v>
      </c>
      <c r="F71" t="s" s="72">
        <v>170</v>
      </c>
      <c r="G71" s="73">
        <v>16</v>
      </c>
      <c r="H71" t="s" s="72">
        <v>164</v>
      </c>
      <c r="I71" t="s" s="72">
        <v>422</v>
      </c>
      <c r="J71" s="73">
        <v>19</v>
      </c>
      <c r="K71" t="s" s="72">
        <v>136</v>
      </c>
      <c r="L71" t="s" s="72">
        <v>154</v>
      </c>
      <c r="M71" s="71"/>
      <c r="N71" s="71"/>
      <c r="O71" s="71"/>
      <c r="P71" s="73">
        <v>1</v>
      </c>
      <c r="Q71" s="74">
        <v>5.5</v>
      </c>
      <c r="R71" s="74">
        <v>5.5</v>
      </c>
      <c r="S71" s="73">
        <v>0</v>
      </c>
      <c r="T71" s="73">
        <v>0</v>
      </c>
      <c r="U71" t="s" s="72">
        <v>122</v>
      </c>
      <c r="V71" s="71"/>
      <c r="W71" s="71"/>
      <c r="X71" s="71"/>
      <c r="Y71" s="71"/>
      <c r="Z71" s="71"/>
      <c r="AA71" s="71"/>
      <c r="AB71" t="s" s="72">
        <v>124</v>
      </c>
      <c r="AC71" t="s" s="72">
        <v>124</v>
      </c>
      <c r="AD71" t="s" s="75">
        <v>125</v>
      </c>
      <c r="AE71" s="67"/>
    </row>
    <row r="72" ht="15" customHeight="1">
      <c r="A72" t="s" s="86">
        <v>30</v>
      </c>
      <c r="B72" s="76">
        <v>54.8</v>
      </c>
      <c r="C72" t="b" s="77">
        <v>0</v>
      </c>
      <c r="D72" s="78"/>
      <c r="E72" t="s" s="79">
        <v>423</v>
      </c>
      <c r="F72" t="s" s="79">
        <v>170</v>
      </c>
      <c r="G72" s="80">
        <v>16</v>
      </c>
      <c r="H72" t="s" s="79">
        <v>118</v>
      </c>
      <c r="I72" t="s" s="79">
        <v>150</v>
      </c>
      <c r="J72" s="80">
        <v>24</v>
      </c>
      <c r="K72" t="s" s="79">
        <v>257</v>
      </c>
      <c r="L72" t="s" s="79">
        <v>121</v>
      </c>
      <c r="M72" s="78"/>
      <c r="N72" s="78"/>
      <c r="O72" s="78"/>
      <c r="P72" s="80">
        <v>2</v>
      </c>
      <c r="Q72" s="81">
        <v>4</v>
      </c>
      <c r="R72" s="81">
        <v>3.75</v>
      </c>
      <c r="S72" s="80">
        <v>0</v>
      </c>
      <c r="T72" s="80">
        <v>0</v>
      </c>
      <c r="U72" t="s" s="79">
        <v>122</v>
      </c>
      <c r="V72" s="78"/>
      <c r="W72" s="78"/>
      <c r="X72" s="78"/>
      <c r="Y72" s="78"/>
      <c r="Z72" s="78"/>
      <c r="AA72" s="78"/>
      <c r="AB72" t="s" s="79">
        <v>124</v>
      </c>
      <c r="AC72" t="s" s="79">
        <v>124</v>
      </c>
      <c r="AD72" t="s" s="82">
        <v>125</v>
      </c>
      <c r="AE72" s="67"/>
    </row>
    <row r="73" ht="15" customHeight="1">
      <c r="A73" t="s" s="86">
        <v>30</v>
      </c>
      <c r="B73" s="69">
        <v>54.8</v>
      </c>
      <c r="C73" t="b" s="70">
        <v>0</v>
      </c>
      <c r="D73" s="71"/>
      <c r="E73" t="s" s="72">
        <v>424</v>
      </c>
      <c r="F73" t="s" s="72">
        <v>180</v>
      </c>
      <c r="G73" s="73">
        <v>16</v>
      </c>
      <c r="H73" t="s" s="72">
        <v>425</v>
      </c>
      <c r="I73" t="s" s="72">
        <v>426</v>
      </c>
      <c r="J73" s="73">
        <v>27</v>
      </c>
      <c r="K73" t="s" s="72">
        <v>184</v>
      </c>
      <c r="L73" t="s" s="72">
        <v>154</v>
      </c>
      <c r="M73" s="71"/>
      <c r="N73" s="71"/>
      <c r="O73" s="71"/>
      <c r="P73" s="73">
        <v>2</v>
      </c>
      <c r="Q73" s="74">
        <v>5.75</v>
      </c>
      <c r="R73" s="74">
        <v>5.75</v>
      </c>
      <c r="S73" s="73">
        <v>0</v>
      </c>
      <c r="T73" s="73">
        <v>0</v>
      </c>
      <c r="U73" t="s" s="72">
        <v>122</v>
      </c>
      <c r="V73" s="71"/>
      <c r="W73" s="71"/>
      <c r="X73" s="71"/>
      <c r="Y73" s="71"/>
      <c r="Z73" s="71"/>
      <c r="AA73" s="71"/>
      <c r="AB73" t="s" s="72">
        <v>124</v>
      </c>
      <c r="AC73" t="s" s="72">
        <v>124</v>
      </c>
      <c r="AD73" t="s" s="75">
        <v>125</v>
      </c>
      <c r="AE73" s="67"/>
    </row>
    <row r="74" ht="15" customHeight="1">
      <c r="A74" t="s" s="86">
        <v>30</v>
      </c>
      <c r="B74" s="76">
        <v>54.6</v>
      </c>
      <c r="C74" t="b" s="77">
        <v>0</v>
      </c>
      <c r="D74" s="78"/>
      <c r="E74" t="s" s="79">
        <v>427</v>
      </c>
      <c r="F74" t="s" s="79">
        <v>130</v>
      </c>
      <c r="G74" s="80">
        <v>19</v>
      </c>
      <c r="H74" t="s" s="79">
        <v>175</v>
      </c>
      <c r="I74" t="s" s="79">
        <v>200</v>
      </c>
      <c r="J74" s="80">
        <v>28</v>
      </c>
      <c r="K74" t="s" s="79">
        <v>428</v>
      </c>
      <c r="L74" t="s" s="79">
        <v>121</v>
      </c>
      <c r="M74" s="78"/>
      <c r="N74" s="78"/>
      <c r="O74" s="78"/>
      <c r="P74" s="80">
        <v>0</v>
      </c>
      <c r="Q74" s="81">
        <v>0</v>
      </c>
      <c r="R74" s="81">
        <v>0</v>
      </c>
      <c r="S74" s="80">
        <v>0</v>
      </c>
      <c r="T74" s="80">
        <v>0</v>
      </c>
      <c r="U74" t="s" s="79">
        <v>122</v>
      </c>
      <c r="V74" s="80">
        <v>32</v>
      </c>
      <c r="W74" s="81">
        <v>5.92</v>
      </c>
      <c r="X74" s="81">
        <v>5.83</v>
      </c>
      <c r="Y74" s="80">
        <v>0</v>
      </c>
      <c r="Z74" s="80">
        <v>1</v>
      </c>
      <c r="AA74" t="s" s="79">
        <v>123</v>
      </c>
      <c r="AB74" t="s" s="79">
        <v>124</v>
      </c>
      <c r="AC74" t="s" s="79">
        <v>124</v>
      </c>
      <c r="AD74" t="s" s="82">
        <v>125</v>
      </c>
      <c r="AE74" s="67"/>
    </row>
    <row r="75" ht="15" customHeight="1">
      <c r="A75" t="s" s="86">
        <v>30</v>
      </c>
      <c r="B75" s="69">
        <v>54.6</v>
      </c>
      <c r="C75" t="b" s="70">
        <v>0</v>
      </c>
      <c r="D75" s="71"/>
      <c r="E75" t="s" s="72">
        <v>429</v>
      </c>
      <c r="F75" t="s" s="72">
        <v>149</v>
      </c>
      <c r="G75" s="73">
        <v>19</v>
      </c>
      <c r="H75" t="s" s="72">
        <v>175</v>
      </c>
      <c r="I75" t="s" s="72">
        <v>175</v>
      </c>
      <c r="J75" s="73">
        <v>26</v>
      </c>
      <c r="K75" t="s" s="72">
        <v>430</v>
      </c>
      <c r="L75" t="s" s="72">
        <v>154</v>
      </c>
      <c r="M75" s="71"/>
      <c r="N75" s="71"/>
      <c r="O75" s="71"/>
      <c r="P75" s="73">
        <v>1</v>
      </c>
      <c r="Q75" s="74">
        <v>7</v>
      </c>
      <c r="R75" s="74">
        <v>8</v>
      </c>
      <c r="S75" s="73">
        <v>0</v>
      </c>
      <c r="T75" s="73">
        <v>1</v>
      </c>
      <c r="U75" t="s" s="72">
        <v>122</v>
      </c>
      <c r="V75" s="73">
        <v>21</v>
      </c>
      <c r="W75" s="74">
        <v>5.83</v>
      </c>
      <c r="X75" s="74">
        <v>5.71</v>
      </c>
      <c r="Y75" s="73">
        <v>0</v>
      </c>
      <c r="Z75" s="73">
        <v>0</v>
      </c>
      <c r="AA75" t="s" s="72">
        <v>123</v>
      </c>
      <c r="AB75" t="s" s="72">
        <v>124</v>
      </c>
      <c r="AC75" t="s" s="72">
        <v>124</v>
      </c>
      <c r="AD75" t="s" s="75">
        <v>125</v>
      </c>
      <c r="AE75" s="67"/>
    </row>
    <row r="76" ht="15" customHeight="1">
      <c r="A76" t="s" s="86">
        <v>30</v>
      </c>
      <c r="B76" s="76">
        <v>54</v>
      </c>
      <c r="C76" t="b" s="77">
        <v>0</v>
      </c>
      <c r="D76" t="s" s="85">
        <v>178</v>
      </c>
      <c r="E76" t="s" s="79">
        <v>431</v>
      </c>
      <c r="F76" t="s" s="79">
        <v>193</v>
      </c>
      <c r="G76" s="80">
        <v>14</v>
      </c>
      <c r="H76" t="s" s="79">
        <v>118</v>
      </c>
      <c r="I76" t="s" s="79">
        <v>432</v>
      </c>
      <c r="J76" s="80">
        <v>23</v>
      </c>
      <c r="K76" t="s" s="79">
        <v>316</v>
      </c>
      <c r="L76" t="s" s="79">
        <v>328</v>
      </c>
      <c r="M76" s="78"/>
      <c r="N76" s="78"/>
      <c r="O76" s="78"/>
      <c r="P76" s="80">
        <v>2</v>
      </c>
      <c r="Q76" s="81">
        <v>5.5</v>
      </c>
      <c r="R76" s="81">
        <v>5.25</v>
      </c>
      <c r="S76" s="80">
        <v>0</v>
      </c>
      <c r="T76" s="80">
        <v>0</v>
      </c>
      <c r="U76" t="s" s="79">
        <v>122</v>
      </c>
      <c r="V76" s="80">
        <v>21</v>
      </c>
      <c r="W76" s="81">
        <v>5.88</v>
      </c>
      <c r="X76" s="81">
        <v>5.81</v>
      </c>
      <c r="Y76" s="80">
        <v>1</v>
      </c>
      <c r="Z76" s="80">
        <v>0</v>
      </c>
      <c r="AA76" t="s" s="79">
        <v>123</v>
      </c>
      <c r="AB76" t="s" s="79">
        <v>124</v>
      </c>
      <c r="AC76" t="s" s="79">
        <v>124</v>
      </c>
      <c r="AD76" t="s" s="82">
        <v>125</v>
      </c>
      <c r="AE76" s="67"/>
    </row>
    <row r="77" ht="15" customHeight="1">
      <c r="A77" t="s" s="86">
        <v>30</v>
      </c>
      <c r="B77" s="69">
        <v>54</v>
      </c>
      <c r="C77" t="b" s="70">
        <v>0</v>
      </c>
      <c r="D77" s="71"/>
      <c r="E77" t="s" s="72">
        <v>433</v>
      </c>
      <c r="F77" t="s" s="72">
        <v>144</v>
      </c>
      <c r="G77" s="73">
        <v>18</v>
      </c>
      <c r="H77" t="s" s="72">
        <v>175</v>
      </c>
      <c r="I77" t="s" s="72">
        <v>175</v>
      </c>
      <c r="J77" s="73">
        <v>27</v>
      </c>
      <c r="K77" t="s" s="72">
        <v>128</v>
      </c>
      <c r="L77" t="s" s="72">
        <v>121</v>
      </c>
      <c r="M77" s="71"/>
      <c r="N77" s="71"/>
      <c r="O77" s="71"/>
      <c r="P77" s="73">
        <v>2</v>
      </c>
      <c r="Q77" s="74">
        <v>6</v>
      </c>
      <c r="R77" s="74">
        <v>6</v>
      </c>
      <c r="S77" s="73">
        <v>0</v>
      </c>
      <c r="T77" s="73">
        <v>0</v>
      </c>
      <c r="U77" t="s" s="72">
        <v>122</v>
      </c>
      <c r="V77" s="73">
        <v>28</v>
      </c>
      <c r="W77" s="74">
        <v>5.79</v>
      </c>
      <c r="X77" s="74">
        <v>5.82</v>
      </c>
      <c r="Y77" s="73">
        <v>0</v>
      </c>
      <c r="Z77" s="73">
        <v>2</v>
      </c>
      <c r="AA77" t="s" s="72">
        <v>123</v>
      </c>
      <c r="AB77" t="s" s="72">
        <v>124</v>
      </c>
      <c r="AC77" t="s" s="72">
        <v>124</v>
      </c>
      <c r="AD77" t="s" s="75">
        <v>125</v>
      </c>
      <c r="AE77" s="67"/>
    </row>
    <row r="78" ht="15" customHeight="1">
      <c r="A78" t="s" s="86">
        <v>30</v>
      </c>
      <c r="B78" s="76">
        <v>53.4</v>
      </c>
      <c r="C78" t="b" s="77">
        <v>0</v>
      </c>
      <c r="D78" s="78"/>
      <c r="E78" t="s" s="79">
        <v>434</v>
      </c>
      <c r="F78" t="s" s="79">
        <v>159</v>
      </c>
      <c r="G78" s="80">
        <v>15</v>
      </c>
      <c r="H78" t="s" s="79">
        <v>164</v>
      </c>
      <c r="I78" t="s" s="79">
        <v>164</v>
      </c>
      <c r="J78" s="80">
        <v>35</v>
      </c>
      <c r="K78" t="s" s="79">
        <v>435</v>
      </c>
      <c r="L78" t="s" s="79">
        <v>121</v>
      </c>
      <c r="M78" s="78"/>
      <c r="N78" s="78"/>
      <c r="O78" s="78"/>
      <c r="P78" s="80">
        <v>0</v>
      </c>
      <c r="Q78" s="81">
        <v>0</v>
      </c>
      <c r="R78" s="81">
        <v>0</v>
      </c>
      <c r="S78" s="80">
        <v>0</v>
      </c>
      <c r="T78" s="80">
        <v>0</v>
      </c>
      <c r="U78" t="s" s="79">
        <v>122</v>
      </c>
      <c r="V78" s="80">
        <v>29</v>
      </c>
      <c r="W78" s="81">
        <v>5.97</v>
      </c>
      <c r="X78" s="81">
        <v>6.16</v>
      </c>
      <c r="Y78" s="80">
        <v>3</v>
      </c>
      <c r="Z78" s="80">
        <v>0</v>
      </c>
      <c r="AA78" t="s" s="79">
        <v>123</v>
      </c>
      <c r="AB78" t="s" s="79">
        <v>124</v>
      </c>
      <c r="AC78" t="s" s="79">
        <v>124</v>
      </c>
      <c r="AD78" t="s" s="82">
        <v>125</v>
      </c>
      <c r="AE78" s="67"/>
    </row>
    <row r="79" ht="15" customHeight="1">
      <c r="A79" t="s" s="86">
        <v>30</v>
      </c>
      <c r="B79" s="69">
        <v>52.9</v>
      </c>
      <c r="C79" t="b" s="70">
        <v>0</v>
      </c>
      <c r="D79" s="71"/>
      <c r="E79" t="s" s="72">
        <v>436</v>
      </c>
      <c r="F79" t="s" s="72">
        <v>156</v>
      </c>
      <c r="G79" s="73">
        <v>14</v>
      </c>
      <c r="H79" t="s" s="72">
        <v>118</v>
      </c>
      <c r="I79" t="s" s="72">
        <v>118</v>
      </c>
      <c r="J79" s="73">
        <v>24</v>
      </c>
      <c r="K79" t="s" s="72">
        <v>437</v>
      </c>
      <c r="L79" t="s" s="72">
        <v>121</v>
      </c>
      <c r="M79" s="71"/>
      <c r="N79" s="71"/>
      <c r="O79" s="71"/>
      <c r="P79" s="73">
        <v>3</v>
      </c>
      <c r="Q79" s="74">
        <v>5.17</v>
      </c>
      <c r="R79" s="74">
        <v>5.17</v>
      </c>
      <c r="S79" s="73">
        <v>0</v>
      </c>
      <c r="T79" s="73">
        <v>0</v>
      </c>
      <c r="U79" t="s" s="72">
        <v>122</v>
      </c>
      <c r="V79" s="73">
        <v>31</v>
      </c>
      <c r="W79" s="74">
        <v>5.89</v>
      </c>
      <c r="X79" s="74">
        <v>5.85</v>
      </c>
      <c r="Y79" s="73">
        <v>0</v>
      </c>
      <c r="Z79" s="73">
        <v>1</v>
      </c>
      <c r="AA79" t="s" s="72">
        <v>123</v>
      </c>
      <c r="AB79" t="s" s="72">
        <v>124</v>
      </c>
      <c r="AC79" t="s" s="72">
        <v>124</v>
      </c>
      <c r="AD79" t="s" s="75">
        <v>125</v>
      </c>
      <c r="AE79" s="67"/>
    </row>
    <row r="80" ht="15" customHeight="1">
      <c r="A80" t="s" s="86">
        <v>30</v>
      </c>
      <c r="B80" s="76">
        <v>52.1</v>
      </c>
      <c r="C80" t="b" s="77">
        <v>0</v>
      </c>
      <c r="D80" s="78"/>
      <c r="E80" t="s" s="79">
        <v>438</v>
      </c>
      <c r="F80" t="s" s="79">
        <v>141</v>
      </c>
      <c r="G80" s="80">
        <v>18</v>
      </c>
      <c r="H80" t="s" s="79">
        <v>439</v>
      </c>
      <c r="I80" t="s" s="79">
        <v>439</v>
      </c>
      <c r="J80" s="80">
        <v>26</v>
      </c>
      <c r="K80" t="s" s="79">
        <v>395</v>
      </c>
      <c r="L80" t="s" s="79">
        <v>121</v>
      </c>
      <c r="M80" s="78"/>
      <c r="N80" s="78"/>
      <c r="O80" s="78"/>
      <c r="P80" s="80">
        <v>1</v>
      </c>
      <c r="Q80" s="81">
        <v>5.5</v>
      </c>
      <c r="R80" s="81">
        <v>5.5</v>
      </c>
      <c r="S80" s="80">
        <v>0</v>
      </c>
      <c r="T80" s="80">
        <v>0</v>
      </c>
      <c r="U80" t="s" s="79">
        <v>122</v>
      </c>
      <c r="V80" s="80">
        <v>25</v>
      </c>
      <c r="W80" s="81">
        <v>6.08</v>
      </c>
      <c r="X80" s="81">
        <v>5.96</v>
      </c>
      <c r="Y80" s="80">
        <v>0</v>
      </c>
      <c r="Z80" s="80">
        <v>1</v>
      </c>
      <c r="AA80" t="s" s="79">
        <v>123</v>
      </c>
      <c r="AB80" t="s" s="79">
        <v>124</v>
      </c>
      <c r="AC80" t="s" s="79">
        <v>124</v>
      </c>
      <c r="AD80" t="s" s="82">
        <v>125</v>
      </c>
      <c r="AE80" s="67"/>
    </row>
    <row r="81" ht="15" customHeight="1">
      <c r="A81" t="s" s="86">
        <v>30</v>
      </c>
      <c r="B81" s="69">
        <v>51.8</v>
      </c>
      <c r="C81" t="b" s="70">
        <v>0</v>
      </c>
      <c r="D81" s="71"/>
      <c r="E81" t="s" s="72">
        <v>440</v>
      </c>
      <c r="F81" t="s" s="72">
        <v>147</v>
      </c>
      <c r="G81" s="73">
        <v>14</v>
      </c>
      <c r="H81" t="s" s="72">
        <v>118</v>
      </c>
      <c r="I81" t="s" s="72">
        <v>118</v>
      </c>
      <c r="J81" s="73">
        <v>29</v>
      </c>
      <c r="K81" t="s" s="72">
        <v>325</v>
      </c>
      <c r="L81" t="s" s="72">
        <v>121</v>
      </c>
      <c r="M81" s="71"/>
      <c r="N81" s="71"/>
      <c r="O81" s="71"/>
      <c r="P81" s="73">
        <v>2</v>
      </c>
      <c r="Q81" s="74">
        <v>5.75</v>
      </c>
      <c r="R81" s="74">
        <v>5.5</v>
      </c>
      <c r="S81" s="73">
        <v>0</v>
      </c>
      <c r="T81" s="73">
        <v>0</v>
      </c>
      <c r="U81" t="s" s="72">
        <v>122</v>
      </c>
      <c r="V81" s="73">
        <v>22</v>
      </c>
      <c r="W81" s="74">
        <v>5.8</v>
      </c>
      <c r="X81" s="74">
        <v>5.7</v>
      </c>
      <c r="Y81" s="73">
        <v>0</v>
      </c>
      <c r="Z81" s="73">
        <v>1</v>
      </c>
      <c r="AA81" t="s" s="72">
        <v>123</v>
      </c>
      <c r="AB81" t="s" s="72">
        <v>124</v>
      </c>
      <c r="AC81" t="s" s="72">
        <v>124</v>
      </c>
      <c r="AD81" t="s" s="75">
        <v>125</v>
      </c>
      <c r="AE81" s="67"/>
    </row>
    <row r="82" ht="15" customHeight="1">
      <c r="A82" t="s" s="86">
        <v>30</v>
      </c>
      <c r="B82" s="76">
        <v>51.5</v>
      </c>
      <c r="C82" t="b" s="77">
        <v>0</v>
      </c>
      <c r="D82" t="s" s="85">
        <v>161</v>
      </c>
      <c r="E82" t="s" s="79">
        <v>441</v>
      </c>
      <c r="F82" t="s" s="79">
        <v>147</v>
      </c>
      <c r="G82" s="80">
        <v>14</v>
      </c>
      <c r="H82" t="s" s="79">
        <v>118</v>
      </c>
      <c r="I82" t="s" s="79">
        <v>308</v>
      </c>
      <c r="J82" s="80">
        <v>21</v>
      </c>
      <c r="K82" t="s" s="79">
        <v>267</v>
      </c>
      <c r="L82" t="s" s="79">
        <v>154</v>
      </c>
      <c r="M82" s="78"/>
      <c r="N82" s="78"/>
      <c r="O82" s="78"/>
      <c r="P82" s="80">
        <v>2</v>
      </c>
      <c r="Q82" s="81">
        <v>6.25</v>
      </c>
      <c r="R82" s="81">
        <v>6.25</v>
      </c>
      <c r="S82" s="80">
        <v>0</v>
      </c>
      <c r="T82" s="80">
        <v>0</v>
      </c>
      <c r="U82" t="s" s="79">
        <v>122</v>
      </c>
      <c r="V82" s="80">
        <v>16</v>
      </c>
      <c r="W82" s="81">
        <v>5.78</v>
      </c>
      <c r="X82" s="81">
        <v>5.88</v>
      </c>
      <c r="Y82" s="80">
        <v>1</v>
      </c>
      <c r="Z82" s="80">
        <v>0</v>
      </c>
      <c r="AA82" t="s" s="79">
        <v>123</v>
      </c>
      <c r="AB82" t="s" s="79">
        <v>124</v>
      </c>
      <c r="AC82" t="s" s="79">
        <v>124</v>
      </c>
      <c r="AD82" t="s" s="82">
        <v>125</v>
      </c>
      <c r="AE82" s="67"/>
    </row>
    <row r="83" ht="15" customHeight="1">
      <c r="A83" t="s" s="86">
        <v>30</v>
      </c>
      <c r="B83" s="69">
        <v>50.5</v>
      </c>
      <c r="C83" t="b" s="70">
        <v>0</v>
      </c>
      <c r="D83" s="71"/>
      <c r="E83" t="s" s="72">
        <v>442</v>
      </c>
      <c r="F83" t="s" s="72">
        <v>170</v>
      </c>
      <c r="G83" s="73">
        <v>17</v>
      </c>
      <c r="H83" t="s" s="72">
        <v>443</v>
      </c>
      <c r="I83" t="s" s="72">
        <v>443</v>
      </c>
      <c r="J83" s="73">
        <v>27</v>
      </c>
      <c r="K83" t="s" s="72">
        <v>128</v>
      </c>
      <c r="L83" t="s" s="72">
        <v>154</v>
      </c>
      <c r="M83" s="71"/>
      <c r="N83" s="71"/>
      <c r="O83" s="71"/>
      <c r="P83" s="73">
        <v>1</v>
      </c>
      <c r="Q83" s="74">
        <v>4.5</v>
      </c>
      <c r="R83" s="74">
        <v>4.5</v>
      </c>
      <c r="S83" s="73">
        <v>0</v>
      </c>
      <c r="T83" s="73">
        <v>0</v>
      </c>
      <c r="U83" t="s" s="72">
        <v>122</v>
      </c>
      <c r="V83" s="73">
        <v>31</v>
      </c>
      <c r="W83" s="74">
        <v>5.81</v>
      </c>
      <c r="X83" s="74">
        <v>5.74</v>
      </c>
      <c r="Y83" s="73">
        <v>1</v>
      </c>
      <c r="Z83" s="73">
        <v>0</v>
      </c>
      <c r="AA83" t="s" s="72">
        <v>123</v>
      </c>
      <c r="AB83" t="s" s="72">
        <v>124</v>
      </c>
      <c r="AC83" t="s" s="72">
        <v>124</v>
      </c>
      <c r="AD83" t="s" s="75">
        <v>125</v>
      </c>
      <c r="AE83" s="67"/>
    </row>
    <row r="84" ht="15" customHeight="1">
      <c r="A84" t="s" s="86">
        <v>30</v>
      </c>
      <c r="B84" s="76">
        <v>50.5</v>
      </c>
      <c r="C84" t="b" s="77">
        <v>0</v>
      </c>
      <c r="D84" s="78"/>
      <c r="E84" t="s" s="79">
        <v>444</v>
      </c>
      <c r="F84" t="s" s="79">
        <v>147</v>
      </c>
      <c r="G84" s="80">
        <v>19</v>
      </c>
      <c r="H84" t="s" s="79">
        <v>175</v>
      </c>
      <c r="I84" t="s" s="79">
        <v>445</v>
      </c>
      <c r="J84" s="80">
        <v>26</v>
      </c>
      <c r="K84" t="s" s="79">
        <v>446</v>
      </c>
      <c r="L84" t="s" s="79">
        <v>121</v>
      </c>
      <c r="M84" s="78"/>
      <c r="N84" s="78"/>
      <c r="O84" s="78"/>
      <c r="P84" s="80">
        <v>0</v>
      </c>
      <c r="Q84" s="81">
        <v>0</v>
      </c>
      <c r="R84" s="81">
        <v>0</v>
      </c>
      <c r="S84" s="80">
        <v>0</v>
      </c>
      <c r="T84" s="80">
        <v>0</v>
      </c>
      <c r="U84" t="s" s="79">
        <v>122</v>
      </c>
      <c r="V84" s="78"/>
      <c r="W84" s="78"/>
      <c r="X84" s="78"/>
      <c r="Y84" s="78"/>
      <c r="Z84" s="78"/>
      <c r="AA84" s="78"/>
      <c r="AB84" t="s" s="79">
        <v>124</v>
      </c>
      <c r="AC84" t="s" s="79">
        <v>124</v>
      </c>
      <c r="AD84" t="s" s="82">
        <v>125</v>
      </c>
      <c r="AE84" s="67"/>
    </row>
    <row r="85" ht="15" customHeight="1">
      <c r="A85" t="s" s="86">
        <v>30</v>
      </c>
      <c r="B85" s="69">
        <v>50.3</v>
      </c>
      <c r="C85" t="b" s="70">
        <v>0</v>
      </c>
      <c r="D85" s="71"/>
      <c r="E85" t="s" s="72">
        <v>447</v>
      </c>
      <c r="F85" t="s" s="72">
        <v>138</v>
      </c>
      <c r="G85" s="73">
        <v>18</v>
      </c>
      <c r="H85" t="s" s="72">
        <v>175</v>
      </c>
      <c r="I85" t="s" s="72">
        <v>175</v>
      </c>
      <c r="J85" s="73">
        <v>28</v>
      </c>
      <c r="K85" t="s" s="72">
        <v>128</v>
      </c>
      <c r="L85" t="s" s="72">
        <v>121</v>
      </c>
      <c r="M85" s="71"/>
      <c r="N85" s="71"/>
      <c r="O85" s="71"/>
      <c r="P85" s="73">
        <v>0</v>
      </c>
      <c r="Q85" s="74">
        <v>0</v>
      </c>
      <c r="R85" s="74">
        <v>0</v>
      </c>
      <c r="S85" s="73">
        <v>0</v>
      </c>
      <c r="T85" s="73">
        <v>0</v>
      </c>
      <c r="U85" t="s" s="72">
        <v>122</v>
      </c>
      <c r="V85" s="73">
        <v>16</v>
      </c>
      <c r="W85" s="74">
        <v>5.97</v>
      </c>
      <c r="X85" s="74">
        <v>6.25</v>
      </c>
      <c r="Y85" s="73">
        <v>2</v>
      </c>
      <c r="Z85" s="73">
        <v>0</v>
      </c>
      <c r="AA85" t="s" s="72">
        <v>123</v>
      </c>
      <c r="AB85" t="s" s="72">
        <v>124</v>
      </c>
      <c r="AC85" t="s" s="72">
        <v>124</v>
      </c>
      <c r="AD85" t="s" s="75">
        <v>125</v>
      </c>
      <c r="AE85" s="67"/>
    </row>
    <row r="86" ht="15" customHeight="1">
      <c r="A86" t="s" s="86">
        <v>30</v>
      </c>
      <c r="B86" s="76">
        <v>50</v>
      </c>
      <c r="C86" t="b" s="77">
        <v>0</v>
      </c>
      <c r="D86" s="78"/>
      <c r="E86" t="s" s="79">
        <v>448</v>
      </c>
      <c r="F86" t="s" s="79">
        <v>172</v>
      </c>
      <c r="G86" s="80">
        <v>17</v>
      </c>
      <c r="H86" t="s" s="79">
        <v>175</v>
      </c>
      <c r="I86" t="s" s="79">
        <v>203</v>
      </c>
      <c r="J86" s="80">
        <v>22</v>
      </c>
      <c r="K86" t="s" s="79">
        <v>136</v>
      </c>
      <c r="L86" t="s" s="79">
        <v>154</v>
      </c>
      <c r="M86" s="78"/>
      <c r="N86" s="78"/>
      <c r="O86" s="78"/>
      <c r="P86" s="80">
        <v>1</v>
      </c>
      <c r="Q86" s="81">
        <v>6</v>
      </c>
      <c r="R86" s="81">
        <v>6</v>
      </c>
      <c r="S86" s="80">
        <v>0</v>
      </c>
      <c r="T86" s="80">
        <v>0</v>
      </c>
      <c r="U86" t="s" s="79">
        <v>122</v>
      </c>
      <c r="V86" s="80">
        <v>16</v>
      </c>
      <c r="W86" s="81">
        <v>6.06</v>
      </c>
      <c r="X86" s="81">
        <v>6.41</v>
      </c>
      <c r="Y86" s="80">
        <v>1</v>
      </c>
      <c r="Z86" s="80">
        <v>3</v>
      </c>
      <c r="AA86" t="s" s="79">
        <v>123</v>
      </c>
      <c r="AB86" t="s" s="79">
        <v>124</v>
      </c>
      <c r="AC86" t="s" s="79">
        <v>124</v>
      </c>
      <c r="AD86" t="s" s="82">
        <v>125</v>
      </c>
      <c r="AE86" s="67"/>
    </row>
    <row r="87" ht="15" customHeight="1">
      <c r="A87" t="s" s="86">
        <v>30</v>
      </c>
      <c r="B87" s="69">
        <v>49.2</v>
      </c>
      <c r="C87" t="b" s="70">
        <v>0</v>
      </c>
      <c r="D87" s="71"/>
      <c r="E87" t="s" s="72">
        <v>449</v>
      </c>
      <c r="F87" t="s" s="72">
        <v>153</v>
      </c>
      <c r="G87" s="73">
        <v>20</v>
      </c>
      <c r="H87" t="s" s="72">
        <v>175</v>
      </c>
      <c r="I87" t="s" s="72">
        <v>450</v>
      </c>
      <c r="J87" s="73">
        <v>27</v>
      </c>
      <c r="K87" t="s" s="72">
        <v>128</v>
      </c>
      <c r="L87" t="s" s="72">
        <v>154</v>
      </c>
      <c r="M87" s="71"/>
      <c r="N87" s="71"/>
      <c r="O87" t="s" s="88">
        <v>451</v>
      </c>
      <c r="P87" s="73">
        <v>0</v>
      </c>
      <c r="Q87" s="74">
        <v>0</v>
      </c>
      <c r="R87" s="74">
        <v>0</v>
      </c>
      <c r="S87" s="73">
        <v>0</v>
      </c>
      <c r="T87" s="73">
        <v>0</v>
      </c>
      <c r="U87" t="s" s="72">
        <v>122</v>
      </c>
      <c r="V87" s="73">
        <v>32</v>
      </c>
      <c r="W87" s="74">
        <v>5.84</v>
      </c>
      <c r="X87" s="74">
        <v>5.83</v>
      </c>
      <c r="Y87" s="73">
        <v>0</v>
      </c>
      <c r="Z87" s="73">
        <v>1</v>
      </c>
      <c r="AA87" t="s" s="72">
        <v>123</v>
      </c>
      <c r="AB87" t="s" s="72">
        <v>124</v>
      </c>
      <c r="AC87" t="s" s="72">
        <v>124</v>
      </c>
      <c r="AD87" t="s" s="75">
        <v>125</v>
      </c>
      <c r="AE87" s="67"/>
    </row>
    <row r="88" ht="15" customHeight="1">
      <c r="A88" t="s" s="86">
        <v>30</v>
      </c>
      <c r="B88" s="76">
        <v>49.2</v>
      </c>
      <c r="C88" t="b" s="77">
        <v>0</v>
      </c>
      <c r="D88" s="78"/>
      <c r="E88" t="s" s="79">
        <v>452</v>
      </c>
      <c r="F88" t="s" s="79">
        <v>117</v>
      </c>
      <c r="G88" s="80">
        <v>17</v>
      </c>
      <c r="H88" t="s" s="79">
        <v>453</v>
      </c>
      <c r="I88" t="s" s="79">
        <v>453</v>
      </c>
      <c r="J88" s="80">
        <v>23</v>
      </c>
      <c r="K88" t="s" s="79">
        <v>128</v>
      </c>
      <c r="L88" t="s" s="79">
        <v>121</v>
      </c>
      <c r="M88" s="78"/>
      <c r="N88" s="78"/>
      <c r="O88" s="78"/>
      <c r="P88" s="80">
        <v>1</v>
      </c>
      <c r="Q88" s="81">
        <v>6.5</v>
      </c>
      <c r="R88" s="81">
        <v>6.5</v>
      </c>
      <c r="S88" s="80">
        <v>0</v>
      </c>
      <c r="T88" s="80">
        <v>0</v>
      </c>
      <c r="U88" t="s" s="79">
        <v>122</v>
      </c>
      <c r="V88" s="80">
        <v>21</v>
      </c>
      <c r="W88" s="81">
        <v>5.88</v>
      </c>
      <c r="X88" s="81">
        <v>5.86</v>
      </c>
      <c r="Y88" s="80">
        <v>0</v>
      </c>
      <c r="Z88" s="80">
        <v>0</v>
      </c>
      <c r="AA88" t="s" s="79">
        <v>123</v>
      </c>
      <c r="AB88" t="s" s="79">
        <v>124</v>
      </c>
      <c r="AC88" t="s" s="79">
        <v>124</v>
      </c>
      <c r="AD88" t="s" s="82">
        <v>125</v>
      </c>
      <c r="AE88" s="67"/>
    </row>
    <row r="89" ht="15" customHeight="1">
      <c r="A89" t="s" s="86">
        <v>30</v>
      </c>
      <c r="B89" s="69">
        <v>49.2</v>
      </c>
      <c r="C89" t="b" s="70">
        <v>0</v>
      </c>
      <c r="D89" t="s" s="84">
        <v>191</v>
      </c>
      <c r="E89" t="s" s="72">
        <v>454</v>
      </c>
      <c r="F89" t="s" s="72">
        <v>180</v>
      </c>
      <c r="G89" s="73">
        <v>13</v>
      </c>
      <c r="H89" t="s" s="72">
        <v>118</v>
      </c>
      <c r="I89" t="s" s="72">
        <v>139</v>
      </c>
      <c r="J89" s="73">
        <v>24</v>
      </c>
      <c r="K89" t="s" s="72">
        <v>128</v>
      </c>
      <c r="L89" t="s" s="72">
        <v>154</v>
      </c>
      <c r="M89" s="71"/>
      <c r="N89" s="71"/>
      <c r="O89" s="71"/>
      <c r="P89" s="73">
        <v>2</v>
      </c>
      <c r="Q89" s="74">
        <v>6</v>
      </c>
      <c r="R89" s="74">
        <v>6</v>
      </c>
      <c r="S89" s="73">
        <v>0</v>
      </c>
      <c r="T89" s="73">
        <v>0</v>
      </c>
      <c r="U89" t="s" s="72">
        <v>122</v>
      </c>
      <c r="V89" s="71"/>
      <c r="W89" s="71"/>
      <c r="X89" s="71"/>
      <c r="Y89" s="71"/>
      <c r="Z89" s="71"/>
      <c r="AA89" s="71"/>
      <c r="AB89" t="s" s="72">
        <v>124</v>
      </c>
      <c r="AC89" t="s" s="72">
        <v>124</v>
      </c>
      <c r="AD89" t="s" s="75">
        <v>125</v>
      </c>
      <c r="AE89" s="67"/>
    </row>
    <row r="90" ht="15" customHeight="1">
      <c r="A90" t="s" s="86">
        <v>30</v>
      </c>
      <c r="B90" s="76">
        <v>49.1</v>
      </c>
      <c r="C90" t="b" s="77">
        <v>0</v>
      </c>
      <c r="D90" s="78"/>
      <c r="E90" t="s" s="79">
        <v>455</v>
      </c>
      <c r="F90" t="s" s="79">
        <v>117</v>
      </c>
      <c r="G90" s="80">
        <v>17</v>
      </c>
      <c r="H90" t="s" s="79">
        <v>175</v>
      </c>
      <c r="I90" t="s" s="79">
        <v>456</v>
      </c>
      <c r="J90" s="80">
        <v>23</v>
      </c>
      <c r="K90" t="s" s="79">
        <v>416</v>
      </c>
      <c r="L90" t="s" s="79">
        <v>328</v>
      </c>
      <c r="M90" s="78"/>
      <c r="N90" s="78"/>
      <c r="O90" s="78"/>
      <c r="P90" s="80">
        <v>0</v>
      </c>
      <c r="Q90" s="81">
        <v>0</v>
      </c>
      <c r="R90" s="81">
        <v>0</v>
      </c>
      <c r="S90" s="80">
        <v>0</v>
      </c>
      <c r="T90" s="80">
        <v>0</v>
      </c>
      <c r="U90" t="s" s="79">
        <v>122</v>
      </c>
      <c r="V90" s="80">
        <v>18</v>
      </c>
      <c r="W90" s="81">
        <v>6.11</v>
      </c>
      <c r="X90" s="81">
        <v>6.47</v>
      </c>
      <c r="Y90" s="80">
        <v>1</v>
      </c>
      <c r="Z90" s="80">
        <v>4</v>
      </c>
      <c r="AA90" t="s" s="79">
        <v>123</v>
      </c>
      <c r="AB90" t="s" s="79">
        <v>124</v>
      </c>
      <c r="AC90" t="s" s="79">
        <v>124</v>
      </c>
      <c r="AD90" t="s" s="82">
        <v>125</v>
      </c>
      <c r="AE90" s="67"/>
    </row>
    <row r="91" ht="15" customHeight="1">
      <c r="A91" t="s" s="86">
        <v>30</v>
      </c>
      <c r="B91" s="69">
        <v>48.5</v>
      </c>
      <c r="C91" t="b" s="70">
        <v>0</v>
      </c>
      <c r="D91" s="71"/>
      <c r="E91" t="s" s="72">
        <v>457</v>
      </c>
      <c r="F91" t="s" s="72">
        <v>183</v>
      </c>
      <c r="G91" s="73">
        <v>14</v>
      </c>
      <c r="H91" t="s" s="72">
        <v>164</v>
      </c>
      <c r="I91" t="s" s="72">
        <v>164</v>
      </c>
      <c r="J91" s="73">
        <v>35</v>
      </c>
      <c r="K91" t="s" s="72">
        <v>166</v>
      </c>
      <c r="L91" t="s" s="72">
        <v>154</v>
      </c>
      <c r="M91" s="71"/>
      <c r="N91" s="71"/>
      <c r="O91" s="71"/>
      <c r="P91" s="73">
        <v>0</v>
      </c>
      <c r="Q91" s="74">
        <v>0</v>
      </c>
      <c r="R91" s="74">
        <v>0</v>
      </c>
      <c r="S91" s="73">
        <v>0</v>
      </c>
      <c r="T91" s="73">
        <v>0</v>
      </c>
      <c r="U91" t="s" s="72">
        <v>122</v>
      </c>
      <c r="V91" s="73">
        <v>22</v>
      </c>
      <c r="W91" s="74">
        <v>5.82</v>
      </c>
      <c r="X91" s="74">
        <v>5.59</v>
      </c>
      <c r="Y91" s="73">
        <v>0</v>
      </c>
      <c r="Z91" s="73">
        <v>0</v>
      </c>
      <c r="AA91" t="s" s="72">
        <v>123</v>
      </c>
      <c r="AB91" t="s" s="72">
        <v>124</v>
      </c>
      <c r="AC91" t="s" s="72">
        <v>124</v>
      </c>
      <c r="AD91" t="s" s="75">
        <v>125</v>
      </c>
      <c r="AE91" s="67"/>
    </row>
    <row r="92" ht="15" customHeight="1">
      <c r="A92" t="s" s="86">
        <v>30</v>
      </c>
      <c r="B92" s="76">
        <v>48.2</v>
      </c>
      <c r="C92" t="b" s="77">
        <v>0</v>
      </c>
      <c r="D92" s="78"/>
      <c r="E92" t="s" s="79">
        <v>458</v>
      </c>
      <c r="F92" t="s" s="79">
        <v>130</v>
      </c>
      <c r="G92" s="80">
        <v>16</v>
      </c>
      <c r="H92" t="s" s="79">
        <v>175</v>
      </c>
      <c r="I92" t="s" s="79">
        <v>175</v>
      </c>
      <c r="J92" s="80">
        <v>24</v>
      </c>
      <c r="K92" t="s" s="79">
        <v>399</v>
      </c>
      <c r="L92" t="s" s="79">
        <v>121</v>
      </c>
      <c r="M92" s="78"/>
      <c r="N92" s="78"/>
      <c r="O92" s="78"/>
      <c r="P92" s="80">
        <v>2</v>
      </c>
      <c r="Q92" s="81">
        <v>6.5</v>
      </c>
      <c r="R92" s="81">
        <v>6.5</v>
      </c>
      <c r="S92" s="80">
        <v>0</v>
      </c>
      <c r="T92" s="80">
        <v>0</v>
      </c>
      <c r="U92" t="s" s="79">
        <v>122</v>
      </c>
      <c r="V92" s="80">
        <v>24</v>
      </c>
      <c r="W92" s="81">
        <v>5.71</v>
      </c>
      <c r="X92" s="81">
        <v>5.85</v>
      </c>
      <c r="Y92" s="80">
        <v>1</v>
      </c>
      <c r="Z92" s="80">
        <v>1</v>
      </c>
      <c r="AA92" t="s" s="79">
        <v>123</v>
      </c>
      <c r="AB92" t="s" s="79">
        <v>124</v>
      </c>
      <c r="AC92" t="s" s="79">
        <v>124</v>
      </c>
      <c r="AD92" t="s" s="82">
        <v>125</v>
      </c>
      <c r="AE92" s="67"/>
    </row>
    <row r="93" ht="15" customHeight="1">
      <c r="A93" t="s" s="86">
        <v>30</v>
      </c>
      <c r="B93" s="69">
        <v>48</v>
      </c>
      <c r="C93" t="b" s="70">
        <v>0</v>
      </c>
      <c r="D93" t="s" s="84">
        <v>178</v>
      </c>
      <c r="E93" t="s" s="72">
        <v>459</v>
      </c>
      <c r="F93" t="s" s="72">
        <v>141</v>
      </c>
      <c r="G93" s="73">
        <v>14</v>
      </c>
      <c r="H93" t="s" s="72">
        <v>460</v>
      </c>
      <c r="I93" t="s" s="72">
        <v>461</v>
      </c>
      <c r="J93" s="73">
        <v>23</v>
      </c>
      <c r="K93" t="s" s="72">
        <v>277</v>
      </c>
      <c r="L93" t="s" s="72">
        <v>154</v>
      </c>
      <c r="M93" s="71"/>
      <c r="N93" s="71"/>
      <c r="O93" s="71"/>
      <c r="P93" s="73">
        <v>0</v>
      </c>
      <c r="Q93" s="74">
        <v>0</v>
      </c>
      <c r="R93" s="74">
        <v>0</v>
      </c>
      <c r="S93" s="73">
        <v>0</v>
      </c>
      <c r="T93" s="73">
        <v>0</v>
      </c>
      <c r="U93" t="s" s="72">
        <v>122</v>
      </c>
      <c r="V93" s="71"/>
      <c r="W93" s="71"/>
      <c r="X93" s="71"/>
      <c r="Y93" s="71"/>
      <c r="Z93" s="71"/>
      <c r="AA93" s="71"/>
      <c r="AB93" t="s" s="72">
        <v>124</v>
      </c>
      <c r="AC93" t="s" s="72">
        <v>124</v>
      </c>
      <c r="AD93" t="s" s="75">
        <v>125</v>
      </c>
      <c r="AE93" s="67"/>
    </row>
    <row r="94" ht="15" customHeight="1">
      <c r="A94" t="s" s="86">
        <v>30</v>
      </c>
      <c r="B94" s="76">
        <v>47.4</v>
      </c>
      <c r="C94" t="b" s="77">
        <v>0</v>
      </c>
      <c r="D94" s="78"/>
      <c r="E94" t="s" s="79">
        <v>462</v>
      </c>
      <c r="F94" t="s" s="79">
        <v>170</v>
      </c>
      <c r="G94" s="80">
        <v>16</v>
      </c>
      <c r="H94" t="s" s="79">
        <v>463</v>
      </c>
      <c r="I94" t="s" s="79">
        <v>463</v>
      </c>
      <c r="J94" s="80">
        <v>28</v>
      </c>
      <c r="K94" t="s" s="79">
        <v>464</v>
      </c>
      <c r="L94" t="s" s="79">
        <v>121</v>
      </c>
      <c r="M94" s="78"/>
      <c r="N94" s="78"/>
      <c r="O94" s="78"/>
      <c r="P94" s="80">
        <v>1</v>
      </c>
      <c r="Q94" s="81">
        <v>5</v>
      </c>
      <c r="R94" s="81">
        <v>5</v>
      </c>
      <c r="S94" s="80">
        <v>0</v>
      </c>
      <c r="T94" s="80">
        <v>0</v>
      </c>
      <c r="U94" t="s" s="79">
        <v>122</v>
      </c>
      <c r="V94" s="80">
        <v>35</v>
      </c>
      <c r="W94" s="81">
        <v>5.89</v>
      </c>
      <c r="X94" s="81">
        <v>5.71</v>
      </c>
      <c r="Y94" s="80">
        <v>0</v>
      </c>
      <c r="Z94" s="80">
        <v>0</v>
      </c>
      <c r="AA94" t="s" s="79">
        <v>123</v>
      </c>
      <c r="AB94" t="s" s="79">
        <v>124</v>
      </c>
      <c r="AC94" t="s" s="79">
        <v>124</v>
      </c>
      <c r="AD94" t="s" s="82">
        <v>125</v>
      </c>
      <c r="AE94" s="67"/>
    </row>
    <row r="95" ht="15" customHeight="1">
      <c r="A95" t="s" s="86">
        <v>30</v>
      </c>
      <c r="B95" s="69">
        <v>47.4</v>
      </c>
      <c r="C95" t="b" s="70">
        <v>0</v>
      </c>
      <c r="D95" s="71"/>
      <c r="E95" t="s" s="72">
        <v>465</v>
      </c>
      <c r="F95" t="s" s="72">
        <v>127</v>
      </c>
      <c r="G95" s="73">
        <v>16</v>
      </c>
      <c r="H95" t="s" s="72">
        <v>175</v>
      </c>
      <c r="I95" t="s" s="72">
        <v>175</v>
      </c>
      <c r="J95" s="73">
        <v>25</v>
      </c>
      <c r="K95" t="s" s="72">
        <v>466</v>
      </c>
      <c r="L95" t="s" s="72">
        <v>121</v>
      </c>
      <c r="M95" s="71"/>
      <c r="N95" s="71"/>
      <c r="O95" s="71"/>
      <c r="P95" s="73">
        <v>2</v>
      </c>
      <c r="Q95" s="74">
        <v>5.75</v>
      </c>
      <c r="R95" s="74">
        <v>5.75</v>
      </c>
      <c r="S95" s="73">
        <v>0</v>
      </c>
      <c r="T95" s="73">
        <v>0</v>
      </c>
      <c r="U95" t="s" s="72">
        <v>122</v>
      </c>
      <c r="V95" s="73">
        <v>17</v>
      </c>
      <c r="W95" s="74">
        <v>5.79</v>
      </c>
      <c r="X95" s="74">
        <v>5.94</v>
      </c>
      <c r="Y95" s="73">
        <v>1</v>
      </c>
      <c r="Z95" s="73">
        <v>0</v>
      </c>
      <c r="AA95" t="s" s="72">
        <v>123</v>
      </c>
      <c r="AB95" t="s" s="72">
        <v>124</v>
      </c>
      <c r="AC95" t="s" s="72">
        <v>124</v>
      </c>
      <c r="AD95" t="s" s="75">
        <v>125</v>
      </c>
      <c r="AE95" s="67"/>
    </row>
    <row r="96" ht="15" customHeight="1">
      <c r="A96" t="s" s="86">
        <v>30</v>
      </c>
      <c r="B96" s="76">
        <v>47.2</v>
      </c>
      <c r="C96" t="b" s="77">
        <v>0</v>
      </c>
      <c r="D96" t="s" s="85">
        <v>161</v>
      </c>
      <c r="E96" t="s" s="79">
        <v>467</v>
      </c>
      <c r="F96" t="s" s="79">
        <v>187</v>
      </c>
      <c r="G96" s="80">
        <v>13</v>
      </c>
      <c r="H96" t="s" s="79">
        <v>118</v>
      </c>
      <c r="I96" t="s" s="79">
        <v>468</v>
      </c>
      <c r="J96" s="80">
        <v>28</v>
      </c>
      <c r="K96" t="s" s="79">
        <v>325</v>
      </c>
      <c r="L96" t="s" s="79">
        <v>154</v>
      </c>
      <c r="M96" s="78"/>
      <c r="N96" s="78"/>
      <c r="O96" s="78"/>
      <c r="P96" s="80">
        <v>2</v>
      </c>
      <c r="Q96" s="81">
        <v>6</v>
      </c>
      <c r="R96" s="81">
        <v>6.5</v>
      </c>
      <c r="S96" s="80">
        <v>0</v>
      </c>
      <c r="T96" s="80">
        <v>1</v>
      </c>
      <c r="U96" t="s" s="79">
        <v>122</v>
      </c>
      <c r="V96" s="78"/>
      <c r="W96" s="78"/>
      <c r="X96" s="78"/>
      <c r="Y96" s="78"/>
      <c r="Z96" s="78"/>
      <c r="AA96" s="78"/>
      <c r="AB96" t="s" s="79">
        <v>124</v>
      </c>
      <c r="AC96" t="s" s="79">
        <v>124</v>
      </c>
      <c r="AD96" t="s" s="82">
        <v>125</v>
      </c>
      <c r="AE96" s="67"/>
    </row>
    <row r="97" ht="15" customHeight="1">
      <c r="A97" t="s" s="86">
        <v>30</v>
      </c>
      <c r="B97" s="69">
        <v>47.2</v>
      </c>
      <c r="C97" t="b" s="70">
        <v>0</v>
      </c>
      <c r="D97" t="s" s="84">
        <v>161</v>
      </c>
      <c r="E97" t="s" s="72">
        <v>469</v>
      </c>
      <c r="F97" t="s" s="72">
        <v>183</v>
      </c>
      <c r="G97" s="73">
        <v>13</v>
      </c>
      <c r="H97" t="s" s="72">
        <v>470</v>
      </c>
      <c r="I97" t="s" s="72">
        <v>471</v>
      </c>
      <c r="J97" s="73">
        <v>27</v>
      </c>
      <c r="K97" t="s" s="72">
        <v>325</v>
      </c>
      <c r="L97" t="s" s="72">
        <v>121</v>
      </c>
      <c r="M97" s="71"/>
      <c r="N97" s="71"/>
      <c r="O97" s="71"/>
      <c r="P97" s="73">
        <v>2</v>
      </c>
      <c r="Q97" s="74">
        <v>5.75</v>
      </c>
      <c r="R97" s="74">
        <v>5.75</v>
      </c>
      <c r="S97" s="73">
        <v>0</v>
      </c>
      <c r="T97" s="73">
        <v>0</v>
      </c>
      <c r="U97" t="s" s="72">
        <v>122</v>
      </c>
      <c r="V97" s="71"/>
      <c r="W97" s="71"/>
      <c r="X97" s="71"/>
      <c r="Y97" s="71"/>
      <c r="Z97" s="71"/>
      <c r="AA97" s="71"/>
      <c r="AB97" t="s" s="72">
        <v>124</v>
      </c>
      <c r="AC97" t="s" s="72">
        <v>124</v>
      </c>
      <c r="AD97" t="s" s="75">
        <v>125</v>
      </c>
      <c r="AE97" s="67"/>
    </row>
    <row r="98" ht="15" customHeight="1">
      <c r="A98" t="s" s="86">
        <v>30</v>
      </c>
      <c r="B98" s="76">
        <v>46.3</v>
      </c>
      <c r="C98" t="b" s="77">
        <v>0</v>
      </c>
      <c r="D98" t="s" s="85">
        <v>191</v>
      </c>
      <c r="E98" t="s" s="79">
        <v>472</v>
      </c>
      <c r="F98" t="s" s="79">
        <v>187</v>
      </c>
      <c r="G98" s="80">
        <v>12</v>
      </c>
      <c r="H98" t="s" s="79">
        <v>118</v>
      </c>
      <c r="I98" t="s" s="79">
        <v>139</v>
      </c>
      <c r="J98" s="80">
        <v>27</v>
      </c>
      <c r="K98" t="s" s="79">
        <v>128</v>
      </c>
      <c r="L98" t="s" s="79">
        <v>121</v>
      </c>
      <c r="M98" s="78"/>
      <c r="N98" s="78"/>
      <c r="O98" s="78"/>
      <c r="P98" s="80">
        <v>2</v>
      </c>
      <c r="Q98" s="81">
        <v>5.75</v>
      </c>
      <c r="R98" s="81">
        <v>5.75</v>
      </c>
      <c r="S98" s="80">
        <v>0</v>
      </c>
      <c r="T98" s="80">
        <v>0</v>
      </c>
      <c r="U98" t="s" s="79">
        <v>122</v>
      </c>
      <c r="V98" s="78"/>
      <c r="W98" s="78"/>
      <c r="X98" s="78"/>
      <c r="Y98" s="78"/>
      <c r="Z98" s="78"/>
      <c r="AA98" s="78"/>
      <c r="AB98" t="s" s="79">
        <v>124</v>
      </c>
      <c r="AC98" t="s" s="79">
        <v>124</v>
      </c>
      <c r="AD98" t="s" s="82">
        <v>125</v>
      </c>
      <c r="AE98" s="67"/>
    </row>
    <row r="99" ht="15" customHeight="1">
      <c r="A99" t="s" s="86">
        <v>30</v>
      </c>
      <c r="B99" s="69">
        <v>46.2</v>
      </c>
      <c r="C99" t="b" s="70">
        <v>0</v>
      </c>
      <c r="D99" s="71"/>
      <c r="E99" t="s" s="72">
        <v>473</v>
      </c>
      <c r="F99" t="s" s="72">
        <v>153</v>
      </c>
      <c r="G99" s="73">
        <v>16</v>
      </c>
      <c r="H99" t="s" s="72">
        <v>175</v>
      </c>
      <c r="I99" t="s" s="72">
        <v>175</v>
      </c>
      <c r="J99" s="73">
        <v>28</v>
      </c>
      <c r="K99" t="s" s="72">
        <v>474</v>
      </c>
      <c r="L99" t="s" s="72">
        <v>154</v>
      </c>
      <c r="M99" s="71"/>
      <c r="N99" s="71"/>
      <c r="O99" s="71"/>
      <c r="P99" s="73">
        <v>1</v>
      </c>
      <c r="Q99" s="74">
        <v>4.5</v>
      </c>
      <c r="R99" s="74">
        <v>4.5</v>
      </c>
      <c r="S99" s="73">
        <v>0</v>
      </c>
      <c r="T99" s="73">
        <v>0</v>
      </c>
      <c r="U99" t="s" s="72">
        <v>122</v>
      </c>
      <c r="V99" s="73">
        <v>24</v>
      </c>
      <c r="W99" s="74">
        <v>5.79</v>
      </c>
      <c r="X99" s="74">
        <v>5.73</v>
      </c>
      <c r="Y99" s="73">
        <v>0</v>
      </c>
      <c r="Z99" s="73">
        <v>0</v>
      </c>
      <c r="AA99" t="s" s="72">
        <v>123</v>
      </c>
      <c r="AB99" t="s" s="72">
        <v>124</v>
      </c>
      <c r="AC99" t="s" s="72">
        <v>124</v>
      </c>
      <c r="AD99" t="s" s="75">
        <v>125</v>
      </c>
      <c r="AE99" s="67"/>
    </row>
    <row r="100" ht="15" customHeight="1">
      <c r="A100" t="s" s="86">
        <v>30</v>
      </c>
      <c r="B100" s="76">
        <v>46</v>
      </c>
      <c r="C100" t="b" s="77">
        <v>0</v>
      </c>
      <c r="D100" s="78"/>
      <c r="E100" t="s" s="79">
        <v>475</v>
      </c>
      <c r="F100" t="s" s="79">
        <v>156</v>
      </c>
      <c r="G100" s="80">
        <v>14</v>
      </c>
      <c r="H100" t="s" s="79">
        <v>164</v>
      </c>
      <c r="I100" t="s" s="79">
        <v>401</v>
      </c>
      <c r="J100" s="80">
        <v>24</v>
      </c>
      <c r="K100" t="s" s="79">
        <v>476</v>
      </c>
      <c r="L100" t="s" s="79">
        <v>121</v>
      </c>
      <c r="M100" s="78"/>
      <c r="N100" s="78"/>
      <c r="O100" s="78"/>
      <c r="P100" s="80">
        <v>0</v>
      </c>
      <c r="Q100" s="81">
        <v>0</v>
      </c>
      <c r="R100" s="81">
        <v>0</v>
      </c>
      <c r="S100" s="80">
        <v>0</v>
      </c>
      <c r="T100" s="80">
        <v>0</v>
      </c>
      <c r="U100" t="s" s="79">
        <v>122</v>
      </c>
      <c r="V100" s="78"/>
      <c r="W100" s="78"/>
      <c r="X100" s="78"/>
      <c r="Y100" s="78"/>
      <c r="Z100" s="78"/>
      <c r="AA100" s="78"/>
      <c r="AB100" t="s" s="79">
        <v>124</v>
      </c>
      <c r="AC100" t="s" s="79">
        <v>124</v>
      </c>
      <c r="AD100" t="s" s="82">
        <v>125</v>
      </c>
      <c r="AE100" s="67"/>
    </row>
    <row r="101" ht="15" customHeight="1">
      <c r="A101" t="s" s="86">
        <v>30</v>
      </c>
      <c r="B101" s="69">
        <v>45.5</v>
      </c>
      <c r="C101" t="b" s="70">
        <v>0</v>
      </c>
      <c r="D101" s="71"/>
      <c r="E101" t="s" s="72">
        <v>477</v>
      </c>
      <c r="F101" t="s" s="72">
        <v>153</v>
      </c>
      <c r="G101" s="73">
        <v>16</v>
      </c>
      <c r="H101" t="s" s="72">
        <v>478</v>
      </c>
      <c r="I101" t="s" s="72">
        <v>478</v>
      </c>
      <c r="J101" s="73">
        <v>27</v>
      </c>
      <c r="K101" t="s" s="72">
        <v>157</v>
      </c>
      <c r="L101" t="s" s="72">
        <v>121</v>
      </c>
      <c r="M101" s="71"/>
      <c r="N101" s="71"/>
      <c r="O101" s="71"/>
      <c r="P101" s="73">
        <v>0</v>
      </c>
      <c r="Q101" s="74">
        <v>0</v>
      </c>
      <c r="R101" s="74">
        <v>0</v>
      </c>
      <c r="S101" s="73">
        <v>0</v>
      </c>
      <c r="T101" s="73">
        <v>0</v>
      </c>
      <c r="U101" t="s" s="72">
        <v>122</v>
      </c>
      <c r="V101" s="73">
        <v>22</v>
      </c>
      <c r="W101" s="74">
        <v>5.89</v>
      </c>
      <c r="X101" s="74">
        <v>6.11</v>
      </c>
      <c r="Y101" s="73">
        <v>2</v>
      </c>
      <c r="Z101" s="73">
        <v>0</v>
      </c>
      <c r="AA101" t="s" s="72">
        <v>123</v>
      </c>
      <c r="AB101" t="s" s="72">
        <v>124</v>
      </c>
      <c r="AC101" t="s" s="72">
        <v>124</v>
      </c>
      <c r="AD101" t="s" s="75">
        <v>125</v>
      </c>
      <c r="AE101" s="67"/>
    </row>
    <row r="102" ht="15" customHeight="1">
      <c r="A102" t="s" s="86">
        <v>30</v>
      </c>
      <c r="B102" s="76">
        <v>45.3</v>
      </c>
      <c r="C102" t="b" s="77">
        <v>0</v>
      </c>
      <c r="D102" s="78"/>
      <c r="E102" t="s" s="79">
        <v>479</v>
      </c>
      <c r="F102" t="s" s="79">
        <v>144</v>
      </c>
      <c r="G102" s="80">
        <v>12</v>
      </c>
      <c r="H102" t="s" s="79">
        <v>118</v>
      </c>
      <c r="I102" t="s" s="79">
        <v>118</v>
      </c>
      <c r="J102" s="80">
        <v>27</v>
      </c>
      <c r="K102" t="s" s="79">
        <v>313</v>
      </c>
      <c r="L102" t="s" s="79">
        <v>154</v>
      </c>
      <c r="M102" s="78"/>
      <c r="N102" s="78"/>
      <c r="O102" s="78"/>
      <c r="P102" s="80">
        <v>2</v>
      </c>
      <c r="Q102" s="81">
        <v>5.5</v>
      </c>
      <c r="R102" s="81">
        <v>5.25</v>
      </c>
      <c r="S102" s="80">
        <v>0</v>
      </c>
      <c r="T102" s="80">
        <v>0</v>
      </c>
      <c r="U102" t="s" s="79">
        <v>122</v>
      </c>
      <c r="V102" s="80">
        <v>25</v>
      </c>
      <c r="W102" s="81">
        <v>5.86</v>
      </c>
      <c r="X102" s="81">
        <v>5.82</v>
      </c>
      <c r="Y102" s="80">
        <v>0</v>
      </c>
      <c r="Z102" s="80">
        <v>0</v>
      </c>
      <c r="AA102" t="s" s="79">
        <v>123</v>
      </c>
      <c r="AB102" t="s" s="79">
        <v>124</v>
      </c>
      <c r="AC102" t="s" s="79">
        <v>124</v>
      </c>
      <c r="AD102" t="s" s="82">
        <v>125</v>
      </c>
      <c r="AE102" s="67"/>
    </row>
    <row r="103" ht="15" customHeight="1">
      <c r="A103" t="s" s="86">
        <v>30</v>
      </c>
      <c r="B103" s="69">
        <v>45.1</v>
      </c>
      <c r="C103" t="b" s="70">
        <v>0</v>
      </c>
      <c r="D103" s="71"/>
      <c r="E103" t="s" s="72">
        <v>480</v>
      </c>
      <c r="F103" t="s" s="72">
        <v>170</v>
      </c>
      <c r="G103" s="73">
        <v>19</v>
      </c>
      <c r="H103" t="s" s="72">
        <v>175</v>
      </c>
      <c r="I103" t="s" s="72">
        <v>450</v>
      </c>
      <c r="J103" s="73">
        <v>25</v>
      </c>
      <c r="K103" t="s" s="72">
        <v>128</v>
      </c>
      <c r="L103" t="s" s="72">
        <v>154</v>
      </c>
      <c r="M103" s="71"/>
      <c r="N103" s="71"/>
      <c r="O103" t="s" s="88">
        <v>481</v>
      </c>
      <c r="P103" s="73">
        <v>0</v>
      </c>
      <c r="Q103" s="74">
        <v>0</v>
      </c>
      <c r="R103" s="74">
        <v>0</v>
      </c>
      <c r="S103" s="73">
        <v>0</v>
      </c>
      <c r="T103" s="73">
        <v>0</v>
      </c>
      <c r="U103" t="s" s="72">
        <v>122</v>
      </c>
      <c r="V103" s="73">
        <v>23</v>
      </c>
      <c r="W103" s="74">
        <v>6.11</v>
      </c>
      <c r="X103" s="74">
        <v>6.07</v>
      </c>
      <c r="Y103" s="73">
        <v>1</v>
      </c>
      <c r="Z103" s="73">
        <v>1</v>
      </c>
      <c r="AA103" t="s" s="72">
        <v>123</v>
      </c>
      <c r="AB103" t="s" s="72">
        <v>124</v>
      </c>
      <c r="AC103" t="s" s="72">
        <v>124</v>
      </c>
      <c r="AD103" t="s" s="75">
        <v>125</v>
      </c>
      <c r="AE103" s="67"/>
    </row>
    <row r="104" ht="15" customHeight="1">
      <c r="A104" t="s" s="86">
        <v>30</v>
      </c>
      <c r="B104" s="76">
        <v>44.5</v>
      </c>
      <c r="C104" t="b" s="77">
        <v>0</v>
      </c>
      <c r="D104" s="78"/>
      <c r="E104" t="s" s="79">
        <v>482</v>
      </c>
      <c r="F104" t="s" s="79">
        <v>172</v>
      </c>
      <c r="G104" s="80">
        <v>13</v>
      </c>
      <c r="H104" t="s" s="79">
        <v>164</v>
      </c>
      <c r="I104" t="s" s="79">
        <v>164</v>
      </c>
      <c r="J104" s="80">
        <v>24</v>
      </c>
      <c r="K104" t="s" s="79">
        <v>399</v>
      </c>
      <c r="L104" t="s" s="79">
        <v>121</v>
      </c>
      <c r="M104" s="78"/>
      <c r="N104" s="78"/>
      <c r="O104" s="78"/>
      <c r="P104" s="80">
        <v>0</v>
      </c>
      <c r="Q104" s="81">
        <v>0</v>
      </c>
      <c r="R104" s="81">
        <v>0</v>
      </c>
      <c r="S104" s="80">
        <v>0</v>
      </c>
      <c r="T104" s="80">
        <v>0</v>
      </c>
      <c r="U104" t="s" s="79">
        <v>122</v>
      </c>
      <c r="V104" s="80">
        <v>14</v>
      </c>
      <c r="W104" s="81">
        <v>5.96</v>
      </c>
      <c r="X104" s="81">
        <v>5.96</v>
      </c>
      <c r="Y104" s="80">
        <v>0</v>
      </c>
      <c r="Z104" s="80">
        <v>1</v>
      </c>
      <c r="AA104" t="s" s="79">
        <v>123</v>
      </c>
      <c r="AB104" t="s" s="79">
        <v>124</v>
      </c>
      <c r="AC104" t="s" s="79">
        <v>124</v>
      </c>
      <c r="AD104" t="s" s="82">
        <v>125</v>
      </c>
      <c r="AE104" s="67"/>
    </row>
    <row r="105" ht="15" customHeight="1">
      <c r="A105" t="s" s="87">
        <v>32</v>
      </c>
      <c r="B105" s="69">
        <v>43.8</v>
      </c>
      <c r="C105" t="b" s="70">
        <v>0</v>
      </c>
      <c r="D105" s="71"/>
      <c r="E105" t="s" s="72">
        <v>483</v>
      </c>
      <c r="F105" t="s" s="72">
        <v>172</v>
      </c>
      <c r="G105" s="73">
        <v>11</v>
      </c>
      <c r="H105" t="s" s="72">
        <v>118</v>
      </c>
      <c r="I105" t="s" s="72">
        <v>118</v>
      </c>
      <c r="J105" s="73">
        <v>24</v>
      </c>
      <c r="K105" t="s" s="72">
        <v>484</v>
      </c>
      <c r="L105" t="s" s="72">
        <v>154</v>
      </c>
      <c r="M105" s="71"/>
      <c r="N105" s="71"/>
      <c r="O105" s="71"/>
      <c r="P105" s="73">
        <v>2</v>
      </c>
      <c r="Q105" s="74">
        <v>6</v>
      </c>
      <c r="R105" s="74">
        <v>6</v>
      </c>
      <c r="S105" s="73">
        <v>0</v>
      </c>
      <c r="T105" s="73">
        <v>0</v>
      </c>
      <c r="U105" t="s" s="72">
        <v>122</v>
      </c>
      <c r="V105" s="73">
        <v>27</v>
      </c>
      <c r="W105" s="74">
        <v>5.81</v>
      </c>
      <c r="X105" s="74">
        <v>5.72</v>
      </c>
      <c r="Y105" s="73">
        <v>0</v>
      </c>
      <c r="Z105" s="73">
        <v>0</v>
      </c>
      <c r="AA105" t="s" s="72">
        <v>123</v>
      </c>
      <c r="AB105" t="s" s="72">
        <v>124</v>
      </c>
      <c r="AC105" t="s" s="72">
        <v>124</v>
      </c>
      <c r="AD105" t="s" s="75">
        <v>125</v>
      </c>
      <c r="AE105" s="67"/>
    </row>
    <row r="106" ht="15" customHeight="1">
      <c r="A106" t="s" s="87">
        <v>32</v>
      </c>
      <c r="B106" s="76">
        <v>43.7</v>
      </c>
      <c r="C106" t="b" s="77">
        <v>0</v>
      </c>
      <c r="D106" t="s" s="85">
        <v>161</v>
      </c>
      <c r="E106" t="s" s="79">
        <v>485</v>
      </c>
      <c r="F106" t="s" s="79">
        <v>170</v>
      </c>
      <c r="G106" s="80">
        <v>13</v>
      </c>
      <c r="H106" t="s" s="79">
        <v>164</v>
      </c>
      <c r="I106" t="s" s="79">
        <v>486</v>
      </c>
      <c r="J106" s="80">
        <v>21</v>
      </c>
      <c r="K106" t="s" s="79">
        <v>277</v>
      </c>
      <c r="L106" t="s" s="79">
        <v>154</v>
      </c>
      <c r="M106" s="78"/>
      <c r="N106" s="78"/>
      <c r="O106" s="78"/>
      <c r="P106" s="80">
        <v>1</v>
      </c>
      <c r="Q106" s="81">
        <v>5.5</v>
      </c>
      <c r="R106" s="81">
        <v>5.5</v>
      </c>
      <c r="S106" s="80">
        <v>0</v>
      </c>
      <c r="T106" s="80">
        <v>0</v>
      </c>
      <c r="U106" t="s" s="79">
        <v>122</v>
      </c>
      <c r="V106" s="78"/>
      <c r="W106" s="78"/>
      <c r="X106" s="78"/>
      <c r="Y106" s="78"/>
      <c r="Z106" s="78"/>
      <c r="AA106" s="78"/>
      <c r="AB106" t="s" s="79">
        <v>124</v>
      </c>
      <c r="AC106" t="s" s="79">
        <v>124</v>
      </c>
      <c r="AD106" t="s" s="82">
        <v>125</v>
      </c>
      <c r="AE106" s="67"/>
    </row>
    <row r="107" ht="15" customHeight="1">
      <c r="A107" t="s" s="87">
        <v>32</v>
      </c>
      <c r="B107" s="69">
        <v>42.8</v>
      </c>
      <c r="C107" t="b" s="70">
        <v>0</v>
      </c>
      <c r="D107" t="s" s="84">
        <v>161</v>
      </c>
      <c r="E107" t="s" s="72">
        <v>487</v>
      </c>
      <c r="F107" t="s" s="72">
        <v>163</v>
      </c>
      <c r="G107" s="73">
        <v>11</v>
      </c>
      <c r="H107" t="s" s="72">
        <v>118</v>
      </c>
      <c r="I107" t="s" s="72">
        <v>308</v>
      </c>
      <c r="J107" s="73">
        <v>20</v>
      </c>
      <c r="K107" t="s" s="72">
        <v>128</v>
      </c>
      <c r="L107" t="s" s="72">
        <v>121</v>
      </c>
      <c r="M107" s="71"/>
      <c r="N107" s="71"/>
      <c r="O107" s="71"/>
      <c r="P107" s="73">
        <v>2</v>
      </c>
      <c r="Q107" s="74">
        <v>6</v>
      </c>
      <c r="R107" s="74">
        <v>6</v>
      </c>
      <c r="S107" s="73">
        <v>0</v>
      </c>
      <c r="T107" s="73">
        <v>0</v>
      </c>
      <c r="U107" t="s" s="72">
        <v>122</v>
      </c>
      <c r="V107" s="73">
        <v>12</v>
      </c>
      <c r="W107" s="74">
        <v>5.88</v>
      </c>
      <c r="X107" s="74">
        <v>5.88</v>
      </c>
      <c r="Y107" s="73">
        <v>0</v>
      </c>
      <c r="Z107" s="73">
        <v>0</v>
      </c>
      <c r="AA107" t="s" s="72">
        <v>123</v>
      </c>
      <c r="AB107" t="s" s="72">
        <v>124</v>
      </c>
      <c r="AC107" t="s" s="72">
        <v>124</v>
      </c>
      <c r="AD107" t="s" s="75">
        <v>125</v>
      </c>
      <c r="AE107" s="67"/>
    </row>
    <row r="108" ht="15" customHeight="1">
      <c r="A108" t="s" s="87">
        <v>32</v>
      </c>
      <c r="B108" s="76">
        <v>42.6</v>
      </c>
      <c r="C108" t="b" s="77">
        <v>0</v>
      </c>
      <c r="D108" t="s" s="85">
        <v>161</v>
      </c>
      <c r="E108" t="s" s="79">
        <v>488</v>
      </c>
      <c r="F108" t="s" s="79">
        <v>187</v>
      </c>
      <c r="G108" s="80">
        <v>11</v>
      </c>
      <c r="H108" t="s" s="79">
        <v>118</v>
      </c>
      <c r="I108" t="s" s="79">
        <v>468</v>
      </c>
      <c r="J108" s="80">
        <v>25</v>
      </c>
      <c r="K108" t="s" s="79">
        <v>128</v>
      </c>
      <c r="L108" t="s" s="79">
        <v>154</v>
      </c>
      <c r="M108" s="78"/>
      <c r="N108" s="78"/>
      <c r="O108" s="78"/>
      <c r="P108" s="80">
        <v>2</v>
      </c>
      <c r="Q108" s="81">
        <v>5.5</v>
      </c>
      <c r="R108" s="81">
        <v>5.5</v>
      </c>
      <c r="S108" s="80">
        <v>0</v>
      </c>
      <c r="T108" s="80">
        <v>0</v>
      </c>
      <c r="U108" t="s" s="79">
        <v>122</v>
      </c>
      <c r="V108" s="78"/>
      <c r="W108" s="78"/>
      <c r="X108" s="78"/>
      <c r="Y108" s="78"/>
      <c r="Z108" s="78"/>
      <c r="AA108" s="78"/>
      <c r="AB108" t="s" s="79">
        <v>124</v>
      </c>
      <c r="AC108" t="s" s="79">
        <v>124</v>
      </c>
      <c r="AD108" t="s" s="82">
        <v>125</v>
      </c>
      <c r="AE108" s="67"/>
    </row>
    <row r="109" ht="15" customHeight="1">
      <c r="A109" t="s" s="87">
        <v>32</v>
      </c>
      <c r="B109" s="69">
        <v>42.2</v>
      </c>
      <c r="C109" t="b" s="70">
        <v>0</v>
      </c>
      <c r="D109" t="s" s="84">
        <v>161</v>
      </c>
      <c r="E109" t="s" s="72">
        <v>489</v>
      </c>
      <c r="F109" t="s" s="72">
        <v>117</v>
      </c>
      <c r="G109" s="73">
        <v>15</v>
      </c>
      <c r="H109" t="s" s="72">
        <v>175</v>
      </c>
      <c r="I109" t="s" s="72">
        <v>490</v>
      </c>
      <c r="J109" s="73">
        <v>22</v>
      </c>
      <c r="K109" t="s" s="72">
        <v>151</v>
      </c>
      <c r="L109" t="s" s="72">
        <v>154</v>
      </c>
      <c r="M109" s="71"/>
      <c r="N109" s="71"/>
      <c r="O109" s="71"/>
      <c r="P109" s="73">
        <v>1</v>
      </c>
      <c r="Q109" s="74">
        <v>6</v>
      </c>
      <c r="R109" s="74">
        <v>6</v>
      </c>
      <c r="S109" s="73">
        <v>0</v>
      </c>
      <c r="T109" s="73">
        <v>0</v>
      </c>
      <c r="U109" t="s" s="72">
        <v>122</v>
      </c>
      <c r="V109" s="71"/>
      <c r="W109" s="71"/>
      <c r="X109" s="71"/>
      <c r="Y109" s="71"/>
      <c r="Z109" s="71"/>
      <c r="AA109" s="71"/>
      <c r="AB109" t="s" s="72">
        <v>124</v>
      </c>
      <c r="AC109" t="s" s="72">
        <v>124</v>
      </c>
      <c r="AD109" t="s" s="75">
        <v>125</v>
      </c>
      <c r="AE109" s="67"/>
    </row>
    <row r="110" ht="15" customHeight="1">
      <c r="A110" t="s" s="87">
        <v>32</v>
      </c>
      <c r="B110" s="76">
        <v>41.8</v>
      </c>
      <c r="C110" t="b" s="77">
        <v>0</v>
      </c>
      <c r="D110" s="78"/>
      <c r="E110" t="s" s="79">
        <v>491</v>
      </c>
      <c r="F110" t="s" s="79">
        <v>172</v>
      </c>
      <c r="G110" s="80">
        <v>16</v>
      </c>
      <c r="H110" t="s" s="79">
        <v>175</v>
      </c>
      <c r="I110" t="s" s="79">
        <v>445</v>
      </c>
      <c r="J110" s="80">
        <v>29</v>
      </c>
      <c r="K110" t="s" s="79">
        <v>395</v>
      </c>
      <c r="L110" t="s" s="79">
        <v>121</v>
      </c>
      <c r="M110" s="78"/>
      <c r="N110" s="78"/>
      <c r="O110" s="78"/>
      <c r="P110" s="80">
        <v>0</v>
      </c>
      <c r="Q110" s="81">
        <v>0</v>
      </c>
      <c r="R110" s="81">
        <v>0</v>
      </c>
      <c r="S110" s="80">
        <v>0</v>
      </c>
      <c r="T110" s="80">
        <v>0</v>
      </c>
      <c r="U110" t="s" s="79">
        <v>122</v>
      </c>
      <c r="V110" s="78"/>
      <c r="W110" s="78"/>
      <c r="X110" s="78"/>
      <c r="Y110" s="78"/>
      <c r="Z110" s="78"/>
      <c r="AA110" s="78"/>
      <c r="AB110" t="s" s="79">
        <v>124</v>
      </c>
      <c r="AC110" t="s" s="79">
        <v>124</v>
      </c>
      <c r="AD110" t="s" s="82">
        <v>125</v>
      </c>
      <c r="AE110" s="67"/>
    </row>
    <row r="111" ht="15" customHeight="1">
      <c r="A111" t="s" s="87">
        <v>32</v>
      </c>
      <c r="B111" s="69">
        <v>41.8</v>
      </c>
      <c r="C111" t="b" s="70">
        <v>0</v>
      </c>
      <c r="D111" s="71"/>
      <c r="E111" t="s" s="72">
        <v>492</v>
      </c>
      <c r="F111" t="s" s="72">
        <v>141</v>
      </c>
      <c r="G111" s="73">
        <v>16</v>
      </c>
      <c r="H111" t="s" s="72">
        <v>175</v>
      </c>
      <c r="I111" t="s" s="72">
        <v>493</v>
      </c>
      <c r="J111" s="73">
        <v>22</v>
      </c>
      <c r="K111" t="s" s="72">
        <v>288</v>
      </c>
      <c r="L111" t="s" s="72">
        <v>121</v>
      </c>
      <c r="M111" s="71"/>
      <c r="N111" s="71"/>
      <c r="O111" s="71"/>
      <c r="P111" s="73">
        <v>0</v>
      </c>
      <c r="Q111" s="74">
        <v>0</v>
      </c>
      <c r="R111" s="74">
        <v>0</v>
      </c>
      <c r="S111" s="73">
        <v>0</v>
      </c>
      <c r="T111" s="73">
        <v>0</v>
      </c>
      <c r="U111" t="s" s="72">
        <v>122</v>
      </c>
      <c r="V111" s="71"/>
      <c r="W111" s="71"/>
      <c r="X111" s="71"/>
      <c r="Y111" s="71"/>
      <c r="Z111" s="71"/>
      <c r="AA111" s="71"/>
      <c r="AB111" t="s" s="72">
        <v>124</v>
      </c>
      <c r="AC111" t="s" s="72">
        <v>124</v>
      </c>
      <c r="AD111" t="s" s="75">
        <v>125</v>
      </c>
      <c r="AE111" s="67"/>
    </row>
    <row r="112" ht="15" customHeight="1">
      <c r="A112" t="s" s="87">
        <v>32</v>
      </c>
      <c r="B112" s="76">
        <v>39.5</v>
      </c>
      <c r="C112" t="b" s="77">
        <v>0</v>
      </c>
      <c r="D112" t="s" s="85">
        <v>191</v>
      </c>
      <c r="E112" t="s" s="79">
        <v>494</v>
      </c>
      <c r="F112" t="s" s="79">
        <v>183</v>
      </c>
      <c r="G112" s="80">
        <v>9</v>
      </c>
      <c r="H112" t="s" s="79">
        <v>118</v>
      </c>
      <c r="I112" t="s" s="79">
        <v>139</v>
      </c>
      <c r="J112" s="80">
        <v>24</v>
      </c>
      <c r="K112" t="s" s="79">
        <v>435</v>
      </c>
      <c r="L112" t="s" s="79">
        <v>121</v>
      </c>
      <c r="M112" s="78"/>
      <c r="N112" s="78"/>
      <c r="O112" s="78"/>
      <c r="P112" s="80">
        <v>2</v>
      </c>
      <c r="Q112" s="81">
        <v>5.5</v>
      </c>
      <c r="R112" s="81">
        <v>5.25</v>
      </c>
      <c r="S112" s="80">
        <v>0</v>
      </c>
      <c r="T112" s="80">
        <v>0</v>
      </c>
      <c r="U112" t="s" s="79">
        <v>122</v>
      </c>
      <c r="V112" s="78"/>
      <c r="W112" s="78"/>
      <c r="X112" s="78"/>
      <c r="Y112" s="78"/>
      <c r="Z112" s="78"/>
      <c r="AA112" s="78"/>
      <c r="AB112" t="s" s="79">
        <v>124</v>
      </c>
      <c r="AC112" t="s" s="79">
        <v>124</v>
      </c>
      <c r="AD112" t="s" s="82">
        <v>125</v>
      </c>
      <c r="AE112" s="67"/>
    </row>
    <row r="113" ht="15" customHeight="1">
      <c r="A113" t="s" s="87">
        <v>32</v>
      </c>
      <c r="B113" s="69">
        <v>39</v>
      </c>
      <c r="C113" t="b" s="70">
        <v>0</v>
      </c>
      <c r="D113" s="71"/>
      <c r="E113" t="s" s="72">
        <v>495</v>
      </c>
      <c r="F113" t="s" s="72">
        <v>180</v>
      </c>
      <c r="G113" s="73">
        <v>14</v>
      </c>
      <c r="H113" t="s" s="72">
        <v>175</v>
      </c>
      <c r="I113" t="s" s="72">
        <v>445</v>
      </c>
      <c r="J113" s="73">
        <v>25</v>
      </c>
      <c r="K113" t="s" s="72">
        <v>496</v>
      </c>
      <c r="L113" t="s" s="72">
        <v>121</v>
      </c>
      <c r="M113" s="71"/>
      <c r="N113" s="71"/>
      <c r="O113" s="71"/>
      <c r="P113" s="73">
        <v>2</v>
      </c>
      <c r="Q113" s="74">
        <v>6.25</v>
      </c>
      <c r="R113" s="74">
        <v>6.25</v>
      </c>
      <c r="S113" s="73">
        <v>0</v>
      </c>
      <c r="T113" s="73">
        <v>0</v>
      </c>
      <c r="U113" t="s" s="72">
        <v>122</v>
      </c>
      <c r="V113" s="71"/>
      <c r="W113" s="71"/>
      <c r="X113" s="71"/>
      <c r="Y113" s="71"/>
      <c r="Z113" s="71"/>
      <c r="AA113" s="71"/>
      <c r="AB113" t="s" s="72">
        <v>124</v>
      </c>
      <c r="AC113" t="s" s="72">
        <v>124</v>
      </c>
      <c r="AD113" t="s" s="75">
        <v>125</v>
      </c>
      <c r="AE113" s="67"/>
    </row>
    <row r="114" ht="15" customHeight="1">
      <c r="A114" t="s" s="87">
        <v>32</v>
      </c>
      <c r="B114" s="76">
        <v>39</v>
      </c>
      <c r="C114" t="b" s="77">
        <v>0</v>
      </c>
      <c r="D114" s="78"/>
      <c r="E114" t="s" s="79">
        <v>497</v>
      </c>
      <c r="F114" t="s" s="79">
        <v>183</v>
      </c>
      <c r="G114" s="80">
        <v>14</v>
      </c>
      <c r="H114" t="s" s="79">
        <v>498</v>
      </c>
      <c r="I114" t="s" s="79">
        <v>499</v>
      </c>
      <c r="J114" s="80">
        <v>33</v>
      </c>
      <c r="K114" t="s" s="79">
        <v>500</v>
      </c>
      <c r="L114" t="s" s="79">
        <v>154</v>
      </c>
      <c r="M114" s="78"/>
      <c r="N114" s="78"/>
      <c r="O114" s="78"/>
      <c r="P114" s="80">
        <v>2</v>
      </c>
      <c r="Q114" s="81">
        <v>6.25</v>
      </c>
      <c r="R114" s="81">
        <v>6</v>
      </c>
      <c r="S114" s="80">
        <v>0</v>
      </c>
      <c r="T114" s="80">
        <v>0</v>
      </c>
      <c r="U114" t="s" s="79">
        <v>122</v>
      </c>
      <c r="V114" s="78"/>
      <c r="W114" s="78"/>
      <c r="X114" s="78"/>
      <c r="Y114" s="78"/>
      <c r="Z114" s="78"/>
      <c r="AA114" s="78"/>
      <c r="AB114" t="s" s="79">
        <v>124</v>
      </c>
      <c r="AC114" t="s" s="79">
        <v>124</v>
      </c>
      <c r="AD114" t="s" s="82">
        <v>125</v>
      </c>
      <c r="AE114" s="67"/>
    </row>
    <row r="115" ht="15" customHeight="1">
      <c r="A115" t="s" s="87">
        <v>32</v>
      </c>
      <c r="B115" s="69">
        <v>38.7</v>
      </c>
      <c r="C115" t="b" s="70">
        <v>0</v>
      </c>
      <c r="D115" s="71"/>
      <c r="E115" t="s" s="72">
        <v>501</v>
      </c>
      <c r="F115" t="s" s="72">
        <v>172</v>
      </c>
      <c r="G115" s="73">
        <v>10</v>
      </c>
      <c r="H115" t="s" s="72">
        <v>118</v>
      </c>
      <c r="I115" t="s" s="72">
        <v>150</v>
      </c>
      <c r="J115" s="73">
        <v>23</v>
      </c>
      <c r="K115" t="s" s="72">
        <v>399</v>
      </c>
      <c r="L115" t="s" s="72">
        <v>154</v>
      </c>
      <c r="M115" s="71"/>
      <c r="N115" s="71"/>
      <c r="O115" s="71"/>
      <c r="P115" s="73">
        <v>2</v>
      </c>
      <c r="Q115" s="74">
        <v>6.25</v>
      </c>
      <c r="R115" s="74">
        <v>6.75</v>
      </c>
      <c r="S115" s="73">
        <v>0</v>
      </c>
      <c r="T115" s="73">
        <v>1</v>
      </c>
      <c r="U115" t="s" s="72">
        <v>122</v>
      </c>
      <c r="V115" s="71"/>
      <c r="W115" s="71"/>
      <c r="X115" s="71"/>
      <c r="Y115" s="71"/>
      <c r="Z115" s="71"/>
      <c r="AA115" s="71"/>
      <c r="AB115" t="s" s="72">
        <v>124</v>
      </c>
      <c r="AC115" t="s" s="72">
        <v>124</v>
      </c>
      <c r="AD115" t="s" s="75">
        <v>125</v>
      </c>
      <c r="AE115" s="67"/>
    </row>
    <row r="116" ht="15" customHeight="1">
      <c r="A116" t="s" s="87">
        <v>32</v>
      </c>
      <c r="B116" s="76">
        <v>38.7</v>
      </c>
      <c r="C116" t="b" s="77">
        <v>0</v>
      </c>
      <c r="D116" s="78"/>
      <c r="E116" t="s" s="79">
        <v>502</v>
      </c>
      <c r="F116" t="s" s="79">
        <v>147</v>
      </c>
      <c r="G116" s="80">
        <v>15</v>
      </c>
      <c r="H116" t="s" s="79">
        <v>175</v>
      </c>
      <c r="I116" t="s" s="79">
        <v>445</v>
      </c>
      <c r="J116" s="80">
        <v>26</v>
      </c>
      <c r="K116" t="s" s="79">
        <v>128</v>
      </c>
      <c r="L116" t="s" s="79">
        <v>154</v>
      </c>
      <c r="M116" s="78"/>
      <c r="N116" s="78"/>
      <c r="O116" s="78"/>
      <c r="P116" s="80">
        <v>0</v>
      </c>
      <c r="Q116" s="81">
        <v>0</v>
      </c>
      <c r="R116" s="81">
        <v>0</v>
      </c>
      <c r="S116" s="80">
        <v>0</v>
      </c>
      <c r="T116" s="80">
        <v>0</v>
      </c>
      <c r="U116" t="s" s="79">
        <v>122</v>
      </c>
      <c r="V116" s="78"/>
      <c r="W116" s="78"/>
      <c r="X116" s="78"/>
      <c r="Y116" s="78"/>
      <c r="Z116" s="78"/>
      <c r="AA116" s="78"/>
      <c r="AB116" t="s" s="79">
        <v>124</v>
      </c>
      <c r="AC116" t="s" s="79">
        <v>124</v>
      </c>
      <c r="AD116" t="s" s="82">
        <v>125</v>
      </c>
      <c r="AE116" s="67"/>
    </row>
    <row r="117" ht="15" customHeight="1">
      <c r="A117" t="s" s="87">
        <v>32</v>
      </c>
      <c r="B117" s="69">
        <v>38.7</v>
      </c>
      <c r="C117" t="b" s="70">
        <v>0</v>
      </c>
      <c r="D117" s="71"/>
      <c r="E117" t="s" s="72">
        <v>503</v>
      </c>
      <c r="F117" t="s" s="72">
        <v>163</v>
      </c>
      <c r="G117" s="73">
        <v>15</v>
      </c>
      <c r="H117" t="s" s="72">
        <v>504</v>
      </c>
      <c r="I117" t="s" s="72">
        <v>505</v>
      </c>
      <c r="J117" s="73">
        <v>24</v>
      </c>
      <c r="K117" t="s" s="72">
        <v>484</v>
      </c>
      <c r="L117" t="s" s="72">
        <v>121</v>
      </c>
      <c r="M117" s="71"/>
      <c r="N117" s="71"/>
      <c r="O117" s="71"/>
      <c r="P117" s="73">
        <v>0</v>
      </c>
      <c r="Q117" s="74">
        <v>0</v>
      </c>
      <c r="R117" s="74">
        <v>0</v>
      </c>
      <c r="S117" s="73">
        <v>0</v>
      </c>
      <c r="T117" s="73">
        <v>0</v>
      </c>
      <c r="U117" t="s" s="72">
        <v>122</v>
      </c>
      <c r="V117" s="71"/>
      <c r="W117" s="71"/>
      <c r="X117" s="71"/>
      <c r="Y117" s="71"/>
      <c r="Z117" s="71"/>
      <c r="AA117" s="71"/>
      <c r="AB117" t="s" s="72">
        <v>124</v>
      </c>
      <c r="AC117" t="s" s="72">
        <v>124</v>
      </c>
      <c r="AD117" t="s" s="75">
        <v>125</v>
      </c>
      <c r="AE117" s="67"/>
    </row>
    <row r="118" ht="15" customHeight="1">
      <c r="A118" t="s" s="87">
        <v>32</v>
      </c>
      <c r="B118" s="76">
        <v>37.9</v>
      </c>
      <c r="C118" t="b" s="77">
        <v>0</v>
      </c>
      <c r="D118" s="78"/>
      <c r="E118" t="s" s="79">
        <v>506</v>
      </c>
      <c r="F118" t="s" s="79">
        <v>183</v>
      </c>
      <c r="G118" s="80">
        <v>9</v>
      </c>
      <c r="H118" t="s" s="79">
        <v>118</v>
      </c>
      <c r="I118" t="s" s="79">
        <v>118</v>
      </c>
      <c r="J118" s="80">
        <v>24</v>
      </c>
      <c r="K118" t="s" s="79">
        <v>342</v>
      </c>
      <c r="L118" t="s" s="79">
        <v>121</v>
      </c>
      <c r="M118" s="78"/>
      <c r="N118" s="78"/>
      <c r="O118" s="78"/>
      <c r="P118" s="80">
        <v>2</v>
      </c>
      <c r="Q118" s="81">
        <v>5</v>
      </c>
      <c r="R118" s="81">
        <v>5</v>
      </c>
      <c r="S118" s="80">
        <v>0</v>
      </c>
      <c r="T118" s="80">
        <v>0</v>
      </c>
      <c r="U118" t="s" s="79">
        <v>122</v>
      </c>
      <c r="V118" s="80">
        <v>18</v>
      </c>
      <c r="W118" s="81">
        <v>5.94</v>
      </c>
      <c r="X118" s="81">
        <v>5.86</v>
      </c>
      <c r="Y118" s="80">
        <v>0</v>
      </c>
      <c r="Z118" s="80">
        <v>0</v>
      </c>
      <c r="AA118" t="s" s="79">
        <v>123</v>
      </c>
      <c r="AB118" t="s" s="79">
        <v>124</v>
      </c>
      <c r="AC118" t="s" s="79">
        <v>124</v>
      </c>
      <c r="AD118" t="s" s="82">
        <v>125</v>
      </c>
      <c r="AE118" s="67"/>
    </row>
    <row r="119" ht="15" customHeight="1">
      <c r="A119" t="s" s="87">
        <v>32</v>
      </c>
      <c r="B119" s="69">
        <v>37.6</v>
      </c>
      <c r="C119" t="b" s="70">
        <v>0</v>
      </c>
      <c r="D119" s="71"/>
      <c r="E119" t="s" s="72">
        <v>507</v>
      </c>
      <c r="F119" t="s" s="72">
        <v>127</v>
      </c>
      <c r="G119" s="73">
        <v>13</v>
      </c>
      <c r="H119" t="s" s="72">
        <v>175</v>
      </c>
      <c r="I119" t="s" s="72">
        <v>175</v>
      </c>
      <c r="J119" s="73">
        <v>33</v>
      </c>
      <c r="K119" t="s" s="72">
        <v>508</v>
      </c>
      <c r="L119" t="s" s="72">
        <v>154</v>
      </c>
      <c r="M119" s="71"/>
      <c r="N119" s="71"/>
      <c r="O119" s="71"/>
      <c r="P119" s="73">
        <v>2</v>
      </c>
      <c r="Q119" s="74">
        <v>6</v>
      </c>
      <c r="R119" s="74">
        <v>6</v>
      </c>
      <c r="S119" s="73">
        <v>0</v>
      </c>
      <c r="T119" s="73">
        <v>0</v>
      </c>
      <c r="U119" t="s" s="72">
        <v>122</v>
      </c>
      <c r="V119" s="73">
        <v>17</v>
      </c>
      <c r="W119" s="74">
        <v>5.94</v>
      </c>
      <c r="X119" s="74">
        <v>5.85</v>
      </c>
      <c r="Y119" s="73">
        <v>0</v>
      </c>
      <c r="Z119" s="73">
        <v>0</v>
      </c>
      <c r="AA119" t="s" s="72">
        <v>123</v>
      </c>
      <c r="AB119" t="s" s="72">
        <v>124</v>
      </c>
      <c r="AC119" t="s" s="72">
        <v>124</v>
      </c>
      <c r="AD119" t="s" s="75">
        <v>125</v>
      </c>
      <c r="AE119" s="67"/>
    </row>
    <row r="120" ht="15" customHeight="1">
      <c r="A120" t="s" s="87">
        <v>32</v>
      </c>
      <c r="B120" s="76">
        <v>35.9</v>
      </c>
      <c r="C120" t="b" s="77">
        <v>0</v>
      </c>
      <c r="D120" s="78"/>
      <c r="E120" t="s" s="79">
        <v>509</v>
      </c>
      <c r="F120" t="s" s="79">
        <v>156</v>
      </c>
      <c r="G120" s="80">
        <v>13</v>
      </c>
      <c r="H120" t="s" s="79">
        <v>175</v>
      </c>
      <c r="I120" t="s" s="79">
        <v>175</v>
      </c>
      <c r="J120" s="80">
        <v>33</v>
      </c>
      <c r="K120" t="s" s="79">
        <v>128</v>
      </c>
      <c r="L120" t="s" s="79">
        <v>121</v>
      </c>
      <c r="M120" s="78"/>
      <c r="N120" s="78"/>
      <c r="O120" s="78"/>
      <c r="P120" s="80">
        <v>1</v>
      </c>
      <c r="Q120" s="81">
        <v>5</v>
      </c>
      <c r="R120" s="81">
        <v>5</v>
      </c>
      <c r="S120" s="80">
        <v>0</v>
      </c>
      <c r="T120" s="80">
        <v>0</v>
      </c>
      <c r="U120" t="s" s="79">
        <v>122</v>
      </c>
      <c r="V120" s="80">
        <v>13</v>
      </c>
      <c r="W120" s="81">
        <v>5.85</v>
      </c>
      <c r="X120" s="81">
        <v>5.69</v>
      </c>
      <c r="Y120" s="80">
        <v>0</v>
      </c>
      <c r="Z120" s="80">
        <v>0</v>
      </c>
      <c r="AA120" t="s" s="79">
        <v>123</v>
      </c>
      <c r="AB120" t="s" s="79">
        <v>124</v>
      </c>
      <c r="AC120" t="s" s="79">
        <v>124</v>
      </c>
      <c r="AD120" t="s" s="82">
        <v>125</v>
      </c>
      <c r="AE120" s="67"/>
    </row>
    <row r="121" ht="15" customHeight="1">
      <c r="A121" t="s" s="87">
        <v>32</v>
      </c>
      <c r="B121" s="69">
        <v>35.2</v>
      </c>
      <c r="C121" t="b" s="70">
        <v>0</v>
      </c>
      <c r="D121" s="71"/>
      <c r="E121" t="s" s="72">
        <v>510</v>
      </c>
      <c r="F121" t="s" s="72">
        <v>180</v>
      </c>
      <c r="G121" s="73">
        <v>13</v>
      </c>
      <c r="H121" t="s" s="72">
        <v>511</v>
      </c>
      <c r="I121" t="s" s="72">
        <v>512</v>
      </c>
      <c r="J121" s="73">
        <v>23</v>
      </c>
      <c r="K121" t="s" s="72">
        <v>128</v>
      </c>
      <c r="L121" t="s" s="72">
        <v>154</v>
      </c>
      <c r="M121" s="71"/>
      <c r="N121" s="71"/>
      <c r="O121" s="71"/>
      <c r="P121" s="73">
        <v>2</v>
      </c>
      <c r="Q121" s="74">
        <v>6.75</v>
      </c>
      <c r="R121" s="74">
        <v>8.5</v>
      </c>
      <c r="S121" s="73">
        <v>1</v>
      </c>
      <c r="T121" s="73">
        <v>1</v>
      </c>
      <c r="U121" t="s" s="72">
        <v>122</v>
      </c>
      <c r="V121" s="71"/>
      <c r="W121" s="71"/>
      <c r="X121" s="71"/>
      <c r="Y121" s="71"/>
      <c r="Z121" s="71"/>
      <c r="AA121" s="71"/>
      <c r="AB121" t="s" s="72">
        <v>124</v>
      </c>
      <c r="AC121" t="s" s="72">
        <v>124</v>
      </c>
      <c r="AD121" t="s" s="75">
        <v>125</v>
      </c>
      <c r="AE121" s="67"/>
    </row>
    <row r="122" ht="15" customHeight="1">
      <c r="A122" t="s" s="87">
        <v>32</v>
      </c>
      <c r="B122" s="76">
        <v>35.2</v>
      </c>
      <c r="C122" t="b" s="77">
        <v>0</v>
      </c>
      <c r="D122" s="78"/>
      <c r="E122" t="s" s="79">
        <v>513</v>
      </c>
      <c r="F122" t="s" s="79">
        <v>180</v>
      </c>
      <c r="G122" s="80">
        <v>13</v>
      </c>
      <c r="H122" t="s" s="79">
        <v>175</v>
      </c>
      <c r="I122" t="s" s="79">
        <v>493</v>
      </c>
      <c r="J122" s="80">
        <v>22</v>
      </c>
      <c r="K122" t="s" s="79">
        <v>128</v>
      </c>
      <c r="L122" t="s" s="79">
        <v>121</v>
      </c>
      <c r="M122" s="78"/>
      <c r="N122" s="78"/>
      <c r="O122" s="78"/>
      <c r="P122" s="80">
        <v>2</v>
      </c>
      <c r="Q122" s="81">
        <v>6.5</v>
      </c>
      <c r="R122" s="81">
        <v>6</v>
      </c>
      <c r="S122" s="80">
        <v>0</v>
      </c>
      <c r="T122" s="80">
        <v>0</v>
      </c>
      <c r="U122" t="s" s="79">
        <v>122</v>
      </c>
      <c r="V122" s="78"/>
      <c r="W122" s="78"/>
      <c r="X122" s="78"/>
      <c r="Y122" s="78"/>
      <c r="Z122" s="78"/>
      <c r="AA122" s="78"/>
      <c r="AB122" t="s" s="79">
        <v>124</v>
      </c>
      <c r="AC122" t="s" s="79">
        <v>124</v>
      </c>
      <c r="AD122" t="s" s="82">
        <v>125</v>
      </c>
      <c r="AE122" s="67"/>
    </row>
    <row r="123" ht="15" customHeight="1">
      <c r="A123" t="s" s="87">
        <v>32</v>
      </c>
      <c r="B123" s="69">
        <v>35.2</v>
      </c>
      <c r="C123" t="b" s="70">
        <v>0</v>
      </c>
      <c r="D123" s="71"/>
      <c r="E123" t="s" s="72">
        <v>514</v>
      </c>
      <c r="F123" t="s" s="72">
        <v>172</v>
      </c>
      <c r="G123" s="73">
        <v>14</v>
      </c>
      <c r="H123" t="s" s="72">
        <v>175</v>
      </c>
      <c r="I123" t="s" s="72">
        <v>266</v>
      </c>
      <c r="J123" s="73">
        <v>26</v>
      </c>
      <c r="K123" t="s" s="72">
        <v>145</v>
      </c>
      <c r="L123" t="s" s="72">
        <v>121</v>
      </c>
      <c r="M123" s="71"/>
      <c r="N123" s="71"/>
      <c r="O123" t="s" s="88">
        <v>268</v>
      </c>
      <c r="P123" s="73">
        <v>0</v>
      </c>
      <c r="Q123" s="74">
        <v>0</v>
      </c>
      <c r="R123" s="74">
        <v>0</v>
      </c>
      <c r="S123" s="73">
        <v>0</v>
      </c>
      <c r="T123" s="73">
        <v>0</v>
      </c>
      <c r="U123" t="s" s="72">
        <v>122</v>
      </c>
      <c r="V123" s="73">
        <v>34</v>
      </c>
      <c r="W123" s="74">
        <v>5.79</v>
      </c>
      <c r="X123" s="74">
        <v>5.72</v>
      </c>
      <c r="Y123" s="73">
        <v>0</v>
      </c>
      <c r="Z123" s="73">
        <v>1</v>
      </c>
      <c r="AA123" t="s" s="72">
        <v>123</v>
      </c>
      <c r="AB123" t="s" s="72">
        <v>124</v>
      </c>
      <c r="AC123" t="s" s="72">
        <v>124</v>
      </c>
      <c r="AD123" t="s" s="75">
        <v>125</v>
      </c>
      <c r="AE123" s="67"/>
    </row>
    <row r="124" ht="15" customHeight="1">
      <c r="A124" t="s" s="87">
        <v>32</v>
      </c>
      <c r="B124" s="76">
        <v>34.6</v>
      </c>
      <c r="C124" t="b" s="77">
        <v>0</v>
      </c>
      <c r="D124" s="78"/>
      <c r="E124" t="s" s="79">
        <v>515</v>
      </c>
      <c r="F124" t="s" s="79">
        <v>144</v>
      </c>
      <c r="G124" s="80">
        <v>13</v>
      </c>
      <c r="H124" t="s" s="79">
        <v>175</v>
      </c>
      <c r="I124" t="s" s="79">
        <v>175</v>
      </c>
      <c r="J124" s="80">
        <v>23</v>
      </c>
      <c r="K124" t="s" s="79">
        <v>516</v>
      </c>
      <c r="L124" t="s" s="79">
        <v>121</v>
      </c>
      <c r="M124" s="78"/>
      <c r="N124" s="78"/>
      <c r="O124" s="78"/>
      <c r="P124" s="80">
        <v>0</v>
      </c>
      <c r="Q124" s="81">
        <v>0</v>
      </c>
      <c r="R124" s="81">
        <v>0</v>
      </c>
      <c r="S124" s="80">
        <v>0</v>
      </c>
      <c r="T124" s="80">
        <v>0</v>
      </c>
      <c r="U124" t="s" s="79">
        <v>122</v>
      </c>
      <c r="V124" s="80">
        <v>18</v>
      </c>
      <c r="W124" s="81">
        <v>5.81</v>
      </c>
      <c r="X124" s="81">
        <v>5.72</v>
      </c>
      <c r="Y124" s="80">
        <v>0</v>
      </c>
      <c r="Z124" s="80">
        <v>0</v>
      </c>
      <c r="AA124" t="s" s="79">
        <v>123</v>
      </c>
      <c r="AB124" t="s" s="79">
        <v>124</v>
      </c>
      <c r="AC124" t="s" s="79">
        <v>124</v>
      </c>
      <c r="AD124" t="s" s="82">
        <v>125</v>
      </c>
      <c r="AE124" s="67"/>
    </row>
    <row r="125" ht="15" customHeight="1">
      <c r="A125" t="s" s="87">
        <v>32</v>
      </c>
      <c r="B125" s="69">
        <v>34.1</v>
      </c>
      <c r="C125" t="b" s="70">
        <v>0</v>
      </c>
      <c r="D125" s="71"/>
      <c r="E125" t="s" s="72">
        <v>517</v>
      </c>
      <c r="F125" t="s" s="72">
        <v>159</v>
      </c>
      <c r="G125" s="73">
        <v>12</v>
      </c>
      <c r="H125" t="s" s="72">
        <v>175</v>
      </c>
      <c r="I125" t="s" s="72">
        <v>175</v>
      </c>
      <c r="J125" s="73">
        <v>23</v>
      </c>
      <c r="K125" t="s" s="72">
        <v>128</v>
      </c>
      <c r="L125" t="s" s="72">
        <v>121</v>
      </c>
      <c r="M125" s="71"/>
      <c r="N125" s="71"/>
      <c r="O125" s="71"/>
      <c r="P125" s="73">
        <v>1</v>
      </c>
      <c r="Q125" s="74">
        <v>6</v>
      </c>
      <c r="R125" s="74">
        <v>6</v>
      </c>
      <c r="S125" s="73">
        <v>0</v>
      </c>
      <c r="T125" s="73">
        <v>0</v>
      </c>
      <c r="U125" t="s" s="72">
        <v>122</v>
      </c>
      <c r="V125" s="73">
        <v>25</v>
      </c>
      <c r="W125" s="74">
        <v>5.92</v>
      </c>
      <c r="X125" s="74">
        <v>5.9</v>
      </c>
      <c r="Y125" s="73">
        <v>0</v>
      </c>
      <c r="Z125" s="73">
        <v>1</v>
      </c>
      <c r="AA125" t="s" s="72">
        <v>123</v>
      </c>
      <c r="AB125" t="s" s="72">
        <v>124</v>
      </c>
      <c r="AC125" t="s" s="72">
        <v>124</v>
      </c>
      <c r="AD125" t="s" s="75">
        <v>125</v>
      </c>
      <c r="AE125" s="67"/>
    </row>
    <row r="126" ht="15" customHeight="1">
      <c r="A126" t="s" s="87">
        <v>32</v>
      </c>
      <c r="B126" s="76">
        <v>34</v>
      </c>
      <c r="C126" t="b" s="77">
        <v>0</v>
      </c>
      <c r="D126" s="78"/>
      <c r="E126" t="s" s="79">
        <v>518</v>
      </c>
      <c r="F126" t="s" s="79">
        <v>163</v>
      </c>
      <c r="G126" s="80">
        <v>9</v>
      </c>
      <c r="H126" t="s" s="79">
        <v>164</v>
      </c>
      <c r="I126" t="s" s="79">
        <v>401</v>
      </c>
      <c r="J126" s="80">
        <v>28</v>
      </c>
      <c r="K126" t="s" s="79">
        <v>519</v>
      </c>
      <c r="L126" t="s" s="79">
        <v>121</v>
      </c>
      <c r="M126" s="78"/>
      <c r="N126" s="78"/>
      <c r="O126" s="78"/>
      <c r="P126" s="80">
        <v>1</v>
      </c>
      <c r="Q126" s="81">
        <v>5.5</v>
      </c>
      <c r="R126" s="81">
        <v>5.5</v>
      </c>
      <c r="S126" s="80">
        <v>0</v>
      </c>
      <c r="T126" s="80">
        <v>0</v>
      </c>
      <c r="U126" t="s" s="79">
        <v>122</v>
      </c>
      <c r="V126" s="78"/>
      <c r="W126" s="78"/>
      <c r="X126" s="78"/>
      <c r="Y126" s="78"/>
      <c r="Z126" s="78"/>
      <c r="AA126" s="78"/>
      <c r="AB126" t="s" s="79">
        <v>124</v>
      </c>
      <c r="AC126" t="s" s="79">
        <v>124</v>
      </c>
      <c r="AD126" t="s" s="82">
        <v>125</v>
      </c>
      <c r="AE126" s="67"/>
    </row>
    <row r="127" ht="15" customHeight="1">
      <c r="A127" t="s" s="87">
        <v>32</v>
      </c>
      <c r="B127" s="69">
        <v>34</v>
      </c>
      <c r="C127" t="b" s="70">
        <v>0</v>
      </c>
      <c r="D127" t="s" s="84">
        <v>161</v>
      </c>
      <c r="E127" t="s" s="72">
        <v>520</v>
      </c>
      <c r="F127" t="s" s="72">
        <v>187</v>
      </c>
      <c r="G127" s="73">
        <v>9</v>
      </c>
      <c r="H127" t="s" s="72">
        <v>521</v>
      </c>
      <c r="I127" t="s" s="72">
        <v>522</v>
      </c>
      <c r="J127" s="73">
        <v>22</v>
      </c>
      <c r="K127" t="s" s="72">
        <v>523</v>
      </c>
      <c r="L127" t="s" s="72">
        <v>121</v>
      </c>
      <c r="M127" s="71"/>
      <c r="N127" s="71"/>
      <c r="O127" s="71"/>
      <c r="P127" s="73">
        <v>0</v>
      </c>
      <c r="Q127" s="74">
        <v>0</v>
      </c>
      <c r="R127" s="74">
        <v>0</v>
      </c>
      <c r="S127" s="73">
        <v>0</v>
      </c>
      <c r="T127" s="73">
        <v>0</v>
      </c>
      <c r="U127" t="s" s="72">
        <v>122</v>
      </c>
      <c r="V127" s="73">
        <v>6</v>
      </c>
      <c r="W127" s="74">
        <v>5.75</v>
      </c>
      <c r="X127" s="74">
        <v>5.58</v>
      </c>
      <c r="Y127" s="73">
        <v>0</v>
      </c>
      <c r="Z127" s="73">
        <v>0</v>
      </c>
      <c r="AA127" t="s" s="72">
        <v>123</v>
      </c>
      <c r="AB127" t="s" s="72">
        <v>124</v>
      </c>
      <c r="AC127" t="s" s="72">
        <v>124</v>
      </c>
      <c r="AD127" t="s" s="75">
        <v>125</v>
      </c>
      <c r="AE127" s="67"/>
    </row>
    <row r="128" ht="15" customHeight="1">
      <c r="A128" t="s" s="87">
        <v>32</v>
      </c>
      <c r="B128" s="76">
        <v>33.7</v>
      </c>
      <c r="C128" t="b" s="77">
        <v>0</v>
      </c>
      <c r="D128" s="78"/>
      <c r="E128" t="s" s="79">
        <v>524</v>
      </c>
      <c r="F128" t="s" s="79">
        <v>138</v>
      </c>
      <c r="G128" s="80">
        <v>14</v>
      </c>
      <c r="H128" t="s" s="79">
        <v>175</v>
      </c>
      <c r="I128" t="s" s="79">
        <v>266</v>
      </c>
      <c r="J128" s="80">
        <v>25</v>
      </c>
      <c r="K128" t="s" s="79">
        <v>230</v>
      </c>
      <c r="L128" t="s" s="79">
        <v>154</v>
      </c>
      <c r="M128" s="78"/>
      <c r="N128" s="78"/>
      <c r="O128" t="s" s="88">
        <v>525</v>
      </c>
      <c r="P128" s="80">
        <v>0</v>
      </c>
      <c r="Q128" s="81">
        <v>0</v>
      </c>
      <c r="R128" s="81">
        <v>0</v>
      </c>
      <c r="S128" s="80">
        <v>0</v>
      </c>
      <c r="T128" s="80">
        <v>0</v>
      </c>
      <c r="U128" t="s" s="79">
        <v>122</v>
      </c>
      <c r="V128" s="80">
        <v>10</v>
      </c>
      <c r="W128" s="81">
        <v>5.95</v>
      </c>
      <c r="X128" s="81">
        <v>6.5</v>
      </c>
      <c r="Y128" s="80">
        <v>2</v>
      </c>
      <c r="Z128" s="80">
        <v>0</v>
      </c>
      <c r="AA128" t="s" s="79">
        <v>123</v>
      </c>
      <c r="AB128" t="s" s="79">
        <v>124</v>
      </c>
      <c r="AC128" t="s" s="79">
        <v>124</v>
      </c>
      <c r="AD128" t="s" s="82">
        <v>125</v>
      </c>
      <c r="AE128" s="67"/>
    </row>
    <row r="129" ht="15" customHeight="1">
      <c r="A129" t="s" s="87">
        <v>32</v>
      </c>
      <c r="B129" s="69">
        <v>33.5</v>
      </c>
      <c r="C129" t="b" s="70">
        <v>0</v>
      </c>
      <c r="D129" s="71"/>
      <c r="E129" t="s" s="72">
        <v>526</v>
      </c>
      <c r="F129" t="s" s="72">
        <v>170</v>
      </c>
      <c r="G129" s="73">
        <v>12</v>
      </c>
      <c r="H129" t="s" s="72">
        <v>175</v>
      </c>
      <c r="I129" t="s" s="72">
        <v>175</v>
      </c>
      <c r="J129" s="73">
        <v>26</v>
      </c>
      <c r="K129" t="s" s="72">
        <v>325</v>
      </c>
      <c r="L129" t="s" s="72">
        <v>121</v>
      </c>
      <c r="M129" s="71"/>
      <c r="N129" s="71"/>
      <c r="O129" s="71"/>
      <c r="P129" s="73">
        <v>1</v>
      </c>
      <c r="Q129" s="74">
        <v>5</v>
      </c>
      <c r="R129" s="74">
        <v>5</v>
      </c>
      <c r="S129" s="73">
        <v>0</v>
      </c>
      <c r="T129" s="73">
        <v>0</v>
      </c>
      <c r="U129" t="s" s="72">
        <v>122</v>
      </c>
      <c r="V129" s="73">
        <v>15</v>
      </c>
      <c r="W129" s="74">
        <v>5.87</v>
      </c>
      <c r="X129" s="74">
        <v>6.07</v>
      </c>
      <c r="Y129" s="73">
        <v>1</v>
      </c>
      <c r="Z129" s="73">
        <v>1</v>
      </c>
      <c r="AA129" t="s" s="72">
        <v>123</v>
      </c>
      <c r="AB129" t="s" s="72">
        <v>124</v>
      </c>
      <c r="AC129" t="s" s="72">
        <v>124</v>
      </c>
      <c r="AD129" t="s" s="75">
        <v>125</v>
      </c>
      <c r="AE129" s="67"/>
    </row>
    <row r="130" ht="15" customHeight="1">
      <c r="A130" t="s" s="87">
        <v>32</v>
      </c>
      <c r="B130" s="76">
        <v>32.3</v>
      </c>
      <c r="C130" t="b" s="77">
        <v>0</v>
      </c>
      <c r="D130" t="s" s="85">
        <v>161</v>
      </c>
      <c r="E130" t="s" s="79">
        <v>527</v>
      </c>
      <c r="F130" t="s" s="79">
        <v>172</v>
      </c>
      <c r="G130" s="80">
        <v>7</v>
      </c>
      <c r="H130" t="s" s="79">
        <v>164</v>
      </c>
      <c r="I130" t="s" s="79">
        <v>528</v>
      </c>
      <c r="J130" s="80">
        <v>26</v>
      </c>
      <c r="K130" t="s" s="79">
        <v>529</v>
      </c>
      <c r="L130" t="s" s="79">
        <v>121</v>
      </c>
      <c r="M130" s="78"/>
      <c r="N130" s="78"/>
      <c r="O130" s="78"/>
      <c r="P130" s="80">
        <v>1</v>
      </c>
      <c r="Q130" s="81">
        <v>6</v>
      </c>
      <c r="R130" s="81">
        <v>6</v>
      </c>
      <c r="S130" s="80">
        <v>0</v>
      </c>
      <c r="T130" s="80">
        <v>0</v>
      </c>
      <c r="U130" t="s" s="79">
        <v>122</v>
      </c>
      <c r="V130" s="80">
        <v>35</v>
      </c>
      <c r="W130" s="81">
        <v>6.01</v>
      </c>
      <c r="X130" s="81">
        <v>5.97</v>
      </c>
      <c r="Y130" s="80">
        <v>0</v>
      </c>
      <c r="Z130" s="80">
        <v>0</v>
      </c>
      <c r="AA130" t="s" s="79">
        <v>123</v>
      </c>
      <c r="AB130" t="s" s="79">
        <v>124</v>
      </c>
      <c r="AC130" t="s" s="79">
        <v>124</v>
      </c>
      <c r="AD130" t="s" s="82">
        <v>125</v>
      </c>
      <c r="AE130" s="67"/>
    </row>
    <row r="131" ht="15" customHeight="1">
      <c r="A131" t="s" s="87">
        <v>32</v>
      </c>
      <c r="B131" s="69">
        <v>32.3</v>
      </c>
      <c r="C131" t="b" s="70">
        <v>0</v>
      </c>
      <c r="D131" s="71"/>
      <c r="E131" t="s" s="72">
        <v>530</v>
      </c>
      <c r="F131" t="s" s="72">
        <v>153</v>
      </c>
      <c r="G131" s="73">
        <v>12</v>
      </c>
      <c r="H131" t="s" s="72">
        <v>531</v>
      </c>
      <c r="I131" t="s" s="72">
        <v>532</v>
      </c>
      <c r="J131" s="73">
        <v>24</v>
      </c>
      <c r="K131" t="s" s="72">
        <v>136</v>
      </c>
      <c r="L131" t="s" s="72">
        <v>121</v>
      </c>
      <c r="M131" s="71"/>
      <c r="N131" s="71"/>
      <c r="O131" s="71"/>
      <c r="P131" s="73">
        <v>2</v>
      </c>
      <c r="Q131" s="74">
        <v>5.25</v>
      </c>
      <c r="R131" s="74">
        <v>5.25</v>
      </c>
      <c r="S131" s="73">
        <v>0</v>
      </c>
      <c r="T131" s="73">
        <v>0</v>
      </c>
      <c r="U131" t="s" s="72">
        <v>122</v>
      </c>
      <c r="V131" s="71"/>
      <c r="W131" s="71"/>
      <c r="X131" s="71"/>
      <c r="Y131" s="71"/>
      <c r="Z131" s="71"/>
      <c r="AA131" s="71"/>
      <c r="AB131" t="s" s="72">
        <v>124</v>
      </c>
      <c r="AC131" t="s" s="72">
        <v>124</v>
      </c>
      <c r="AD131" t="s" s="75">
        <v>125</v>
      </c>
      <c r="AE131" s="67"/>
    </row>
    <row r="132" ht="15" customHeight="1">
      <c r="A132" t="s" s="87">
        <v>32</v>
      </c>
      <c r="B132" s="76">
        <v>32.2</v>
      </c>
      <c r="C132" t="b" s="77">
        <v>0</v>
      </c>
      <c r="D132" s="78"/>
      <c r="E132" t="s" s="79">
        <v>533</v>
      </c>
      <c r="F132" t="s" s="79">
        <v>153</v>
      </c>
      <c r="G132" s="80">
        <v>13</v>
      </c>
      <c r="H132" t="s" s="79">
        <v>175</v>
      </c>
      <c r="I132" t="s" s="79">
        <v>493</v>
      </c>
      <c r="J132" s="80">
        <v>22</v>
      </c>
      <c r="K132" t="s" s="79">
        <v>128</v>
      </c>
      <c r="L132" t="s" s="79">
        <v>121</v>
      </c>
      <c r="M132" s="78"/>
      <c r="N132" s="78"/>
      <c r="O132" s="78"/>
      <c r="P132" s="80">
        <v>0</v>
      </c>
      <c r="Q132" s="81">
        <v>0</v>
      </c>
      <c r="R132" s="81">
        <v>0</v>
      </c>
      <c r="S132" s="80">
        <v>0</v>
      </c>
      <c r="T132" s="80">
        <v>0</v>
      </c>
      <c r="U132" t="s" s="79">
        <v>122</v>
      </c>
      <c r="V132" s="78"/>
      <c r="W132" s="78"/>
      <c r="X132" s="78"/>
      <c r="Y132" s="78"/>
      <c r="Z132" s="78"/>
      <c r="AA132" s="78"/>
      <c r="AB132" t="s" s="79">
        <v>124</v>
      </c>
      <c r="AC132" t="s" s="79">
        <v>124</v>
      </c>
      <c r="AD132" t="s" s="82">
        <v>125</v>
      </c>
      <c r="AE132" s="67"/>
    </row>
    <row r="133" ht="15" customHeight="1">
      <c r="A133" t="s" s="87">
        <v>32</v>
      </c>
      <c r="B133" s="69">
        <v>31.9</v>
      </c>
      <c r="C133" t="b" s="70">
        <v>0</v>
      </c>
      <c r="D133" t="s" s="84">
        <v>161</v>
      </c>
      <c r="E133" t="s" s="72">
        <v>534</v>
      </c>
      <c r="F133" t="s" s="72">
        <v>168</v>
      </c>
      <c r="G133" s="73">
        <v>7</v>
      </c>
      <c r="H133" t="s" s="72">
        <v>118</v>
      </c>
      <c r="I133" t="s" s="72">
        <v>432</v>
      </c>
      <c r="J133" s="73">
        <v>28</v>
      </c>
      <c r="K133" t="s" s="72">
        <v>535</v>
      </c>
      <c r="L133" t="s" s="72">
        <v>121</v>
      </c>
      <c r="M133" s="71"/>
      <c r="N133" s="71"/>
      <c r="O133" s="71"/>
      <c r="P133" s="73">
        <v>2</v>
      </c>
      <c r="Q133" s="74">
        <v>5.5</v>
      </c>
      <c r="R133" s="74">
        <v>5.25</v>
      </c>
      <c r="S133" s="73">
        <v>0</v>
      </c>
      <c r="T133" s="73">
        <v>0</v>
      </c>
      <c r="U133" t="s" s="72">
        <v>122</v>
      </c>
      <c r="V133" s="73">
        <v>21</v>
      </c>
      <c r="W133" s="74">
        <v>5.81</v>
      </c>
      <c r="X133" s="74">
        <v>5.62</v>
      </c>
      <c r="Y133" s="73">
        <v>0</v>
      </c>
      <c r="Z133" s="73">
        <v>0</v>
      </c>
      <c r="AA133" t="s" s="72">
        <v>123</v>
      </c>
      <c r="AB133" t="s" s="72">
        <v>124</v>
      </c>
      <c r="AC133" t="s" s="72">
        <v>124</v>
      </c>
      <c r="AD133" t="s" s="75">
        <v>125</v>
      </c>
      <c r="AE133" s="67"/>
    </row>
    <row r="134" ht="15" customHeight="1">
      <c r="A134" t="s" s="87">
        <v>32</v>
      </c>
      <c r="B134" s="76">
        <v>31.5</v>
      </c>
      <c r="C134" t="b" s="77">
        <v>0</v>
      </c>
      <c r="D134" s="78"/>
      <c r="E134" t="s" s="79">
        <v>536</v>
      </c>
      <c r="F134" t="s" s="79">
        <v>168</v>
      </c>
      <c r="G134" s="80">
        <v>10</v>
      </c>
      <c r="H134" t="s" s="79">
        <v>537</v>
      </c>
      <c r="I134" t="s" s="79">
        <v>537</v>
      </c>
      <c r="J134" s="80">
        <v>24</v>
      </c>
      <c r="K134" t="s" s="79">
        <v>356</v>
      </c>
      <c r="L134" t="s" s="79">
        <v>121</v>
      </c>
      <c r="M134" s="78"/>
      <c r="N134" s="78"/>
      <c r="O134" s="78"/>
      <c r="P134" s="80">
        <v>2</v>
      </c>
      <c r="Q134" s="81">
        <v>5.5</v>
      </c>
      <c r="R134" s="81">
        <v>5.5</v>
      </c>
      <c r="S134" s="80">
        <v>0</v>
      </c>
      <c r="T134" s="80">
        <v>0</v>
      </c>
      <c r="U134" t="s" s="79">
        <v>122</v>
      </c>
      <c r="V134" s="80">
        <v>19</v>
      </c>
      <c r="W134" s="81">
        <v>5.79</v>
      </c>
      <c r="X134" s="81">
        <v>5.87</v>
      </c>
      <c r="Y134" s="80">
        <v>1</v>
      </c>
      <c r="Z134" s="80">
        <v>0</v>
      </c>
      <c r="AA134" t="s" s="79">
        <v>123</v>
      </c>
      <c r="AB134" t="s" s="79">
        <v>124</v>
      </c>
      <c r="AC134" t="s" s="79">
        <v>124</v>
      </c>
      <c r="AD134" t="s" s="82">
        <v>125</v>
      </c>
      <c r="AE134" s="67"/>
    </row>
    <row r="135" ht="15" customHeight="1">
      <c r="A135" t="s" s="87">
        <v>32</v>
      </c>
      <c r="B135" s="69">
        <v>31.5</v>
      </c>
      <c r="C135" t="b" s="70">
        <v>0</v>
      </c>
      <c r="D135" s="71"/>
      <c r="E135" t="s" s="72">
        <v>538</v>
      </c>
      <c r="F135" t="s" s="72">
        <v>149</v>
      </c>
      <c r="G135" s="73">
        <v>12</v>
      </c>
      <c r="H135" t="s" s="72">
        <v>175</v>
      </c>
      <c r="I135" t="s" s="72">
        <v>175</v>
      </c>
      <c r="J135" s="73">
        <v>32</v>
      </c>
      <c r="K135" t="s" s="72">
        <v>128</v>
      </c>
      <c r="L135" t="s" s="72">
        <v>121</v>
      </c>
      <c r="M135" s="71"/>
      <c r="N135" s="71"/>
      <c r="O135" s="71"/>
      <c r="P135" s="73">
        <v>0</v>
      </c>
      <c r="Q135" s="74">
        <v>0</v>
      </c>
      <c r="R135" s="74">
        <v>0</v>
      </c>
      <c r="S135" s="73">
        <v>0</v>
      </c>
      <c r="T135" s="73">
        <v>0</v>
      </c>
      <c r="U135" t="s" s="72">
        <v>122</v>
      </c>
      <c r="V135" s="73">
        <v>17</v>
      </c>
      <c r="W135" s="74">
        <v>5.74</v>
      </c>
      <c r="X135" s="74">
        <v>5.68</v>
      </c>
      <c r="Y135" s="73">
        <v>0</v>
      </c>
      <c r="Z135" s="73">
        <v>0</v>
      </c>
      <c r="AA135" t="s" s="72">
        <v>123</v>
      </c>
      <c r="AB135" t="s" s="72">
        <v>124</v>
      </c>
      <c r="AC135" t="s" s="72">
        <v>124</v>
      </c>
      <c r="AD135" t="s" s="75">
        <v>125</v>
      </c>
      <c r="AE135" s="67"/>
    </row>
    <row r="136" ht="15" customHeight="1">
      <c r="A136" t="s" s="87">
        <v>32</v>
      </c>
      <c r="B136" s="76">
        <v>30.9</v>
      </c>
      <c r="C136" t="b" s="77">
        <v>0</v>
      </c>
      <c r="D136" s="78"/>
      <c r="E136" t="s" s="79">
        <v>539</v>
      </c>
      <c r="F136" t="s" s="79">
        <v>180</v>
      </c>
      <c r="G136" s="80">
        <v>8</v>
      </c>
      <c r="H136" t="s" s="79">
        <v>118</v>
      </c>
      <c r="I136" t="s" s="79">
        <v>150</v>
      </c>
      <c r="J136" s="80">
        <v>24</v>
      </c>
      <c r="K136" t="s" s="79">
        <v>128</v>
      </c>
      <c r="L136" t="s" s="79">
        <v>121</v>
      </c>
      <c r="M136" s="78"/>
      <c r="N136" s="78"/>
      <c r="O136" s="78"/>
      <c r="P136" s="80">
        <v>2</v>
      </c>
      <c r="Q136" s="81">
        <v>6</v>
      </c>
      <c r="R136" s="81">
        <v>6</v>
      </c>
      <c r="S136" s="80">
        <v>0</v>
      </c>
      <c r="T136" s="80">
        <v>0</v>
      </c>
      <c r="U136" t="s" s="79">
        <v>122</v>
      </c>
      <c r="V136" s="78"/>
      <c r="W136" s="78"/>
      <c r="X136" s="78"/>
      <c r="Y136" s="78"/>
      <c r="Z136" s="78"/>
      <c r="AA136" s="78"/>
      <c r="AB136" t="s" s="79">
        <v>124</v>
      </c>
      <c r="AC136" t="s" s="79">
        <v>124</v>
      </c>
      <c r="AD136" t="s" s="82">
        <v>125</v>
      </c>
      <c r="AE136" s="67"/>
    </row>
    <row r="137" ht="15" customHeight="1">
      <c r="A137" t="s" s="87">
        <v>32</v>
      </c>
      <c r="B137" s="69">
        <v>29.7</v>
      </c>
      <c r="C137" t="b" s="70">
        <v>0</v>
      </c>
      <c r="D137" t="s" s="84">
        <v>161</v>
      </c>
      <c r="E137" t="s" s="72">
        <v>540</v>
      </c>
      <c r="F137" t="s" s="72">
        <v>187</v>
      </c>
      <c r="G137" s="73">
        <v>8</v>
      </c>
      <c r="H137" t="s" s="72">
        <v>164</v>
      </c>
      <c r="I137" t="s" s="72">
        <v>194</v>
      </c>
      <c r="J137" s="73">
        <v>21</v>
      </c>
      <c r="K137" t="s" s="72">
        <v>145</v>
      </c>
      <c r="L137" t="s" s="72">
        <v>121</v>
      </c>
      <c r="M137" s="71"/>
      <c r="N137" s="71"/>
      <c r="O137" s="71"/>
      <c r="P137" s="73">
        <v>0</v>
      </c>
      <c r="Q137" s="74">
        <v>0</v>
      </c>
      <c r="R137" s="74">
        <v>0</v>
      </c>
      <c r="S137" s="73">
        <v>0</v>
      </c>
      <c r="T137" s="73">
        <v>0</v>
      </c>
      <c r="U137" t="s" s="72">
        <v>122</v>
      </c>
      <c r="V137" s="73">
        <v>9</v>
      </c>
      <c r="W137" s="74">
        <v>5.83</v>
      </c>
      <c r="X137" s="74">
        <v>5.67</v>
      </c>
      <c r="Y137" s="73">
        <v>0</v>
      </c>
      <c r="Z137" s="73">
        <v>0</v>
      </c>
      <c r="AA137" t="s" s="72">
        <v>123</v>
      </c>
      <c r="AB137" t="s" s="72">
        <v>124</v>
      </c>
      <c r="AC137" t="s" s="72">
        <v>124</v>
      </c>
      <c r="AD137" t="s" s="75">
        <v>125</v>
      </c>
      <c r="AE137" s="67"/>
    </row>
    <row r="138" ht="15" customHeight="1">
      <c r="A138" t="s" s="87">
        <v>32</v>
      </c>
      <c r="B138" s="76">
        <v>29.5</v>
      </c>
      <c r="C138" t="b" s="77">
        <v>0</v>
      </c>
      <c r="D138" s="78"/>
      <c r="E138" t="s" s="79">
        <v>541</v>
      </c>
      <c r="F138" t="s" s="79">
        <v>149</v>
      </c>
      <c r="G138" s="80">
        <v>11</v>
      </c>
      <c r="H138" t="s" s="79">
        <v>175</v>
      </c>
      <c r="I138" t="s" s="79">
        <v>175</v>
      </c>
      <c r="J138" s="80">
        <v>33</v>
      </c>
      <c r="K138" t="s" s="79">
        <v>136</v>
      </c>
      <c r="L138" t="s" s="79">
        <v>121</v>
      </c>
      <c r="M138" s="78"/>
      <c r="N138" s="78"/>
      <c r="O138" s="78"/>
      <c r="P138" s="80">
        <v>0</v>
      </c>
      <c r="Q138" s="81">
        <v>0</v>
      </c>
      <c r="R138" s="81">
        <v>0</v>
      </c>
      <c r="S138" s="80">
        <v>0</v>
      </c>
      <c r="T138" s="80">
        <v>0</v>
      </c>
      <c r="U138" t="s" s="79">
        <v>122</v>
      </c>
      <c r="V138" s="80">
        <v>11</v>
      </c>
      <c r="W138" s="81">
        <v>5.82</v>
      </c>
      <c r="X138" s="81">
        <v>5.73</v>
      </c>
      <c r="Y138" s="80">
        <v>0</v>
      </c>
      <c r="Z138" s="80">
        <v>0</v>
      </c>
      <c r="AA138" t="s" s="79">
        <v>123</v>
      </c>
      <c r="AB138" t="s" s="79">
        <v>124</v>
      </c>
      <c r="AC138" t="s" s="79">
        <v>124</v>
      </c>
      <c r="AD138" t="s" s="82">
        <v>125</v>
      </c>
      <c r="AE138" s="67"/>
    </row>
    <row r="139" ht="15" customHeight="1">
      <c r="A139" t="s" s="87">
        <v>32</v>
      </c>
      <c r="B139" s="69">
        <v>29.2</v>
      </c>
      <c r="C139" t="b" s="70">
        <v>0</v>
      </c>
      <c r="D139" t="s" s="84">
        <v>161</v>
      </c>
      <c r="E139" t="s" s="72">
        <v>542</v>
      </c>
      <c r="F139" t="s" s="72">
        <v>144</v>
      </c>
      <c r="G139" s="73">
        <v>10</v>
      </c>
      <c r="H139" t="s" s="72">
        <v>175</v>
      </c>
      <c r="I139" t="s" s="72">
        <v>408</v>
      </c>
      <c r="J139" s="73">
        <v>24</v>
      </c>
      <c r="K139" t="s" s="72">
        <v>543</v>
      </c>
      <c r="L139" t="s" s="72">
        <v>154</v>
      </c>
      <c r="M139" s="71"/>
      <c r="N139" s="71"/>
      <c r="O139" s="71"/>
      <c r="P139" s="73">
        <v>1</v>
      </c>
      <c r="Q139" s="74">
        <v>6.5</v>
      </c>
      <c r="R139" s="74">
        <v>6.5</v>
      </c>
      <c r="S139" s="73">
        <v>0</v>
      </c>
      <c r="T139" s="73">
        <v>0</v>
      </c>
      <c r="U139" t="s" s="72">
        <v>122</v>
      </c>
      <c r="V139" s="71"/>
      <c r="W139" s="71"/>
      <c r="X139" s="71"/>
      <c r="Y139" s="71"/>
      <c r="Z139" s="71"/>
      <c r="AA139" s="71"/>
      <c r="AB139" t="s" s="72">
        <v>124</v>
      </c>
      <c r="AC139" t="s" s="72">
        <v>124</v>
      </c>
      <c r="AD139" t="s" s="75">
        <v>125</v>
      </c>
      <c r="AE139" s="67"/>
    </row>
    <row r="140" ht="15" customHeight="1">
      <c r="A140" t="s" s="87">
        <v>32</v>
      </c>
      <c r="B140" s="76">
        <v>28.8</v>
      </c>
      <c r="C140" t="b" s="77">
        <v>0</v>
      </c>
      <c r="D140" s="78"/>
      <c r="E140" t="s" s="79">
        <v>544</v>
      </c>
      <c r="F140" t="s" s="79">
        <v>149</v>
      </c>
      <c r="G140" s="80">
        <v>10</v>
      </c>
      <c r="H140" t="s" s="79">
        <v>175</v>
      </c>
      <c r="I140" t="s" s="79">
        <v>175</v>
      </c>
      <c r="J140" s="80">
        <v>27</v>
      </c>
      <c r="K140" t="s" s="79">
        <v>128</v>
      </c>
      <c r="L140" t="s" s="79">
        <v>154</v>
      </c>
      <c r="M140" s="78"/>
      <c r="N140" s="78"/>
      <c r="O140" s="78"/>
      <c r="P140" s="80">
        <v>0</v>
      </c>
      <c r="Q140" s="81">
        <v>0</v>
      </c>
      <c r="R140" s="81">
        <v>0</v>
      </c>
      <c r="S140" s="80">
        <v>0</v>
      </c>
      <c r="T140" s="80">
        <v>0</v>
      </c>
      <c r="U140" t="s" s="79">
        <v>122</v>
      </c>
      <c r="V140" s="80">
        <v>24</v>
      </c>
      <c r="W140" s="81">
        <v>5.73</v>
      </c>
      <c r="X140" s="81">
        <v>5.69</v>
      </c>
      <c r="Y140" s="80">
        <v>1</v>
      </c>
      <c r="Z140" s="80">
        <v>0</v>
      </c>
      <c r="AA140" t="s" s="79">
        <v>123</v>
      </c>
      <c r="AB140" t="s" s="79">
        <v>124</v>
      </c>
      <c r="AC140" t="s" s="79">
        <v>124</v>
      </c>
      <c r="AD140" t="s" s="82">
        <v>125</v>
      </c>
      <c r="AE140" s="67"/>
    </row>
    <row r="141" ht="15" customHeight="1">
      <c r="A141" t="s" s="87">
        <v>32</v>
      </c>
      <c r="B141" s="69">
        <v>28.4</v>
      </c>
      <c r="C141" t="b" s="70">
        <v>0</v>
      </c>
      <c r="D141" s="71"/>
      <c r="E141" t="s" s="72">
        <v>545</v>
      </c>
      <c r="F141" t="s" s="72">
        <v>149</v>
      </c>
      <c r="G141" s="73">
        <v>9</v>
      </c>
      <c r="H141" t="s" s="72">
        <v>175</v>
      </c>
      <c r="I141" t="s" s="72">
        <v>175</v>
      </c>
      <c r="J141" s="73">
        <v>23</v>
      </c>
      <c r="K141" t="s" s="72">
        <v>128</v>
      </c>
      <c r="L141" t="s" s="72">
        <v>121</v>
      </c>
      <c r="M141" s="71"/>
      <c r="N141" s="71"/>
      <c r="O141" s="71"/>
      <c r="P141" s="73">
        <v>2</v>
      </c>
      <c r="Q141" s="74">
        <v>6.25</v>
      </c>
      <c r="R141" s="74">
        <v>6</v>
      </c>
      <c r="S141" s="73">
        <v>0</v>
      </c>
      <c r="T141" s="73">
        <v>0</v>
      </c>
      <c r="U141" t="s" s="72">
        <v>122</v>
      </c>
      <c r="V141" s="73">
        <v>23</v>
      </c>
      <c r="W141" s="74">
        <v>5.72</v>
      </c>
      <c r="X141" s="74">
        <v>5.72</v>
      </c>
      <c r="Y141" s="73">
        <v>0</v>
      </c>
      <c r="Z141" s="73">
        <v>1</v>
      </c>
      <c r="AA141" t="s" s="72">
        <v>123</v>
      </c>
      <c r="AB141" t="s" s="72">
        <v>124</v>
      </c>
      <c r="AC141" t="s" s="72">
        <v>124</v>
      </c>
      <c r="AD141" t="s" s="75">
        <v>125</v>
      </c>
      <c r="AE141" s="67"/>
    </row>
    <row r="142" ht="15" customHeight="1">
      <c r="A142" t="s" s="87">
        <v>32</v>
      </c>
      <c r="B142" s="76">
        <v>27.9</v>
      </c>
      <c r="C142" t="b" s="77">
        <v>0</v>
      </c>
      <c r="D142" s="78"/>
      <c r="E142" t="s" s="79">
        <v>546</v>
      </c>
      <c r="F142" t="s" s="79">
        <v>180</v>
      </c>
      <c r="G142" s="80">
        <v>8</v>
      </c>
      <c r="H142" t="s" s="79">
        <v>164</v>
      </c>
      <c r="I142" t="s" s="79">
        <v>401</v>
      </c>
      <c r="J142" s="80">
        <v>23</v>
      </c>
      <c r="K142" t="s" s="79">
        <v>547</v>
      </c>
      <c r="L142" t="s" s="79">
        <v>121</v>
      </c>
      <c r="M142" s="78"/>
      <c r="N142" s="78"/>
      <c r="O142" s="78"/>
      <c r="P142" s="80">
        <v>0</v>
      </c>
      <c r="Q142" s="81">
        <v>0</v>
      </c>
      <c r="R142" s="81">
        <v>0</v>
      </c>
      <c r="S142" s="80">
        <v>0</v>
      </c>
      <c r="T142" s="80">
        <v>0</v>
      </c>
      <c r="U142" t="s" s="79">
        <v>122</v>
      </c>
      <c r="V142" s="78"/>
      <c r="W142" s="78"/>
      <c r="X142" s="78"/>
      <c r="Y142" s="78"/>
      <c r="Z142" s="78"/>
      <c r="AA142" s="78"/>
      <c r="AB142" t="s" s="79">
        <v>124</v>
      </c>
      <c r="AC142" t="s" s="79">
        <v>124</v>
      </c>
      <c r="AD142" t="s" s="82">
        <v>125</v>
      </c>
      <c r="AE142" s="67"/>
    </row>
    <row r="143" ht="15" customHeight="1">
      <c r="A143" t="s" s="87">
        <v>32</v>
      </c>
      <c r="B143" s="69">
        <v>27.5</v>
      </c>
      <c r="C143" t="b" s="70">
        <v>0</v>
      </c>
      <c r="D143" s="71"/>
      <c r="E143" t="s" s="72">
        <v>548</v>
      </c>
      <c r="F143" t="s" s="72">
        <v>130</v>
      </c>
      <c r="G143" s="73">
        <v>9</v>
      </c>
      <c r="H143" t="s" s="72">
        <v>175</v>
      </c>
      <c r="I143" t="s" s="72">
        <v>200</v>
      </c>
      <c r="J143" s="73">
        <v>23</v>
      </c>
      <c r="K143" t="s" s="72">
        <v>128</v>
      </c>
      <c r="L143" t="s" s="72">
        <v>121</v>
      </c>
      <c r="M143" s="71"/>
      <c r="N143" s="71"/>
      <c r="O143" s="71"/>
      <c r="P143" s="73">
        <v>0</v>
      </c>
      <c r="Q143" s="74">
        <v>0</v>
      </c>
      <c r="R143" s="74">
        <v>0</v>
      </c>
      <c r="S143" s="73">
        <v>0</v>
      </c>
      <c r="T143" s="73">
        <v>0</v>
      </c>
      <c r="U143" t="s" s="72">
        <v>122</v>
      </c>
      <c r="V143" s="73">
        <v>36</v>
      </c>
      <c r="W143" s="74">
        <v>5.93</v>
      </c>
      <c r="X143" s="74">
        <v>5.9</v>
      </c>
      <c r="Y143" s="73">
        <v>2</v>
      </c>
      <c r="Z143" s="73">
        <v>0</v>
      </c>
      <c r="AA143" t="s" s="72">
        <v>123</v>
      </c>
      <c r="AB143" t="s" s="72">
        <v>124</v>
      </c>
      <c r="AC143" t="s" s="72">
        <v>124</v>
      </c>
      <c r="AD143" t="s" s="75">
        <v>125</v>
      </c>
      <c r="AE143" s="67"/>
    </row>
    <row r="144" ht="15" customHeight="1">
      <c r="A144" t="s" s="87">
        <v>32</v>
      </c>
      <c r="B144" s="76">
        <v>27.5</v>
      </c>
      <c r="C144" t="b" s="77">
        <v>0</v>
      </c>
      <c r="D144" s="78"/>
      <c r="E144" t="s" s="79">
        <v>549</v>
      </c>
      <c r="F144" t="s" s="79">
        <v>193</v>
      </c>
      <c r="G144" s="80">
        <v>9</v>
      </c>
      <c r="H144" t="s" s="79">
        <v>175</v>
      </c>
      <c r="I144" t="s" s="79">
        <v>203</v>
      </c>
      <c r="J144" s="80">
        <v>20</v>
      </c>
      <c r="K144" t="s" s="79">
        <v>550</v>
      </c>
      <c r="L144" t="s" s="79">
        <v>121</v>
      </c>
      <c r="M144" s="78"/>
      <c r="N144" s="78"/>
      <c r="O144" s="78"/>
      <c r="P144" s="80">
        <v>1</v>
      </c>
      <c r="Q144" s="81">
        <v>6</v>
      </c>
      <c r="R144" s="81">
        <v>6</v>
      </c>
      <c r="S144" s="80">
        <v>0</v>
      </c>
      <c r="T144" s="80">
        <v>0</v>
      </c>
      <c r="U144" t="s" s="79">
        <v>122</v>
      </c>
      <c r="V144" s="80">
        <v>28</v>
      </c>
      <c r="W144" s="81">
        <v>5.66</v>
      </c>
      <c r="X144" s="81">
        <v>5.61</v>
      </c>
      <c r="Y144" s="80">
        <v>0</v>
      </c>
      <c r="Z144" s="80">
        <v>2</v>
      </c>
      <c r="AA144" t="s" s="79">
        <v>123</v>
      </c>
      <c r="AB144" t="s" s="79">
        <v>124</v>
      </c>
      <c r="AC144" t="s" s="79">
        <v>124</v>
      </c>
      <c r="AD144" t="s" s="82">
        <v>125</v>
      </c>
      <c r="AE144" s="67"/>
    </row>
    <row r="145" ht="15" customHeight="1">
      <c r="A145" t="s" s="87">
        <v>32</v>
      </c>
      <c r="B145" s="69">
        <v>26.3</v>
      </c>
      <c r="C145" t="b" s="70">
        <v>0</v>
      </c>
      <c r="D145" s="71"/>
      <c r="E145" t="s" s="72">
        <v>551</v>
      </c>
      <c r="F145" t="s" s="72">
        <v>130</v>
      </c>
      <c r="G145" s="73">
        <v>9</v>
      </c>
      <c r="H145" t="s" s="72">
        <v>175</v>
      </c>
      <c r="I145" t="s" s="72">
        <v>175</v>
      </c>
      <c r="J145" s="73">
        <v>28</v>
      </c>
      <c r="K145" t="s" s="72">
        <v>552</v>
      </c>
      <c r="L145" t="s" s="72">
        <v>154</v>
      </c>
      <c r="M145" s="71"/>
      <c r="N145" s="71"/>
      <c r="O145" s="71"/>
      <c r="P145" s="73">
        <v>1</v>
      </c>
      <c r="Q145" s="74">
        <v>6</v>
      </c>
      <c r="R145" s="74">
        <v>6</v>
      </c>
      <c r="S145" s="73">
        <v>0</v>
      </c>
      <c r="T145" s="73">
        <v>0</v>
      </c>
      <c r="U145" t="s" s="72">
        <v>122</v>
      </c>
      <c r="V145" s="73">
        <v>14</v>
      </c>
      <c r="W145" s="74">
        <v>5.61</v>
      </c>
      <c r="X145" s="74">
        <v>5.68</v>
      </c>
      <c r="Y145" s="73">
        <v>1</v>
      </c>
      <c r="Z145" s="73">
        <v>1</v>
      </c>
      <c r="AA145" t="s" s="72">
        <v>123</v>
      </c>
      <c r="AB145" t="s" s="72">
        <v>124</v>
      </c>
      <c r="AC145" t="s" s="72">
        <v>124</v>
      </c>
      <c r="AD145" t="s" s="75">
        <v>125</v>
      </c>
      <c r="AE145" s="67"/>
    </row>
    <row r="146" ht="15" customHeight="1">
      <c r="A146" t="s" s="87">
        <v>32</v>
      </c>
      <c r="B146" s="76">
        <v>26</v>
      </c>
      <c r="C146" t="b" s="77">
        <v>0</v>
      </c>
      <c r="D146" t="s" s="85">
        <v>161</v>
      </c>
      <c r="E146" t="s" s="79">
        <v>553</v>
      </c>
      <c r="F146" t="s" s="79">
        <v>183</v>
      </c>
      <c r="G146" s="80">
        <v>9</v>
      </c>
      <c r="H146" t="s" s="79">
        <v>175</v>
      </c>
      <c r="I146" t="s" s="79">
        <v>408</v>
      </c>
      <c r="J146" s="80">
        <v>23</v>
      </c>
      <c r="K146" t="s" s="79">
        <v>554</v>
      </c>
      <c r="L146" t="s" s="79">
        <v>121</v>
      </c>
      <c r="M146" s="78"/>
      <c r="N146" s="78"/>
      <c r="O146" s="78"/>
      <c r="P146" s="80">
        <v>1</v>
      </c>
      <c r="Q146" s="81">
        <v>5</v>
      </c>
      <c r="R146" s="81">
        <v>3</v>
      </c>
      <c r="S146" s="80">
        <v>0</v>
      </c>
      <c r="T146" s="80">
        <v>0</v>
      </c>
      <c r="U146" t="s" s="79">
        <v>122</v>
      </c>
      <c r="V146" s="78"/>
      <c r="W146" s="78"/>
      <c r="X146" s="78"/>
      <c r="Y146" s="78"/>
      <c r="Z146" s="78"/>
      <c r="AA146" s="78"/>
      <c r="AB146" t="s" s="79">
        <v>124</v>
      </c>
      <c r="AC146" t="s" s="79">
        <v>124</v>
      </c>
      <c r="AD146" t="s" s="82">
        <v>125</v>
      </c>
      <c r="AE146" s="67"/>
    </row>
    <row r="147" ht="15" customHeight="1">
      <c r="A147" t="s" s="87">
        <v>32</v>
      </c>
      <c r="B147" s="69">
        <v>25.7</v>
      </c>
      <c r="C147" t="b" s="70">
        <v>0</v>
      </c>
      <c r="D147" s="71"/>
      <c r="E147" t="s" s="72">
        <v>555</v>
      </c>
      <c r="F147" t="s" s="72">
        <v>193</v>
      </c>
      <c r="G147" s="73">
        <v>9</v>
      </c>
      <c r="H147" t="s" s="72">
        <v>175</v>
      </c>
      <c r="I147" t="s" s="72">
        <v>175</v>
      </c>
      <c r="J147" s="73">
        <v>27</v>
      </c>
      <c r="K147" t="s" s="72">
        <v>316</v>
      </c>
      <c r="L147" t="s" s="72">
        <v>154</v>
      </c>
      <c r="M147" s="71"/>
      <c r="N147" s="71"/>
      <c r="O147" s="71"/>
      <c r="P147" s="73">
        <v>0</v>
      </c>
      <c r="Q147" s="74">
        <v>0</v>
      </c>
      <c r="R147" s="74">
        <v>0</v>
      </c>
      <c r="S147" s="73">
        <v>0</v>
      </c>
      <c r="T147" s="73">
        <v>0</v>
      </c>
      <c r="U147" t="s" s="72">
        <v>122</v>
      </c>
      <c r="V147" s="73">
        <v>27</v>
      </c>
      <c r="W147" s="74">
        <v>5.87</v>
      </c>
      <c r="X147" s="74">
        <v>5.74</v>
      </c>
      <c r="Y147" s="73">
        <v>0</v>
      </c>
      <c r="Z147" s="73">
        <v>0</v>
      </c>
      <c r="AA147" t="s" s="72">
        <v>123</v>
      </c>
      <c r="AB147" t="s" s="72">
        <v>124</v>
      </c>
      <c r="AC147" t="s" s="72">
        <v>124</v>
      </c>
      <c r="AD147" t="s" s="75">
        <v>125</v>
      </c>
      <c r="AE147" s="67"/>
    </row>
    <row r="148" ht="15" customHeight="1">
      <c r="A148" t="s" s="87">
        <v>32</v>
      </c>
      <c r="B148" s="76">
        <v>25.7</v>
      </c>
      <c r="C148" t="b" s="77">
        <v>0</v>
      </c>
      <c r="D148" s="78"/>
      <c r="E148" t="s" s="79">
        <v>556</v>
      </c>
      <c r="F148" t="s" s="79">
        <v>163</v>
      </c>
      <c r="G148" s="80">
        <v>10</v>
      </c>
      <c r="H148" t="s" s="79">
        <v>175</v>
      </c>
      <c r="I148" t="s" s="79">
        <v>445</v>
      </c>
      <c r="J148" s="80">
        <v>34</v>
      </c>
      <c r="K148" t="s" s="79">
        <v>557</v>
      </c>
      <c r="L148" t="s" s="79">
        <v>154</v>
      </c>
      <c r="M148" s="78"/>
      <c r="N148" s="78"/>
      <c r="O148" s="78"/>
      <c r="P148" s="80">
        <v>0</v>
      </c>
      <c r="Q148" s="81">
        <v>0</v>
      </c>
      <c r="R148" s="81">
        <v>0</v>
      </c>
      <c r="S148" s="80">
        <v>0</v>
      </c>
      <c r="T148" s="80">
        <v>0</v>
      </c>
      <c r="U148" t="s" s="79">
        <v>122</v>
      </c>
      <c r="V148" s="78"/>
      <c r="W148" s="78"/>
      <c r="X148" s="78"/>
      <c r="Y148" s="78"/>
      <c r="Z148" s="78"/>
      <c r="AA148" s="78"/>
      <c r="AB148" t="s" s="79">
        <v>124</v>
      </c>
      <c r="AC148" t="s" s="79">
        <v>124</v>
      </c>
      <c r="AD148" t="s" s="82">
        <v>125</v>
      </c>
      <c r="AE148" s="67"/>
    </row>
    <row r="149" ht="15" customHeight="1">
      <c r="A149" t="s" s="87">
        <v>32</v>
      </c>
      <c r="B149" s="69">
        <v>24.1</v>
      </c>
      <c r="C149" t="b" s="70">
        <v>0</v>
      </c>
      <c r="D149" s="71"/>
      <c r="E149" t="s" s="72">
        <v>558</v>
      </c>
      <c r="F149" t="s" s="72">
        <v>147</v>
      </c>
      <c r="G149" s="73">
        <v>10</v>
      </c>
      <c r="H149" t="s" s="72">
        <v>175</v>
      </c>
      <c r="I149" t="s" s="72">
        <v>559</v>
      </c>
      <c r="J149" s="73">
        <v>21</v>
      </c>
      <c r="K149" t="s" s="72">
        <v>560</v>
      </c>
      <c r="L149" t="s" s="72">
        <v>154</v>
      </c>
      <c r="M149" s="71"/>
      <c r="N149" s="71"/>
      <c r="O149" t="s" s="88">
        <v>268</v>
      </c>
      <c r="P149" s="73">
        <v>0</v>
      </c>
      <c r="Q149" s="74">
        <v>0</v>
      </c>
      <c r="R149" s="74">
        <v>0</v>
      </c>
      <c r="S149" s="73">
        <v>0</v>
      </c>
      <c r="T149" s="73">
        <v>0</v>
      </c>
      <c r="U149" t="s" s="72">
        <v>122</v>
      </c>
      <c r="V149" s="73">
        <v>19</v>
      </c>
      <c r="W149" s="74">
        <v>5.95</v>
      </c>
      <c r="X149" s="74">
        <v>6.18</v>
      </c>
      <c r="Y149" s="73">
        <v>2</v>
      </c>
      <c r="Z149" s="73">
        <v>0</v>
      </c>
      <c r="AA149" t="s" s="72">
        <v>123</v>
      </c>
      <c r="AB149" t="s" s="72">
        <v>124</v>
      </c>
      <c r="AC149" t="s" s="72">
        <v>124</v>
      </c>
      <c r="AD149" t="s" s="75">
        <v>125</v>
      </c>
      <c r="AE149" s="67"/>
    </row>
    <row r="150" ht="15" customHeight="1">
      <c r="A150" t="s" s="87">
        <v>32</v>
      </c>
      <c r="B150" s="76">
        <v>23.1</v>
      </c>
      <c r="C150" t="b" s="77">
        <v>0</v>
      </c>
      <c r="D150" t="s" s="85">
        <v>161</v>
      </c>
      <c r="E150" t="s" s="79">
        <v>561</v>
      </c>
      <c r="F150" t="s" s="79">
        <v>193</v>
      </c>
      <c r="G150" s="80">
        <v>8</v>
      </c>
      <c r="H150" t="s" s="79">
        <v>562</v>
      </c>
      <c r="I150" t="s" s="79">
        <v>563</v>
      </c>
      <c r="J150" s="80">
        <v>24</v>
      </c>
      <c r="K150" t="s" s="79">
        <v>190</v>
      </c>
      <c r="L150" t="s" s="79">
        <v>154</v>
      </c>
      <c r="M150" s="78"/>
      <c r="N150" s="78"/>
      <c r="O150" s="78"/>
      <c r="P150" s="80">
        <v>1</v>
      </c>
      <c r="Q150" s="81">
        <v>6</v>
      </c>
      <c r="R150" s="81">
        <v>6</v>
      </c>
      <c r="S150" s="80">
        <v>0</v>
      </c>
      <c r="T150" s="80">
        <v>0</v>
      </c>
      <c r="U150" t="s" s="79">
        <v>122</v>
      </c>
      <c r="V150" s="80">
        <v>11</v>
      </c>
      <c r="W150" s="81">
        <v>5.59</v>
      </c>
      <c r="X150" s="81">
        <v>5.36</v>
      </c>
      <c r="Y150" s="80">
        <v>0</v>
      </c>
      <c r="Z150" s="80">
        <v>0</v>
      </c>
      <c r="AA150" t="s" s="79">
        <v>123</v>
      </c>
      <c r="AB150" t="s" s="79">
        <v>124</v>
      </c>
      <c r="AC150" t="s" s="79">
        <v>124</v>
      </c>
      <c r="AD150" t="s" s="82">
        <v>125</v>
      </c>
      <c r="AE150" s="67"/>
    </row>
    <row r="151" ht="15" customHeight="1">
      <c r="A151" t="s" s="87">
        <v>32</v>
      </c>
      <c r="B151" s="69">
        <v>22.8</v>
      </c>
      <c r="C151" t="b" s="70">
        <v>0</v>
      </c>
      <c r="D151" s="71"/>
      <c r="E151" t="s" s="72">
        <v>564</v>
      </c>
      <c r="F151" t="s" s="72">
        <v>153</v>
      </c>
      <c r="G151" s="73">
        <v>10</v>
      </c>
      <c r="H151" t="s" s="72">
        <v>175</v>
      </c>
      <c r="I151" t="s" s="72">
        <v>559</v>
      </c>
      <c r="J151" s="73">
        <v>22</v>
      </c>
      <c r="K151" t="s" s="72">
        <v>128</v>
      </c>
      <c r="L151" t="s" s="72">
        <v>121</v>
      </c>
      <c r="M151" s="71"/>
      <c r="N151" s="71"/>
      <c r="O151" t="s" s="88">
        <v>525</v>
      </c>
      <c r="P151" s="73">
        <v>0</v>
      </c>
      <c r="Q151" s="74">
        <v>0</v>
      </c>
      <c r="R151" s="74">
        <v>0</v>
      </c>
      <c r="S151" s="73">
        <v>0</v>
      </c>
      <c r="T151" s="73">
        <v>0</v>
      </c>
      <c r="U151" t="s" s="72">
        <v>122</v>
      </c>
      <c r="V151" s="73">
        <v>11</v>
      </c>
      <c r="W151" s="74">
        <v>5.73</v>
      </c>
      <c r="X151" s="74">
        <v>5.73</v>
      </c>
      <c r="Y151" s="73">
        <v>0</v>
      </c>
      <c r="Z151" s="73">
        <v>1</v>
      </c>
      <c r="AA151" t="s" s="72">
        <v>123</v>
      </c>
      <c r="AB151" t="s" s="72">
        <v>124</v>
      </c>
      <c r="AC151" t="s" s="72">
        <v>124</v>
      </c>
      <c r="AD151" t="s" s="75">
        <v>125</v>
      </c>
      <c r="AE151" s="67"/>
    </row>
    <row r="152" ht="15" customHeight="1">
      <c r="A152" t="s" s="87">
        <v>32</v>
      </c>
      <c r="B152" s="76">
        <v>22.4</v>
      </c>
      <c r="C152" t="b" s="77">
        <v>0</v>
      </c>
      <c r="D152" s="78"/>
      <c r="E152" t="s" s="79">
        <v>565</v>
      </c>
      <c r="F152" t="s" s="79">
        <v>144</v>
      </c>
      <c r="G152" s="80">
        <v>8</v>
      </c>
      <c r="H152" t="s" s="79">
        <v>566</v>
      </c>
      <c r="I152" t="s" s="79">
        <v>567</v>
      </c>
      <c r="J152" s="80">
        <v>21</v>
      </c>
      <c r="K152" t="s" s="79">
        <v>313</v>
      </c>
      <c r="L152" t="s" s="79">
        <v>121</v>
      </c>
      <c r="M152" s="78"/>
      <c r="N152" s="78"/>
      <c r="O152" s="78"/>
      <c r="P152" s="80">
        <v>2</v>
      </c>
      <c r="Q152" s="81">
        <v>6</v>
      </c>
      <c r="R152" s="81">
        <v>6</v>
      </c>
      <c r="S152" s="80">
        <v>0</v>
      </c>
      <c r="T152" s="80">
        <v>0</v>
      </c>
      <c r="U152" t="s" s="79">
        <v>122</v>
      </c>
      <c r="V152" s="80">
        <v>6</v>
      </c>
      <c r="W152" s="81">
        <v>5.75</v>
      </c>
      <c r="X152" s="81">
        <v>5.58</v>
      </c>
      <c r="Y152" s="80">
        <v>0</v>
      </c>
      <c r="Z152" s="80">
        <v>0</v>
      </c>
      <c r="AA152" t="s" s="79">
        <v>123</v>
      </c>
      <c r="AB152" t="s" s="79">
        <v>124</v>
      </c>
      <c r="AC152" t="s" s="79">
        <v>124</v>
      </c>
      <c r="AD152" t="s" s="82">
        <v>125</v>
      </c>
      <c r="AE152" s="67"/>
    </row>
    <row r="153" ht="15" customHeight="1">
      <c r="A153" t="s" s="87">
        <v>32</v>
      </c>
      <c r="B153" s="69">
        <v>20.5</v>
      </c>
      <c r="C153" t="b" s="70">
        <v>0</v>
      </c>
      <c r="D153" s="71"/>
      <c r="E153" t="s" s="72">
        <v>568</v>
      </c>
      <c r="F153" t="s" s="72">
        <v>183</v>
      </c>
      <c r="G153" s="73">
        <v>9</v>
      </c>
      <c r="H153" t="s" s="72">
        <v>175</v>
      </c>
      <c r="I153" t="s" s="72">
        <v>569</v>
      </c>
      <c r="J153" s="73">
        <v>26</v>
      </c>
      <c r="K153" t="s" s="72">
        <v>395</v>
      </c>
      <c r="L153" t="s" s="72">
        <v>154</v>
      </c>
      <c r="M153" s="71"/>
      <c r="N153" s="71"/>
      <c r="O153" t="s" s="88">
        <v>268</v>
      </c>
      <c r="P153" s="73">
        <v>2</v>
      </c>
      <c r="Q153" s="74">
        <v>5.75</v>
      </c>
      <c r="R153" s="74">
        <v>5.75</v>
      </c>
      <c r="S153" s="73">
        <v>0</v>
      </c>
      <c r="T153" s="73">
        <v>0</v>
      </c>
      <c r="U153" t="s" s="72">
        <v>122</v>
      </c>
      <c r="V153" s="71"/>
      <c r="W153" s="71"/>
      <c r="X153" s="71"/>
      <c r="Y153" s="71"/>
      <c r="Z153" s="71"/>
      <c r="AA153" s="71"/>
      <c r="AB153" t="s" s="72">
        <v>124</v>
      </c>
      <c r="AC153" t="s" s="72">
        <v>124</v>
      </c>
      <c r="AD153" t="s" s="75">
        <v>125</v>
      </c>
      <c r="AE153" s="67"/>
    </row>
    <row r="154" ht="15" customHeight="1">
      <c r="A154" t="s" s="87">
        <v>32</v>
      </c>
      <c r="B154" s="76">
        <v>19.9</v>
      </c>
      <c r="C154" t="b" s="77">
        <v>0</v>
      </c>
      <c r="D154" s="78"/>
      <c r="E154" t="s" s="79">
        <v>570</v>
      </c>
      <c r="F154" t="s" s="79">
        <v>141</v>
      </c>
      <c r="G154" s="80">
        <v>8</v>
      </c>
      <c r="H154" t="s" s="79">
        <v>175</v>
      </c>
      <c r="I154" t="s" s="79">
        <v>175</v>
      </c>
      <c r="J154" s="80">
        <v>27</v>
      </c>
      <c r="K154" t="s" s="79">
        <v>204</v>
      </c>
      <c r="L154" s="78"/>
      <c r="M154" s="78"/>
      <c r="N154" s="78"/>
      <c r="O154" s="78"/>
      <c r="P154" s="78"/>
      <c r="Q154" s="78"/>
      <c r="R154" s="78"/>
      <c r="S154" s="78"/>
      <c r="T154" s="78"/>
      <c r="U154" s="78"/>
      <c r="V154" s="80">
        <v>11</v>
      </c>
      <c r="W154" s="81">
        <v>5.77</v>
      </c>
      <c r="X154" s="81">
        <v>5.64</v>
      </c>
      <c r="Y154" s="80">
        <v>0</v>
      </c>
      <c r="Z154" s="80">
        <v>1</v>
      </c>
      <c r="AA154" t="s" s="79">
        <v>123</v>
      </c>
      <c r="AB154" t="s" s="79">
        <v>125</v>
      </c>
      <c r="AC154" s="78"/>
      <c r="AD154" t="s" s="82">
        <v>125</v>
      </c>
      <c r="AE154" s="67"/>
    </row>
    <row r="155" ht="15" customHeight="1">
      <c r="A155" t="s" s="87">
        <v>32</v>
      </c>
      <c r="B155" s="69">
        <v>19.8</v>
      </c>
      <c r="C155" t="b" s="70">
        <v>0</v>
      </c>
      <c r="D155" s="71"/>
      <c r="E155" t="s" s="72">
        <v>571</v>
      </c>
      <c r="F155" t="s" s="72">
        <v>163</v>
      </c>
      <c r="G155" s="73">
        <v>8</v>
      </c>
      <c r="H155" t="s" s="72">
        <v>175</v>
      </c>
      <c r="I155" t="s" s="72">
        <v>175</v>
      </c>
      <c r="J155" s="73">
        <v>33</v>
      </c>
      <c r="K155" t="s" s="72">
        <v>128</v>
      </c>
      <c r="L155" t="s" s="72">
        <v>154</v>
      </c>
      <c r="M155" s="71"/>
      <c r="N155" s="71"/>
      <c r="O155" s="71"/>
      <c r="P155" s="73">
        <v>0</v>
      </c>
      <c r="Q155" s="74">
        <v>0</v>
      </c>
      <c r="R155" s="74">
        <v>0</v>
      </c>
      <c r="S155" s="73">
        <v>0</v>
      </c>
      <c r="T155" s="73">
        <v>0</v>
      </c>
      <c r="U155" t="s" s="72">
        <v>122</v>
      </c>
      <c r="V155" s="73">
        <v>11</v>
      </c>
      <c r="W155" s="74">
        <v>5.73</v>
      </c>
      <c r="X155" s="74">
        <v>5.73</v>
      </c>
      <c r="Y155" s="73">
        <v>0</v>
      </c>
      <c r="Z155" s="73">
        <v>0</v>
      </c>
      <c r="AA155" t="s" s="72">
        <v>123</v>
      </c>
      <c r="AB155" t="s" s="72">
        <v>124</v>
      </c>
      <c r="AC155" t="s" s="72">
        <v>124</v>
      </c>
      <c r="AD155" t="s" s="75">
        <v>125</v>
      </c>
      <c r="AE155" s="67"/>
    </row>
    <row r="156" ht="15" customHeight="1">
      <c r="A156" t="s" s="87">
        <v>32</v>
      </c>
      <c r="B156" s="76">
        <v>19.7</v>
      </c>
      <c r="C156" t="b" s="77">
        <v>0</v>
      </c>
      <c r="D156" s="78"/>
      <c r="E156" t="s" s="79">
        <v>572</v>
      </c>
      <c r="F156" t="s" s="79">
        <v>159</v>
      </c>
      <c r="G156" s="80">
        <v>7</v>
      </c>
      <c r="H156" t="s" s="79">
        <v>175</v>
      </c>
      <c r="I156" t="s" s="79">
        <v>175</v>
      </c>
      <c r="J156" s="80">
        <v>27</v>
      </c>
      <c r="K156" t="s" s="79">
        <v>547</v>
      </c>
      <c r="L156" t="s" s="79">
        <v>154</v>
      </c>
      <c r="M156" s="78"/>
      <c r="N156" s="78"/>
      <c r="O156" s="78"/>
      <c r="P156" s="80">
        <v>2</v>
      </c>
      <c r="Q156" s="81">
        <v>5.75</v>
      </c>
      <c r="R156" s="81">
        <v>5.75</v>
      </c>
      <c r="S156" s="80">
        <v>0</v>
      </c>
      <c r="T156" s="80">
        <v>0</v>
      </c>
      <c r="U156" t="s" s="79">
        <v>122</v>
      </c>
      <c r="V156" s="80">
        <v>16</v>
      </c>
      <c r="W156" s="81">
        <v>5.75</v>
      </c>
      <c r="X156" s="81">
        <v>5.72</v>
      </c>
      <c r="Y156" s="80">
        <v>0</v>
      </c>
      <c r="Z156" s="80">
        <v>1</v>
      </c>
      <c r="AA156" t="s" s="79">
        <v>123</v>
      </c>
      <c r="AB156" t="s" s="79">
        <v>124</v>
      </c>
      <c r="AC156" t="s" s="79">
        <v>124</v>
      </c>
      <c r="AD156" t="s" s="82">
        <v>125</v>
      </c>
      <c r="AE156" s="67"/>
    </row>
    <row r="157" ht="15" customHeight="1">
      <c r="A157" t="s" s="87">
        <v>32</v>
      </c>
      <c r="B157" s="69">
        <v>19.4</v>
      </c>
      <c r="C157" t="b" s="70">
        <v>0</v>
      </c>
      <c r="D157" s="71"/>
      <c r="E157" t="s" s="72">
        <v>573</v>
      </c>
      <c r="F157" t="s" s="72">
        <v>172</v>
      </c>
      <c r="G157" s="73">
        <v>8</v>
      </c>
      <c r="H157" t="s" s="72">
        <v>175</v>
      </c>
      <c r="I157" t="s" s="72">
        <v>445</v>
      </c>
      <c r="J157" s="73">
        <v>25</v>
      </c>
      <c r="K157" t="s" s="72">
        <v>157</v>
      </c>
      <c r="L157" t="s" s="72">
        <v>121</v>
      </c>
      <c r="M157" s="71"/>
      <c r="N157" s="71"/>
      <c r="O157" s="71"/>
      <c r="P157" s="73">
        <v>1</v>
      </c>
      <c r="Q157" s="74">
        <v>6.5</v>
      </c>
      <c r="R157" s="74">
        <v>9.5</v>
      </c>
      <c r="S157" s="73">
        <v>1</v>
      </c>
      <c r="T157" s="73">
        <v>0</v>
      </c>
      <c r="U157" t="s" s="72">
        <v>122</v>
      </c>
      <c r="V157" s="73">
        <v>0</v>
      </c>
      <c r="W157" s="74">
        <v>0</v>
      </c>
      <c r="X157" s="74">
        <v>0</v>
      </c>
      <c r="Y157" s="73">
        <v>0</v>
      </c>
      <c r="Z157" s="73">
        <v>0</v>
      </c>
      <c r="AA157" t="s" s="72">
        <v>123</v>
      </c>
      <c r="AB157" t="s" s="72">
        <v>124</v>
      </c>
      <c r="AC157" t="s" s="72">
        <v>124</v>
      </c>
      <c r="AD157" t="s" s="75">
        <v>125</v>
      </c>
      <c r="AE157" s="67"/>
    </row>
    <row r="158" ht="15" customHeight="1">
      <c r="A158" t="s" s="87">
        <v>32</v>
      </c>
      <c r="B158" s="76">
        <v>17.9</v>
      </c>
      <c r="C158" t="b" s="77">
        <v>0</v>
      </c>
      <c r="D158" s="78"/>
      <c r="E158" t="s" s="79">
        <v>574</v>
      </c>
      <c r="F158" t="s" s="79">
        <v>156</v>
      </c>
      <c r="G158" s="80">
        <v>8</v>
      </c>
      <c r="H158" t="s" s="79">
        <v>175</v>
      </c>
      <c r="I158" t="s" s="79">
        <v>493</v>
      </c>
      <c r="J158" s="80">
        <v>21</v>
      </c>
      <c r="K158" t="s" s="79">
        <v>575</v>
      </c>
      <c r="L158" t="s" s="79">
        <v>154</v>
      </c>
      <c r="M158" s="78"/>
      <c r="N158" s="78"/>
      <c r="O158" s="78"/>
      <c r="P158" s="80">
        <v>0</v>
      </c>
      <c r="Q158" s="81">
        <v>0</v>
      </c>
      <c r="R158" s="81">
        <v>0</v>
      </c>
      <c r="S158" s="80">
        <v>0</v>
      </c>
      <c r="T158" s="80">
        <v>0</v>
      </c>
      <c r="U158" t="s" s="79">
        <v>122</v>
      </c>
      <c r="V158" s="78"/>
      <c r="W158" s="78"/>
      <c r="X158" s="78"/>
      <c r="Y158" s="78"/>
      <c r="Z158" s="78"/>
      <c r="AA158" s="78"/>
      <c r="AB158" t="s" s="79">
        <v>124</v>
      </c>
      <c r="AC158" t="s" s="79">
        <v>124</v>
      </c>
      <c r="AD158" t="s" s="82">
        <v>125</v>
      </c>
      <c r="AE158" s="67"/>
    </row>
    <row r="159" ht="15" customHeight="1">
      <c r="A159" t="s" s="87">
        <v>32</v>
      </c>
      <c r="B159" s="69">
        <v>17.9</v>
      </c>
      <c r="C159" t="b" s="70">
        <v>0</v>
      </c>
      <c r="D159" s="71"/>
      <c r="E159" t="s" s="72">
        <v>576</v>
      </c>
      <c r="F159" t="s" s="72">
        <v>141</v>
      </c>
      <c r="G159" s="73">
        <v>8</v>
      </c>
      <c r="H159" t="s" s="72">
        <v>175</v>
      </c>
      <c r="I159" t="s" s="72">
        <v>445</v>
      </c>
      <c r="J159" s="73">
        <v>32</v>
      </c>
      <c r="K159" t="s" s="72">
        <v>128</v>
      </c>
      <c r="L159" t="s" s="72">
        <v>328</v>
      </c>
      <c r="M159" s="71"/>
      <c r="N159" s="71"/>
      <c r="O159" s="71"/>
      <c r="P159" s="73">
        <v>0</v>
      </c>
      <c r="Q159" s="74">
        <v>0</v>
      </c>
      <c r="R159" s="74">
        <v>0</v>
      </c>
      <c r="S159" s="73">
        <v>0</v>
      </c>
      <c r="T159" s="73">
        <v>0</v>
      </c>
      <c r="U159" t="s" s="72">
        <v>122</v>
      </c>
      <c r="V159" s="73">
        <v>0</v>
      </c>
      <c r="W159" s="74">
        <v>0</v>
      </c>
      <c r="X159" s="74">
        <v>0</v>
      </c>
      <c r="Y159" s="73">
        <v>0</v>
      </c>
      <c r="Z159" s="73">
        <v>0</v>
      </c>
      <c r="AA159" t="s" s="72">
        <v>123</v>
      </c>
      <c r="AB159" t="s" s="72">
        <v>124</v>
      </c>
      <c r="AC159" t="s" s="72">
        <v>124</v>
      </c>
      <c r="AD159" t="s" s="75">
        <v>125</v>
      </c>
      <c r="AE159" s="67"/>
    </row>
    <row r="160" ht="15" customHeight="1">
      <c r="A160" t="s" s="87">
        <v>32</v>
      </c>
      <c r="B160" s="76">
        <v>17.9</v>
      </c>
      <c r="C160" t="b" s="77">
        <v>0</v>
      </c>
      <c r="D160" s="78"/>
      <c r="E160" t="s" s="79">
        <v>577</v>
      </c>
      <c r="F160" t="s" s="79">
        <v>180</v>
      </c>
      <c r="G160" s="80">
        <v>8</v>
      </c>
      <c r="H160" t="s" s="79">
        <v>175</v>
      </c>
      <c r="I160" t="s" s="79">
        <v>445</v>
      </c>
      <c r="J160" s="80">
        <v>31</v>
      </c>
      <c r="K160" t="s" s="79">
        <v>160</v>
      </c>
      <c r="L160" t="s" s="79">
        <v>121</v>
      </c>
      <c r="M160" s="78"/>
      <c r="N160" s="78"/>
      <c r="O160" s="78"/>
      <c r="P160" s="80">
        <v>0</v>
      </c>
      <c r="Q160" s="81">
        <v>0</v>
      </c>
      <c r="R160" s="81">
        <v>0</v>
      </c>
      <c r="S160" s="80">
        <v>0</v>
      </c>
      <c r="T160" s="80">
        <v>0</v>
      </c>
      <c r="U160" t="s" s="79">
        <v>122</v>
      </c>
      <c r="V160" s="78"/>
      <c r="W160" s="78"/>
      <c r="X160" s="78"/>
      <c r="Y160" s="78"/>
      <c r="Z160" s="78"/>
      <c r="AA160" s="78"/>
      <c r="AB160" t="s" s="79">
        <v>124</v>
      </c>
      <c r="AC160" t="s" s="79">
        <v>124</v>
      </c>
      <c r="AD160" t="s" s="82">
        <v>125</v>
      </c>
      <c r="AE160" s="67"/>
    </row>
    <row r="161" ht="15" customHeight="1">
      <c r="A161" t="s" s="87">
        <v>32</v>
      </c>
      <c r="B161" s="69">
        <v>17.9</v>
      </c>
      <c r="C161" t="b" s="70">
        <v>0</v>
      </c>
      <c r="D161" s="71"/>
      <c r="E161" t="s" s="72">
        <v>578</v>
      </c>
      <c r="F161" t="s" s="72">
        <v>183</v>
      </c>
      <c r="G161" s="73">
        <v>8</v>
      </c>
      <c r="H161" t="s" s="72">
        <v>175</v>
      </c>
      <c r="I161" t="s" s="72">
        <v>493</v>
      </c>
      <c r="J161" s="73">
        <v>22</v>
      </c>
      <c r="K161" t="s" s="72">
        <v>399</v>
      </c>
      <c r="L161" t="s" s="72">
        <v>121</v>
      </c>
      <c r="M161" s="71"/>
      <c r="N161" s="71"/>
      <c r="O161" s="71"/>
      <c r="P161" s="73">
        <v>0</v>
      </c>
      <c r="Q161" s="74">
        <v>0</v>
      </c>
      <c r="R161" s="74">
        <v>0</v>
      </c>
      <c r="S161" s="73">
        <v>0</v>
      </c>
      <c r="T161" s="73">
        <v>0</v>
      </c>
      <c r="U161" t="s" s="72">
        <v>122</v>
      </c>
      <c r="V161" s="71"/>
      <c r="W161" s="71"/>
      <c r="X161" s="71"/>
      <c r="Y161" s="71"/>
      <c r="Z161" s="71"/>
      <c r="AA161" s="71"/>
      <c r="AB161" t="s" s="72">
        <v>124</v>
      </c>
      <c r="AC161" t="s" s="72">
        <v>124</v>
      </c>
      <c r="AD161" t="s" s="75">
        <v>125</v>
      </c>
      <c r="AE161" s="67"/>
    </row>
    <row r="162" ht="15" customHeight="1">
      <c r="A162" t="s" s="87">
        <v>32</v>
      </c>
      <c r="B162" s="76">
        <v>17.4</v>
      </c>
      <c r="C162" t="b" s="77">
        <v>0</v>
      </c>
      <c r="D162" s="78"/>
      <c r="E162" t="s" s="79">
        <v>579</v>
      </c>
      <c r="F162" t="s" s="79">
        <v>117</v>
      </c>
      <c r="G162" s="80">
        <v>7</v>
      </c>
      <c r="H162" t="s" s="79">
        <v>175</v>
      </c>
      <c r="I162" t="s" s="79">
        <v>493</v>
      </c>
      <c r="J162" s="80">
        <v>19</v>
      </c>
      <c r="K162" t="s" s="79">
        <v>128</v>
      </c>
      <c r="L162" t="s" s="79">
        <v>121</v>
      </c>
      <c r="M162" s="78"/>
      <c r="N162" s="78"/>
      <c r="O162" s="78"/>
      <c r="P162" s="80">
        <v>2</v>
      </c>
      <c r="Q162" s="81">
        <v>6.5</v>
      </c>
      <c r="R162" s="81">
        <v>6.5</v>
      </c>
      <c r="S162" s="80">
        <v>0</v>
      </c>
      <c r="T162" s="80">
        <v>0</v>
      </c>
      <c r="U162" t="s" s="79">
        <v>122</v>
      </c>
      <c r="V162" s="78"/>
      <c r="W162" s="78"/>
      <c r="X162" s="78"/>
      <c r="Y162" s="78"/>
      <c r="Z162" s="78"/>
      <c r="AA162" s="78"/>
      <c r="AB162" t="s" s="79">
        <v>124</v>
      </c>
      <c r="AC162" t="s" s="79">
        <v>124</v>
      </c>
      <c r="AD162" t="s" s="82">
        <v>125</v>
      </c>
      <c r="AE162" s="67"/>
    </row>
    <row r="163" ht="15" customHeight="1">
      <c r="A163" t="s" s="87">
        <v>32</v>
      </c>
      <c r="B163" s="69">
        <v>17.2</v>
      </c>
      <c r="C163" t="b" s="70">
        <v>0</v>
      </c>
      <c r="D163" t="s" s="84">
        <v>191</v>
      </c>
      <c r="E163" t="s" s="72">
        <v>580</v>
      </c>
      <c r="F163" t="s" s="72">
        <v>159</v>
      </c>
      <c r="G163" s="73">
        <v>5</v>
      </c>
      <c r="H163" t="s" s="72">
        <v>164</v>
      </c>
      <c r="I163" t="s" s="72">
        <v>581</v>
      </c>
      <c r="J163" s="73">
        <v>18</v>
      </c>
      <c r="K163" t="s" s="72">
        <v>582</v>
      </c>
      <c r="L163" t="s" s="72">
        <v>121</v>
      </c>
      <c r="M163" s="71"/>
      <c r="N163" s="71"/>
      <c r="O163" t="s" s="88">
        <v>377</v>
      </c>
      <c r="P163" s="73">
        <v>1</v>
      </c>
      <c r="Q163" s="74">
        <v>6.5</v>
      </c>
      <c r="R163" s="74">
        <v>6.5</v>
      </c>
      <c r="S163" s="73">
        <v>0</v>
      </c>
      <c r="T163" s="73">
        <v>0</v>
      </c>
      <c r="U163" t="s" s="72">
        <v>122</v>
      </c>
      <c r="V163" s="73">
        <v>4</v>
      </c>
      <c r="W163" s="74">
        <v>5.5</v>
      </c>
      <c r="X163" s="74">
        <v>5.5</v>
      </c>
      <c r="Y163" s="73">
        <v>0</v>
      </c>
      <c r="Z163" s="73">
        <v>0</v>
      </c>
      <c r="AA163" t="s" s="72">
        <v>123</v>
      </c>
      <c r="AB163" t="s" s="72">
        <v>124</v>
      </c>
      <c r="AC163" t="s" s="72">
        <v>124</v>
      </c>
      <c r="AD163" t="s" s="75">
        <v>125</v>
      </c>
      <c r="AE163" s="67"/>
    </row>
    <row r="164" ht="15" customHeight="1">
      <c r="A164" t="s" s="87">
        <v>32</v>
      </c>
      <c r="B164" s="76">
        <v>16.3</v>
      </c>
      <c r="C164" t="b" s="77">
        <v>0</v>
      </c>
      <c r="D164" s="78"/>
      <c r="E164" t="s" s="79">
        <v>583</v>
      </c>
      <c r="F164" t="s" s="79">
        <v>159</v>
      </c>
      <c r="G164" s="80">
        <v>8</v>
      </c>
      <c r="H164" t="s" s="79">
        <v>175</v>
      </c>
      <c r="I164" t="s" s="79">
        <v>266</v>
      </c>
      <c r="J164" s="80">
        <v>25</v>
      </c>
      <c r="K164" t="s" s="79">
        <v>128</v>
      </c>
      <c r="L164" t="s" s="79">
        <v>121</v>
      </c>
      <c r="M164" s="78"/>
      <c r="N164" s="78"/>
      <c r="O164" t="s" s="88">
        <v>377</v>
      </c>
      <c r="P164" s="80">
        <v>0</v>
      </c>
      <c r="Q164" s="81">
        <v>0</v>
      </c>
      <c r="R164" s="81">
        <v>0</v>
      </c>
      <c r="S164" s="80">
        <v>0</v>
      </c>
      <c r="T164" s="80">
        <v>0</v>
      </c>
      <c r="U164" t="s" s="79">
        <v>122</v>
      </c>
      <c r="V164" s="80">
        <v>19</v>
      </c>
      <c r="W164" s="81">
        <v>5.95</v>
      </c>
      <c r="X164" s="81">
        <v>6.18</v>
      </c>
      <c r="Y164" s="80">
        <v>1</v>
      </c>
      <c r="Z164" s="80">
        <v>2</v>
      </c>
      <c r="AA164" t="s" s="79">
        <v>123</v>
      </c>
      <c r="AB164" t="s" s="79">
        <v>124</v>
      </c>
      <c r="AC164" t="s" s="79">
        <v>124</v>
      </c>
      <c r="AD164" t="s" s="82">
        <v>125</v>
      </c>
      <c r="AE164" s="67"/>
    </row>
    <row r="165" ht="15" customHeight="1">
      <c r="A165" t="s" s="87">
        <v>32</v>
      </c>
      <c r="B165" s="69">
        <v>15.7</v>
      </c>
      <c r="C165" t="b" s="70">
        <v>0</v>
      </c>
      <c r="D165" s="71"/>
      <c r="E165" t="s" s="72">
        <v>584</v>
      </c>
      <c r="F165" t="s" s="72">
        <v>156</v>
      </c>
      <c r="G165" s="73">
        <v>6</v>
      </c>
      <c r="H165" t="s" s="72">
        <v>175</v>
      </c>
      <c r="I165" t="s" s="72">
        <v>203</v>
      </c>
      <c r="J165" s="73">
        <v>22</v>
      </c>
      <c r="K165" t="s" s="72">
        <v>206</v>
      </c>
      <c r="L165" t="s" s="72">
        <v>121</v>
      </c>
      <c r="M165" s="71"/>
      <c r="N165" s="71"/>
      <c r="O165" s="71"/>
      <c r="P165" s="73">
        <v>1</v>
      </c>
      <c r="Q165" s="74">
        <v>5</v>
      </c>
      <c r="R165" s="74">
        <v>5</v>
      </c>
      <c r="S165" s="73">
        <v>0</v>
      </c>
      <c r="T165" s="73">
        <v>0</v>
      </c>
      <c r="U165" t="s" s="72">
        <v>122</v>
      </c>
      <c r="V165" s="73">
        <v>10</v>
      </c>
      <c r="W165" s="74">
        <v>5.65</v>
      </c>
      <c r="X165" s="74">
        <v>5.4</v>
      </c>
      <c r="Y165" s="73">
        <v>0</v>
      </c>
      <c r="Z165" s="73">
        <v>0</v>
      </c>
      <c r="AA165" t="s" s="72">
        <v>123</v>
      </c>
      <c r="AB165" t="s" s="72">
        <v>124</v>
      </c>
      <c r="AC165" t="s" s="72">
        <v>124</v>
      </c>
      <c r="AD165" t="s" s="75">
        <v>125</v>
      </c>
      <c r="AE165" s="67"/>
    </row>
    <row r="166" ht="15" customHeight="1">
      <c r="A166" t="s" s="87">
        <v>32</v>
      </c>
      <c r="B166" s="76">
        <v>14.6</v>
      </c>
      <c r="C166" t="b" s="77">
        <v>0</v>
      </c>
      <c r="D166" s="78"/>
      <c r="E166" t="s" s="79">
        <v>585</v>
      </c>
      <c r="F166" t="s" s="79">
        <v>183</v>
      </c>
      <c r="G166" s="80">
        <v>6</v>
      </c>
      <c r="H166" t="s" s="79">
        <v>175</v>
      </c>
      <c r="I166" t="s" s="79">
        <v>175</v>
      </c>
      <c r="J166" s="80">
        <v>31</v>
      </c>
      <c r="K166" t="s" s="79">
        <v>128</v>
      </c>
      <c r="L166" t="s" s="79">
        <v>121</v>
      </c>
      <c r="M166" s="78"/>
      <c r="N166" s="78"/>
      <c r="O166" s="78"/>
      <c r="P166" s="80">
        <v>0</v>
      </c>
      <c r="Q166" s="81">
        <v>0</v>
      </c>
      <c r="R166" s="81">
        <v>0</v>
      </c>
      <c r="S166" s="80">
        <v>0</v>
      </c>
      <c r="T166" s="80">
        <v>0</v>
      </c>
      <c r="U166" t="s" s="79">
        <v>122</v>
      </c>
      <c r="V166" s="80">
        <v>9</v>
      </c>
      <c r="W166" s="81">
        <v>5.83</v>
      </c>
      <c r="X166" s="81">
        <v>5.83</v>
      </c>
      <c r="Y166" s="80">
        <v>0</v>
      </c>
      <c r="Z166" s="80">
        <v>1</v>
      </c>
      <c r="AA166" t="s" s="79">
        <v>123</v>
      </c>
      <c r="AB166" t="s" s="79">
        <v>124</v>
      </c>
      <c r="AC166" t="s" s="79">
        <v>124</v>
      </c>
      <c r="AD166" t="s" s="82">
        <v>125</v>
      </c>
      <c r="AE166" s="67"/>
    </row>
    <row r="167" ht="15" customHeight="1">
      <c r="A167" t="s" s="87">
        <v>32</v>
      </c>
      <c r="B167" s="69">
        <v>14.5</v>
      </c>
      <c r="C167" t="b" s="70">
        <v>0</v>
      </c>
      <c r="D167" s="71"/>
      <c r="E167" t="s" s="72">
        <v>586</v>
      </c>
      <c r="F167" t="s" s="72">
        <v>172</v>
      </c>
      <c r="G167" s="73">
        <v>8</v>
      </c>
      <c r="H167" t="s" s="72">
        <v>175</v>
      </c>
      <c r="I167" t="s" s="72">
        <v>266</v>
      </c>
      <c r="J167" s="73">
        <v>28</v>
      </c>
      <c r="K167" t="s" s="72">
        <v>587</v>
      </c>
      <c r="L167" t="s" s="72">
        <v>154</v>
      </c>
      <c r="M167" s="71"/>
      <c r="N167" s="71"/>
      <c r="O167" t="s" s="88">
        <v>268</v>
      </c>
      <c r="P167" s="73">
        <v>0</v>
      </c>
      <c r="Q167" s="74">
        <v>0</v>
      </c>
      <c r="R167" s="74">
        <v>0</v>
      </c>
      <c r="S167" s="73">
        <v>0</v>
      </c>
      <c r="T167" s="73">
        <v>0</v>
      </c>
      <c r="U167" t="s" s="72">
        <v>122</v>
      </c>
      <c r="V167" s="73">
        <v>8</v>
      </c>
      <c r="W167" s="74">
        <v>5.69</v>
      </c>
      <c r="X167" s="74">
        <v>5.56</v>
      </c>
      <c r="Y167" s="73">
        <v>0</v>
      </c>
      <c r="Z167" s="73">
        <v>0</v>
      </c>
      <c r="AA167" t="s" s="72">
        <v>123</v>
      </c>
      <c r="AB167" t="s" s="72">
        <v>124</v>
      </c>
      <c r="AC167" t="s" s="72">
        <v>124</v>
      </c>
      <c r="AD167" t="s" s="75">
        <v>125</v>
      </c>
      <c r="AE167" s="67"/>
    </row>
    <row r="168" ht="15" customHeight="1">
      <c r="A168" t="s" s="87">
        <v>32</v>
      </c>
      <c r="B168" s="76">
        <v>14.4</v>
      </c>
      <c r="C168" t="b" s="77">
        <v>0</v>
      </c>
      <c r="D168" s="78"/>
      <c r="E168" t="s" s="79">
        <v>588</v>
      </c>
      <c r="F168" t="s" s="79">
        <v>156</v>
      </c>
      <c r="G168" s="80">
        <v>7</v>
      </c>
      <c r="H168" t="s" s="79">
        <v>175</v>
      </c>
      <c r="I168" t="s" s="79">
        <v>445</v>
      </c>
      <c r="J168" s="80">
        <v>23</v>
      </c>
      <c r="K168" t="s" s="79">
        <v>589</v>
      </c>
      <c r="L168" t="s" s="79">
        <v>154</v>
      </c>
      <c r="M168" s="78"/>
      <c r="N168" s="78"/>
      <c r="O168" s="78"/>
      <c r="P168" s="80">
        <v>0</v>
      </c>
      <c r="Q168" s="81">
        <v>0</v>
      </c>
      <c r="R168" s="81">
        <v>0</v>
      </c>
      <c r="S168" s="80">
        <v>0</v>
      </c>
      <c r="T168" s="80">
        <v>0</v>
      </c>
      <c r="U168" t="s" s="79">
        <v>122</v>
      </c>
      <c r="V168" s="78"/>
      <c r="W168" s="78"/>
      <c r="X168" s="78"/>
      <c r="Y168" s="78"/>
      <c r="Z168" s="78"/>
      <c r="AA168" s="78"/>
      <c r="AB168" t="s" s="79">
        <v>124</v>
      </c>
      <c r="AC168" t="s" s="79">
        <v>124</v>
      </c>
      <c r="AD168" t="s" s="82">
        <v>125</v>
      </c>
      <c r="AE168" s="67"/>
    </row>
    <row r="169" ht="15" customHeight="1">
      <c r="A169" t="s" s="87">
        <v>32</v>
      </c>
      <c r="B169" s="69">
        <v>14.4</v>
      </c>
      <c r="C169" t="b" s="70">
        <v>0</v>
      </c>
      <c r="D169" s="71"/>
      <c r="E169" t="s" s="72">
        <v>590</v>
      </c>
      <c r="F169" t="s" s="72">
        <v>144</v>
      </c>
      <c r="G169" s="73">
        <v>6</v>
      </c>
      <c r="H169" t="s" s="72">
        <v>175</v>
      </c>
      <c r="I169" t="s" s="72">
        <v>175</v>
      </c>
      <c r="J169" s="73">
        <v>28</v>
      </c>
      <c r="K169" t="s" s="72">
        <v>128</v>
      </c>
      <c r="L169" t="s" s="72">
        <v>121</v>
      </c>
      <c r="M169" s="71"/>
      <c r="N169" s="71"/>
      <c r="O169" s="71"/>
      <c r="P169" s="73">
        <v>0</v>
      </c>
      <c r="Q169" s="74">
        <v>0</v>
      </c>
      <c r="R169" s="74">
        <v>0</v>
      </c>
      <c r="S169" s="73">
        <v>0</v>
      </c>
      <c r="T169" s="73">
        <v>0</v>
      </c>
      <c r="U169" t="s" s="72">
        <v>122</v>
      </c>
      <c r="V169" s="73">
        <v>10</v>
      </c>
      <c r="W169" s="74">
        <v>5.55</v>
      </c>
      <c r="X169" s="74">
        <v>5.55</v>
      </c>
      <c r="Y169" s="73">
        <v>0</v>
      </c>
      <c r="Z169" s="73">
        <v>0</v>
      </c>
      <c r="AA169" t="s" s="72">
        <v>123</v>
      </c>
      <c r="AB169" t="s" s="72">
        <v>124</v>
      </c>
      <c r="AC169" t="s" s="72">
        <v>124</v>
      </c>
      <c r="AD169" t="s" s="75">
        <v>125</v>
      </c>
      <c r="AE169" s="67"/>
    </row>
    <row r="170" ht="15" customHeight="1">
      <c r="A170" t="s" s="87">
        <v>32</v>
      </c>
      <c r="B170" s="76">
        <v>14.1</v>
      </c>
      <c r="C170" t="b" s="77">
        <v>0</v>
      </c>
      <c r="D170" s="78"/>
      <c r="E170" t="s" s="79">
        <v>591</v>
      </c>
      <c r="F170" t="s" s="79">
        <v>168</v>
      </c>
      <c r="G170" s="80">
        <v>6</v>
      </c>
      <c r="H170" t="s" s="79">
        <v>175</v>
      </c>
      <c r="I170" t="s" s="79">
        <v>175</v>
      </c>
      <c r="J170" s="80">
        <v>26</v>
      </c>
      <c r="K170" t="s" s="79">
        <v>142</v>
      </c>
      <c r="L170" t="s" s="79">
        <v>154</v>
      </c>
      <c r="M170" s="78"/>
      <c r="N170" s="78"/>
      <c r="O170" s="78"/>
      <c r="P170" s="80">
        <v>0</v>
      </c>
      <c r="Q170" s="81">
        <v>0</v>
      </c>
      <c r="R170" s="81">
        <v>0</v>
      </c>
      <c r="S170" s="80">
        <v>0</v>
      </c>
      <c r="T170" s="80">
        <v>0</v>
      </c>
      <c r="U170" t="s" s="79">
        <v>122</v>
      </c>
      <c r="V170" s="80">
        <v>5</v>
      </c>
      <c r="W170" s="81">
        <v>5.8</v>
      </c>
      <c r="X170" s="81">
        <v>5.7</v>
      </c>
      <c r="Y170" s="80">
        <v>0</v>
      </c>
      <c r="Z170" s="80">
        <v>0</v>
      </c>
      <c r="AA170" t="s" s="79">
        <v>123</v>
      </c>
      <c r="AB170" t="s" s="79">
        <v>124</v>
      </c>
      <c r="AC170" t="s" s="79">
        <v>124</v>
      </c>
      <c r="AD170" t="s" s="82">
        <v>125</v>
      </c>
      <c r="AE170" s="67"/>
    </row>
    <row r="171" ht="15" customHeight="1">
      <c r="A171" t="s" s="87">
        <v>32</v>
      </c>
      <c r="B171" s="69">
        <v>14</v>
      </c>
      <c r="C171" t="b" s="70">
        <v>0</v>
      </c>
      <c r="D171" s="71"/>
      <c r="E171" t="s" s="72">
        <v>592</v>
      </c>
      <c r="F171" t="s" s="72">
        <v>193</v>
      </c>
      <c r="G171" s="73">
        <v>6</v>
      </c>
      <c r="H171" t="s" s="72">
        <v>175</v>
      </c>
      <c r="I171" t="s" s="72">
        <v>175</v>
      </c>
      <c r="J171" s="73">
        <v>23</v>
      </c>
      <c r="K171" t="s" s="72">
        <v>593</v>
      </c>
      <c r="L171" t="s" s="72">
        <v>154</v>
      </c>
      <c r="M171" s="71"/>
      <c r="N171" s="71"/>
      <c r="O171" s="71"/>
      <c r="P171" s="73">
        <v>0</v>
      </c>
      <c r="Q171" s="74">
        <v>0</v>
      </c>
      <c r="R171" s="74">
        <v>0</v>
      </c>
      <c r="S171" s="73">
        <v>0</v>
      </c>
      <c r="T171" s="73">
        <v>0</v>
      </c>
      <c r="U171" t="s" s="72">
        <v>122</v>
      </c>
      <c r="V171" s="73">
        <v>2</v>
      </c>
      <c r="W171" s="74">
        <v>5.75</v>
      </c>
      <c r="X171" s="74">
        <v>5.75</v>
      </c>
      <c r="Y171" s="73">
        <v>0</v>
      </c>
      <c r="Z171" s="73">
        <v>0</v>
      </c>
      <c r="AA171" t="s" s="72">
        <v>123</v>
      </c>
      <c r="AB171" t="s" s="72">
        <v>124</v>
      </c>
      <c r="AC171" t="s" s="72">
        <v>124</v>
      </c>
      <c r="AD171" t="s" s="75">
        <v>125</v>
      </c>
      <c r="AE171" s="67"/>
    </row>
    <row r="172" ht="15" customHeight="1">
      <c r="A172" t="s" s="87">
        <v>32</v>
      </c>
      <c r="B172" s="76">
        <v>13.8</v>
      </c>
      <c r="C172" t="b" s="77">
        <v>0</v>
      </c>
      <c r="D172" s="78"/>
      <c r="E172" t="s" s="79">
        <v>594</v>
      </c>
      <c r="F172" t="s" s="79">
        <v>187</v>
      </c>
      <c r="G172" s="80">
        <v>5</v>
      </c>
      <c r="H172" t="s" s="79">
        <v>595</v>
      </c>
      <c r="I172" t="s" s="79">
        <v>596</v>
      </c>
      <c r="J172" s="80">
        <v>20</v>
      </c>
      <c r="K172" t="s" s="79">
        <v>597</v>
      </c>
      <c r="L172" t="s" s="79">
        <v>121</v>
      </c>
      <c r="M172" s="78"/>
      <c r="N172" s="78"/>
      <c r="O172" s="78"/>
      <c r="P172" s="80">
        <v>2</v>
      </c>
      <c r="Q172" s="81">
        <v>5.5</v>
      </c>
      <c r="R172" s="81">
        <v>5.25</v>
      </c>
      <c r="S172" s="80">
        <v>0</v>
      </c>
      <c r="T172" s="80">
        <v>0</v>
      </c>
      <c r="U172" t="s" s="79">
        <v>122</v>
      </c>
      <c r="V172" s="80">
        <v>1</v>
      </c>
      <c r="W172" s="81">
        <v>6</v>
      </c>
      <c r="X172" s="81">
        <v>6</v>
      </c>
      <c r="Y172" s="80">
        <v>0</v>
      </c>
      <c r="Z172" s="80">
        <v>0</v>
      </c>
      <c r="AA172" t="s" s="79">
        <v>123</v>
      </c>
      <c r="AB172" t="s" s="79">
        <v>124</v>
      </c>
      <c r="AC172" t="s" s="79">
        <v>124</v>
      </c>
      <c r="AD172" t="s" s="82">
        <v>125</v>
      </c>
      <c r="AE172" s="67"/>
    </row>
    <row r="173" ht="15" customHeight="1">
      <c r="A173" t="s" s="87">
        <v>32</v>
      </c>
      <c r="B173" s="69">
        <v>13.5</v>
      </c>
      <c r="C173" t="b" s="70">
        <v>0</v>
      </c>
      <c r="D173" s="71"/>
      <c r="E173" t="s" s="72">
        <v>598</v>
      </c>
      <c r="F173" t="s" s="72">
        <v>183</v>
      </c>
      <c r="G173" s="73">
        <v>9</v>
      </c>
      <c r="H173" t="s" s="72">
        <v>175</v>
      </c>
      <c r="I173" t="s" s="72">
        <v>599</v>
      </c>
      <c r="J173" s="73">
        <v>28</v>
      </c>
      <c r="K173" t="s" s="72">
        <v>464</v>
      </c>
      <c r="L173" t="s" s="72">
        <v>154</v>
      </c>
      <c r="M173" s="71"/>
      <c r="N173" s="71"/>
      <c r="O173" t="s" s="88">
        <v>600</v>
      </c>
      <c r="P173" s="73">
        <v>0</v>
      </c>
      <c r="Q173" s="74">
        <v>0</v>
      </c>
      <c r="R173" s="74">
        <v>0</v>
      </c>
      <c r="S173" s="73">
        <v>0</v>
      </c>
      <c r="T173" s="73">
        <v>0</v>
      </c>
      <c r="U173" t="s" s="72">
        <v>122</v>
      </c>
      <c r="V173" s="71"/>
      <c r="W173" s="71"/>
      <c r="X173" s="71"/>
      <c r="Y173" s="71"/>
      <c r="Z173" s="71"/>
      <c r="AA173" s="71"/>
      <c r="AB173" t="s" s="72">
        <v>124</v>
      </c>
      <c r="AC173" t="s" s="72">
        <v>124</v>
      </c>
      <c r="AD173" t="s" s="75">
        <v>125</v>
      </c>
      <c r="AE173" s="67"/>
    </row>
    <row r="174" ht="15" customHeight="1">
      <c r="A174" t="s" s="87">
        <v>32</v>
      </c>
      <c r="B174" s="76">
        <v>12.9</v>
      </c>
      <c r="C174" t="b" s="77">
        <v>0</v>
      </c>
      <c r="D174" s="78"/>
      <c r="E174" t="s" s="79">
        <v>601</v>
      </c>
      <c r="F174" t="s" s="79">
        <v>183</v>
      </c>
      <c r="G174" s="80">
        <v>8</v>
      </c>
      <c r="H174" t="s" s="79">
        <v>175</v>
      </c>
      <c r="I174" t="s" s="79">
        <v>602</v>
      </c>
      <c r="J174" s="80">
        <v>22</v>
      </c>
      <c r="K174" t="s" s="79">
        <v>316</v>
      </c>
      <c r="L174" t="s" s="79">
        <v>121</v>
      </c>
      <c r="M174" s="78"/>
      <c r="N174" s="78"/>
      <c r="O174" t="s" s="88">
        <v>268</v>
      </c>
      <c r="P174" s="80">
        <v>0</v>
      </c>
      <c r="Q174" s="81">
        <v>0</v>
      </c>
      <c r="R174" s="81">
        <v>0</v>
      </c>
      <c r="S174" s="80">
        <v>0</v>
      </c>
      <c r="T174" s="80">
        <v>0</v>
      </c>
      <c r="U174" t="s" s="79">
        <v>122</v>
      </c>
      <c r="V174" s="78"/>
      <c r="W174" s="78"/>
      <c r="X174" s="78"/>
      <c r="Y174" s="78"/>
      <c r="Z174" s="78"/>
      <c r="AA174" s="78"/>
      <c r="AB174" t="s" s="79">
        <v>124</v>
      </c>
      <c r="AC174" t="s" s="79">
        <v>124</v>
      </c>
      <c r="AD174" t="s" s="82">
        <v>125</v>
      </c>
      <c r="AE174" s="67"/>
    </row>
    <row r="175" ht="15" customHeight="1">
      <c r="A175" t="s" s="87">
        <v>32</v>
      </c>
      <c r="B175" s="69">
        <v>12.8</v>
      </c>
      <c r="C175" t="b" s="70">
        <v>0</v>
      </c>
      <c r="D175" t="s" s="84">
        <v>161</v>
      </c>
      <c r="E175" t="s" s="72">
        <v>603</v>
      </c>
      <c r="F175" t="s" s="72">
        <v>147</v>
      </c>
      <c r="G175" s="73">
        <v>5</v>
      </c>
      <c r="H175" t="s" s="72">
        <v>175</v>
      </c>
      <c r="I175" t="s" s="72">
        <v>490</v>
      </c>
      <c r="J175" s="73">
        <v>21</v>
      </c>
      <c r="K175" t="s" s="72">
        <v>128</v>
      </c>
      <c r="L175" t="s" s="72">
        <v>121</v>
      </c>
      <c r="M175" s="71"/>
      <c r="N175" s="71"/>
      <c r="O175" s="71"/>
      <c r="P175" s="73">
        <v>1</v>
      </c>
      <c r="Q175" s="74">
        <v>6</v>
      </c>
      <c r="R175" s="74">
        <v>6</v>
      </c>
      <c r="S175" s="73">
        <v>0</v>
      </c>
      <c r="T175" s="73">
        <v>0</v>
      </c>
      <c r="U175" t="s" s="72">
        <v>122</v>
      </c>
      <c r="V175" s="71"/>
      <c r="W175" s="71"/>
      <c r="X175" s="71"/>
      <c r="Y175" s="71"/>
      <c r="Z175" s="71"/>
      <c r="AA175" s="71"/>
      <c r="AB175" t="s" s="72">
        <v>124</v>
      </c>
      <c r="AC175" t="s" s="72">
        <v>124</v>
      </c>
      <c r="AD175" t="s" s="75">
        <v>125</v>
      </c>
      <c r="AE175" s="67"/>
    </row>
    <row r="176" ht="15" customHeight="1">
      <c r="A176" t="s" s="87">
        <v>32</v>
      </c>
      <c r="B176" s="76">
        <v>12.3</v>
      </c>
      <c r="C176" t="b" s="77">
        <v>0</v>
      </c>
      <c r="D176" s="78"/>
      <c r="E176" t="s" s="79">
        <v>604</v>
      </c>
      <c r="F176" t="s" s="79">
        <v>187</v>
      </c>
      <c r="G176" s="80">
        <v>5</v>
      </c>
      <c r="H176" t="s" s="79">
        <v>175</v>
      </c>
      <c r="I176" t="s" s="79">
        <v>445</v>
      </c>
      <c r="J176" s="80">
        <v>23</v>
      </c>
      <c r="K176" t="s" s="79">
        <v>128</v>
      </c>
      <c r="L176" t="s" s="79">
        <v>154</v>
      </c>
      <c r="M176" s="78"/>
      <c r="N176" s="78"/>
      <c r="O176" s="78"/>
      <c r="P176" s="80">
        <v>2</v>
      </c>
      <c r="Q176" s="81">
        <v>5.25</v>
      </c>
      <c r="R176" s="81">
        <v>4.75</v>
      </c>
      <c r="S176" s="80">
        <v>0</v>
      </c>
      <c r="T176" s="80">
        <v>0</v>
      </c>
      <c r="U176" t="s" s="79">
        <v>122</v>
      </c>
      <c r="V176" s="78"/>
      <c r="W176" s="78"/>
      <c r="X176" s="78"/>
      <c r="Y176" s="78"/>
      <c r="Z176" s="78"/>
      <c r="AA176" s="78"/>
      <c r="AB176" t="s" s="79">
        <v>124</v>
      </c>
      <c r="AC176" t="s" s="79">
        <v>124</v>
      </c>
      <c r="AD176" t="s" s="82">
        <v>125</v>
      </c>
      <c r="AE176" s="67"/>
    </row>
    <row r="177" ht="15" customHeight="1">
      <c r="A177" t="s" s="87">
        <v>32</v>
      </c>
      <c r="B177" s="69">
        <v>11.6</v>
      </c>
      <c r="C177" t="b" s="70">
        <v>0</v>
      </c>
      <c r="D177" s="71"/>
      <c r="E177" t="s" s="72">
        <v>605</v>
      </c>
      <c r="F177" t="s" s="72">
        <v>168</v>
      </c>
      <c r="G177" s="73">
        <v>4</v>
      </c>
      <c r="H177" t="s" s="72">
        <v>175</v>
      </c>
      <c r="I177" t="s" s="72">
        <v>175</v>
      </c>
      <c r="J177" s="73">
        <v>26</v>
      </c>
      <c r="K177" t="s" s="72">
        <v>606</v>
      </c>
      <c r="L177" t="s" s="72">
        <v>154</v>
      </c>
      <c r="M177" s="71"/>
      <c r="N177" s="71"/>
      <c r="O177" s="71"/>
      <c r="P177" s="73">
        <v>2</v>
      </c>
      <c r="Q177" s="74">
        <v>5.5</v>
      </c>
      <c r="R177" s="74">
        <v>5.5</v>
      </c>
      <c r="S177" s="73">
        <v>0</v>
      </c>
      <c r="T177" s="73">
        <v>0</v>
      </c>
      <c r="U177" t="s" s="72">
        <v>122</v>
      </c>
      <c r="V177" s="73">
        <v>10</v>
      </c>
      <c r="W177" s="74">
        <v>5.55</v>
      </c>
      <c r="X177" s="74">
        <v>5.55</v>
      </c>
      <c r="Y177" s="73">
        <v>0</v>
      </c>
      <c r="Z177" s="73">
        <v>0</v>
      </c>
      <c r="AA177" t="s" s="72">
        <v>123</v>
      </c>
      <c r="AB177" t="s" s="72">
        <v>124</v>
      </c>
      <c r="AC177" t="s" s="72">
        <v>124</v>
      </c>
      <c r="AD177" t="s" s="75">
        <v>125</v>
      </c>
      <c r="AE177" s="67"/>
    </row>
    <row r="178" ht="15" customHeight="1">
      <c r="A178" t="s" s="87">
        <v>32</v>
      </c>
      <c r="B178" s="76">
        <v>11.4</v>
      </c>
      <c r="C178" t="b" s="77">
        <v>0</v>
      </c>
      <c r="D178" s="78"/>
      <c r="E178" t="s" s="79">
        <v>607</v>
      </c>
      <c r="F178" t="s" s="79">
        <v>144</v>
      </c>
      <c r="G178" s="80">
        <v>5</v>
      </c>
      <c r="H178" t="s" s="79">
        <v>175</v>
      </c>
      <c r="I178" t="s" s="79">
        <v>175</v>
      </c>
      <c r="J178" s="80">
        <v>38</v>
      </c>
      <c r="K178" t="s" s="79">
        <v>128</v>
      </c>
      <c r="L178" t="s" s="79">
        <v>121</v>
      </c>
      <c r="M178" s="78"/>
      <c r="N178" s="78"/>
      <c r="O178" s="78"/>
      <c r="P178" s="80">
        <v>0</v>
      </c>
      <c r="Q178" s="81">
        <v>0</v>
      </c>
      <c r="R178" s="81">
        <v>0</v>
      </c>
      <c r="S178" s="80">
        <v>0</v>
      </c>
      <c r="T178" s="80">
        <v>0</v>
      </c>
      <c r="U178" t="s" s="79">
        <v>122</v>
      </c>
      <c r="V178" s="80">
        <v>10</v>
      </c>
      <c r="W178" s="81">
        <v>6</v>
      </c>
      <c r="X178" s="81">
        <v>5.9</v>
      </c>
      <c r="Y178" s="80">
        <v>0</v>
      </c>
      <c r="Z178" s="80">
        <v>0</v>
      </c>
      <c r="AA178" t="s" s="79">
        <v>123</v>
      </c>
      <c r="AB178" t="s" s="79">
        <v>124</v>
      </c>
      <c r="AC178" t="s" s="79">
        <v>124</v>
      </c>
      <c r="AD178" t="s" s="82">
        <v>125</v>
      </c>
      <c r="AE178" s="67"/>
    </row>
    <row r="179" ht="15" customHeight="1">
      <c r="A179" t="s" s="87">
        <v>32</v>
      </c>
      <c r="B179" s="69">
        <v>11.3</v>
      </c>
      <c r="C179" t="b" s="70">
        <v>0</v>
      </c>
      <c r="D179" t="s" s="84">
        <v>191</v>
      </c>
      <c r="E179" t="s" s="72">
        <v>608</v>
      </c>
      <c r="F179" t="s" s="72">
        <v>130</v>
      </c>
      <c r="G179" s="73">
        <v>5</v>
      </c>
      <c r="H179" t="s" s="72">
        <v>175</v>
      </c>
      <c r="I179" t="s" s="72">
        <v>490</v>
      </c>
      <c r="J179" s="73">
        <v>20</v>
      </c>
      <c r="K179" t="s" s="72">
        <v>609</v>
      </c>
      <c r="L179" t="s" s="72">
        <v>154</v>
      </c>
      <c r="M179" s="71"/>
      <c r="N179" s="71"/>
      <c r="O179" s="71"/>
      <c r="P179" s="73">
        <v>0</v>
      </c>
      <c r="Q179" s="74">
        <v>0</v>
      </c>
      <c r="R179" s="74">
        <v>0</v>
      </c>
      <c r="S179" s="73">
        <v>0</v>
      </c>
      <c r="T179" s="73">
        <v>0</v>
      </c>
      <c r="U179" t="s" s="72">
        <v>122</v>
      </c>
      <c r="V179" s="71"/>
      <c r="W179" s="71"/>
      <c r="X179" s="71"/>
      <c r="Y179" s="71"/>
      <c r="Z179" s="71"/>
      <c r="AA179" s="71"/>
      <c r="AB179" t="s" s="72">
        <v>124</v>
      </c>
      <c r="AC179" t="s" s="72">
        <v>124</v>
      </c>
      <c r="AD179" t="s" s="75">
        <v>125</v>
      </c>
      <c r="AE179" s="67"/>
    </row>
    <row r="180" ht="15" customHeight="1">
      <c r="A180" t="s" s="87">
        <v>32</v>
      </c>
      <c r="B180" s="76">
        <v>11.1</v>
      </c>
      <c r="C180" t="b" s="77">
        <v>0</v>
      </c>
      <c r="D180" s="78"/>
      <c r="E180" t="s" s="79">
        <v>610</v>
      </c>
      <c r="F180" t="s" s="79">
        <v>180</v>
      </c>
      <c r="G180" s="80">
        <v>5</v>
      </c>
      <c r="H180" t="s" s="79">
        <v>175</v>
      </c>
      <c r="I180" t="s" s="79">
        <v>175</v>
      </c>
      <c r="J180" s="80">
        <v>23</v>
      </c>
      <c r="K180" t="s" s="79">
        <v>611</v>
      </c>
      <c r="L180" t="s" s="79">
        <v>121</v>
      </c>
      <c r="M180" s="78"/>
      <c r="N180" s="78"/>
      <c r="O180" s="78"/>
      <c r="P180" s="80">
        <v>0</v>
      </c>
      <c r="Q180" s="81">
        <v>0</v>
      </c>
      <c r="R180" s="81">
        <v>0</v>
      </c>
      <c r="S180" s="80">
        <v>0</v>
      </c>
      <c r="T180" s="80">
        <v>0</v>
      </c>
      <c r="U180" t="s" s="79">
        <v>122</v>
      </c>
      <c r="V180" s="80">
        <v>7</v>
      </c>
      <c r="W180" s="81">
        <v>5.86</v>
      </c>
      <c r="X180" s="81">
        <v>5.79</v>
      </c>
      <c r="Y180" s="80">
        <v>0</v>
      </c>
      <c r="Z180" s="80">
        <v>0</v>
      </c>
      <c r="AA180" t="s" s="79">
        <v>123</v>
      </c>
      <c r="AB180" t="s" s="79">
        <v>124</v>
      </c>
      <c r="AC180" t="s" s="79">
        <v>124</v>
      </c>
      <c r="AD180" t="s" s="82">
        <v>125</v>
      </c>
      <c r="AE180" s="67"/>
    </row>
    <row r="181" ht="15" customHeight="1">
      <c r="A181" t="s" s="87">
        <v>32</v>
      </c>
      <c r="B181" s="69">
        <v>10.9</v>
      </c>
      <c r="C181" t="b" s="70">
        <v>0</v>
      </c>
      <c r="D181" s="71"/>
      <c r="E181" t="s" s="72">
        <v>612</v>
      </c>
      <c r="F181" t="s" s="72">
        <v>159</v>
      </c>
      <c r="G181" s="73">
        <v>5</v>
      </c>
      <c r="H181" t="s" s="72">
        <v>175</v>
      </c>
      <c r="I181" t="s" s="72">
        <v>203</v>
      </c>
      <c r="J181" s="73">
        <v>20</v>
      </c>
      <c r="K181" t="s" s="72">
        <v>230</v>
      </c>
      <c r="L181" t="s" s="72">
        <v>154</v>
      </c>
      <c r="M181" s="71"/>
      <c r="N181" s="71"/>
      <c r="O181" s="71"/>
      <c r="P181" s="73">
        <v>0</v>
      </c>
      <c r="Q181" s="74">
        <v>0</v>
      </c>
      <c r="R181" s="74">
        <v>0</v>
      </c>
      <c r="S181" s="73">
        <v>0</v>
      </c>
      <c r="T181" s="73">
        <v>0</v>
      </c>
      <c r="U181" t="s" s="72">
        <v>122</v>
      </c>
      <c r="V181" s="73">
        <v>5</v>
      </c>
      <c r="W181" s="74">
        <v>5.8</v>
      </c>
      <c r="X181" s="74">
        <v>5.8</v>
      </c>
      <c r="Y181" s="73">
        <v>0</v>
      </c>
      <c r="Z181" s="73">
        <v>0</v>
      </c>
      <c r="AA181" t="s" s="72">
        <v>123</v>
      </c>
      <c r="AB181" t="s" s="72">
        <v>124</v>
      </c>
      <c r="AC181" t="s" s="72">
        <v>124</v>
      </c>
      <c r="AD181" t="s" s="75">
        <v>125</v>
      </c>
      <c r="AE181" s="67"/>
    </row>
    <row r="182" ht="15" customHeight="1">
      <c r="A182" t="s" s="87">
        <v>32</v>
      </c>
      <c r="B182" s="76">
        <v>10.8</v>
      </c>
      <c r="C182" t="b" s="77">
        <v>0</v>
      </c>
      <c r="D182" s="78"/>
      <c r="E182" t="s" s="79">
        <v>613</v>
      </c>
      <c r="F182" t="s" s="79">
        <v>193</v>
      </c>
      <c r="G182" s="80">
        <v>5</v>
      </c>
      <c r="H182" t="s" s="79">
        <v>614</v>
      </c>
      <c r="I182" t="s" s="79">
        <v>615</v>
      </c>
      <c r="J182" s="80">
        <v>19</v>
      </c>
      <c r="K182" t="s" s="79">
        <v>224</v>
      </c>
      <c r="L182" t="s" s="79">
        <v>154</v>
      </c>
      <c r="M182" s="78"/>
      <c r="N182" s="78"/>
      <c r="O182" s="78"/>
      <c r="P182" s="80">
        <v>1</v>
      </c>
      <c r="Q182" s="81">
        <v>5.5</v>
      </c>
      <c r="R182" s="81">
        <v>5.5</v>
      </c>
      <c r="S182" s="80">
        <v>0</v>
      </c>
      <c r="T182" s="80">
        <v>0</v>
      </c>
      <c r="U182" t="s" s="79">
        <v>122</v>
      </c>
      <c r="V182" s="78"/>
      <c r="W182" s="78"/>
      <c r="X182" s="78"/>
      <c r="Y182" s="78"/>
      <c r="Z182" s="78"/>
      <c r="AA182" s="78"/>
      <c r="AB182" t="s" s="79">
        <v>124</v>
      </c>
      <c r="AC182" t="s" s="79">
        <v>124</v>
      </c>
      <c r="AD182" t="s" s="82">
        <v>125</v>
      </c>
      <c r="AE182" s="67"/>
    </row>
    <row r="183" ht="15" customHeight="1">
      <c r="A183" t="s" s="87">
        <v>32</v>
      </c>
      <c r="B183" s="69">
        <v>9.300000000000001</v>
      </c>
      <c r="C183" t="b" s="70">
        <v>0</v>
      </c>
      <c r="D183" s="71"/>
      <c r="E183" t="s" s="72">
        <v>616</v>
      </c>
      <c r="F183" t="s" s="72">
        <v>183</v>
      </c>
      <c r="G183" s="73">
        <v>5</v>
      </c>
      <c r="H183" t="s" s="72">
        <v>175</v>
      </c>
      <c r="I183" t="s" s="72">
        <v>493</v>
      </c>
      <c r="J183" s="73">
        <v>18</v>
      </c>
      <c r="K183" t="s" s="72">
        <v>617</v>
      </c>
      <c r="L183" t="s" s="72">
        <v>154</v>
      </c>
      <c r="M183" s="71"/>
      <c r="N183" s="71"/>
      <c r="O183" s="71"/>
      <c r="P183" s="73">
        <v>0</v>
      </c>
      <c r="Q183" s="74">
        <v>0</v>
      </c>
      <c r="R183" s="74">
        <v>0</v>
      </c>
      <c r="S183" s="73">
        <v>0</v>
      </c>
      <c r="T183" s="73">
        <v>0</v>
      </c>
      <c r="U183" t="s" s="72">
        <v>122</v>
      </c>
      <c r="V183" s="73">
        <v>0</v>
      </c>
      <c r="W183" s="74">
        <v>0</v>
      </c>
      <c r="X183" s="74">
        <v>0</v>
      </c>
      <c r="Y183" s="73">
        <v>0</v>
      </c>
      <c r="Z183" s="73">
        <v>0</v>
      </c>
      <c r="AA183" t="s" s="72">
        <v>123</v>
      </c>
      <c r="AB183" t="s" s="72">
        <v>124</v>
      </c>
      <c r="AC183" t="s" s="72">
        <v>124</v>
      </c>
      <c r="AD183" t="s" s="75">
        <v>125</v>
      </c>
      <c r="AE183" s="67"/>
    </row>
    <row r="184" ht="15" customHeight="1">
      <c r="A184" t="s" s="87">
        <v>32</v>
      </c>
      <c r="B184" s="76">
        <v>9.300000000000001</v>
      </c>
      <c r="C184" t="b" s="77">
        <v>0</v>
      </c>
      <c r="D184" s="78"/>
      <c r="E184" t="s" s="79">
        <v>618</v>
      </c>
      <c r="F184" t="s" s="79">
        <v>180</v>
      </c>
      <c r="G184" s="80">
        <v>5</v>
      </c>
      <c r="H184" t="s" s="79">
        <v>175</v>
      </c>
      <c r="I184" t="s" s="79">
        <v>445</v>
      </c>
      <c r="J184" s="80">
        <v>25</v>
      </c>
      <c r="K184" t="s" s="79">
        <v>619</v>
      </c>
      <c r="L184" t="s" s="79">
        <v>121</v>
      </c>
      <c r="M184" s="78"/>
      <c r="N184" s="78"/>
      <c r="O184" s="78"/>
      <c r="P184" s="80">
        <v>0</v>
      </c>
      <c r="Q184" s="81">
        <v>0</v>
      </c>
      <c r="R184" s="81">
        <v>0</v>
      </c>
      <c r="S184" s="80">
        <v>0</v>
      </c>
      <c r="T184" s="80">
        <v>0</v>
      </c>
      <c r="U184" t="s" s="79">
        <v>122</v>
      </c>
      <c r="V184" s="80">
        <v>0</v>
      </c>
      <c r="W184" s="81">
        <v>0</v>
      </c>
      <c r="X184" s="81">
        <v>0</v>
      </c>
      <c r="Y184" s="80">
        <v>0</v>
      </c>
      <c r="Z184" s="80">
        <v>0</v>
      </c>
      <c r="AA184" t="s" s="79">
        <v>123</v>
      </c>
      <c r="AB184" t="s" s="79">
        <v>124</v>
      </c>
      <c r="AC184" t="s" s="79">
        <v>124</v>
      </c>
      <c r="AD184" t="s" s="82">
        <v>125</v>
      </c>
      <c r="AE184" s="67"/>
    </row>
    <row r="185" ht="15" customHeight="1">
      <c r="A185" t="s" s="87">
        <v>32</v>
      </c>
      <c r="B185" s="69">
        <v>9.300000000000001</v>
      </c>
      <c r="C185" t="b" s="70">
        <v>0</v>
      </c>
      <c r="D185" s="71"/>
      <c r="E185" t="s" s="72">
        <v>620</v>
      </c>
      <c r="F185" t="s" s="72">
        <v>183</v>
      </c>
      <c r="G185" s="73">
        <v>5</v>
      </c>
      <c r="H185" t="s" s="72">
        <v>175</v>
      </c>
      <c r="I185" t="s" s="72">
        <v>493</v>
      </c>
      <c r="J185" s="73">
        <v>20</v>
      </c>
      <c r="K185" t="s" s="72">
        <v>621</v>
      </c>
      <c r="L185" s="71"/>
      <c r="M185" s="71"/>
      <c r="N185" s="71"/>
      <c r="O185" s="71"/>
      <c r="P185" s="71"/>
      <c r="Q185" s="71"/>
      <c r="R185" s="71"/>
      <c r="S185" s="71"/>
      <c r="T185" s="71"/>
      <c r="U185" s="71"/>
      <c r="V185" s="71"/>
      <c r="W185" s="71"/>
      <c r="X185" s="71"/>
      <c r="Y185" s="71"/>
      <c r="Z185" s="71"/>
      <c r="AA185" s="71"/>
      <c r="AB185" t="s" s="72">
        <v>125</v>
      </c>
      <c r="AC185" s="71"/>
      <c r="AD185" t="s" s="75">
        <v>125</v>
      </c>
      <c r="AE185" s="67"/>
    </row>
    <row r="186" ht="15" customHeight="1">
      <c r="A186" t="s" s="87">
        <v>32</v>
      </c>
      <c r="B186" s="76">
        <v>9.300000000000001</v>
      </c>
      <c r="C186" t="b" s="77">
        <v>0</v>
      </c>
      <c r="D186" s="78"/>
      <c r="E186" t="s" s="79">
        <v>622</v>
      </c>
      <c r="F186" t="s" s="79">
        <v>180</v>
      </c>
      <c r="G186" s="80">
        <v>5</v>
      </c>
      <c r="H186" t="s" s="79">
        <v>175</v>
      </c>
      <c r="I186" t="s" s="79">
        <v>493</v>
      </c>
      <c r="J186" s="80">
        <v>21</v>
      </c>
      <c r="K186" t="s" s="79">
        <v>623</v>
      </c>
      <c r="L186" t="s" s="79">
        <v>121</v>
      </c>
      <c r="M186" s="78"/>
      <c r="N186" s="78"/>
      <c r="O186" s="78"/>
      <c r="P186" s="80">
        <v>0</v>
      </c>
      <c r="Q186" s="81">
        <v>0</v>
      </c>
      <c r="R186" s="81">
        <v>0</v>
      </c>
      <c r="S186" s="80">
        <v>0</v>
      </c>
      <c r="T186" s="80">
        <v>0</v>
      </c>
      <c r="U186" t="s" s="79">
        <v>122</v>
      </c>
      <c r="V186" s="78"/>
      <c r="W186" s="78"/>
      <c r="X186" s="78"/>
      <c r="Y186" s="78"/>
      <c r="Z186" s="78"/>
      <c r="AA186" s="78"/>
      <c r="AB186" t="s" s="79">
        <v>124</v>
      </c>
      <c r="AC186" t="s" s="79">
        <v>124</v>
      </c>
      <c r="AD186" t="s" s="82">
        <v>125</v>
      </c>
      <c r="AE186" s="67"/>
    </row>
    <row r="187" ht="15" customHeight="1">
      <c r="A187" t="s" s="87">
        <v>32</v>
      </c>
      <c r="B187" s="69">
        <v>8.9</v>
      </c>
      <c r="C187" t="b" s="70">
        <v>0</v>
      </c>
      <c r="D187" s="71"/>
      <c r="E187" t="s" s="72">
        <v>624</v>
      </c>
      <c r="F187" t="s" s="72">
        <v>187</v>
      </c>
      <c r="G187" s="73">
        <v>3</v>
      </c>
      <c r="H187" t="s" s="72">
        <v>175</v>
      </c>
      <c r="I187" t="s" s="72">
        <v>175</v>
      </c>
      <c r="J187" s="73">
        <v>25</v>
      </c>
      <c r="K187" t="s" s="72">
        <v>255</v>
      </c>
      <c r="L187" t="s" s="72">
        <v>121</v>
      </c>
      <c r="M187" s="71"/>
      <c r="N187" s="71"/>
      <c r="O187" s="71"/>
      <c r="P187" s="73">
        <v>0</v>
      </c>
      <c r="Q187" s="74">
        <v>0</v>
      </c>
      <c r="R187" s="74">
        <v>0</v>
      </c>
      <c r="S187" s="73">
        <v>0</v>
      </c>
      <c r="T187" s="73">
        <v>0</v>
      </c>
      <c r="U187" t="s" s="72">
        <v>122</v>
      </c>
      <c r="V187" s="73">
        <v>27</v>
      </c>
      <c r="W187" s="74">
        <v>5.87</v>
      </c>
      <c r="X187" s="74">
        <v>5.74</v>
      </c>
      <c r="Y187" s="73">
        <v>0</v>
      </c>
      <c r="Z187" s="73">
        <v>0</v>
      </c>
      <c r="AA187" t="s" s="72">
        <v>123</v>
      </c>
      <c r="AB187" t="s" s="72">
        <v>124</v>
      </c>
      <c r="AC187" t="s" s="72">
        <v>124</v>
      </c>
      <c r="AD187" t="s" s="75">
        <v>125</v>
      </c>
      <c r="AE187" s="67"/>
    </row>
    <row r="188" ht="15" customHeight="1">
      <c r="A188" t="s" s="87">
        <v>32</v>
      </c>
      <c r="B188" s="76">
        <v>8.699999999999999</v>
      </c>
      <c r="C188" t="b" s="77">
        <v>0</v>
      </c>
      <c r="D188" s="78"/>
      <c r="E188" t="s" s="79">
        <v>625</v>
      </c>
      <c r="F188" t="s" s="79">
        <v>159</v>
      </c>
      <c r="G188" s="80">
        <v>3</v>
      </c>
      <c r="H188" t="s" s="79">
        <v>175</v>
      </c>
      <c r="I188" t="s" s="79">
        <v>203</v>
      </c>
      <c r="J188" s="80">
        <v>22</v>
      </c>
      <c r="K188" t="s" s="79">
        <v>606</v>
      </c>
      <c r="L188" t="s" s="79">
        <v>121</v>
      </c>
      <c r="M188" s="78"/>
      <c r="N188" s="78"/>
      <c r="O188" s="78"/>
      <c r="P188" s="80">
        <v>2</v>
      </c>
      <c r="Q188" s="81">
        <v>6.25</v>
      </c>
      <c r="R188" s="81">
        <v>6</v>
      </c>
      <c r="S188" s="80">
        <v>0</v>
      </c>
      <c r="T188" s="80">
        <v>0</v>
      </c>
      <c r="U188" t="s" s="79">
        <v>122</v>
      </c>
      <c r="V188" s="78"/>
      <c r="W188" s="78"/>
      <c r="X188" s="78"/>
      <c r="Y188" s="78"/>
      <c r="Z188" s="78"/>
      <c r="AA188" s="78"/>
      <c r="AB188" t="s" s="79">
        <v>124</v>
      </c>
      <c r="AC188" t="s" s="79">
        <v>124</v>
      </c>
      <c r="AD188" t="s" s="82">
        <v>125</v>
      </c>
      <c r="AE188" s="67"/>
    </row>
    <row r="189" ht="15" customHeight="1">
      <c r="A189" t="s" s="87">
        <v>32</v>
      </c>
      <c r="B189" s="69">
        <v>8.4</v>
      </c>
      <c r="C189" t="b" s="70">
        <v>0</v>
      </c>
      <c r="D189" s="71"/>
      <c r="E189" t="s" s="72">
        <v>626</v>
      </c>
      <c r="F189" t="s" s="72">
        <v>138</v>
      </c>
      <c r="G189" s="73">
        <v>4</v>
      </c>
      <c r="H189" t="s" s="72">
        <v>175</v>
      </c>
      <c r="I189" t="s" s="72">
        <v>175</v>
      </c>
      <c r="J189" s="73">
        <v>32</v>
      </c>
      <c r="K189" t="s" s="72">
        <v>128</v>
      </c>
      <c r="L189" t="s" s="72">
        <v>121</v>
      </c>
      <c r="M189" s="71"/>
      <c r="N189" s="71"/>
      <c r="O189" s="71"/>
      <c r="P189" s="73">
        <v>0</v>
      </c>
      <c r="Q189" s="74">
        <v>0</v>
      </c>
      <c r="R189" s="74">
        <v>0</v>
      </c>
      <c r="S189" s="73">
        <v>0</v>
      </c>
      <c r="T189" s="73">
        <v>0</v>
      </c>
      <c r="U189" t="s" s="72">
        <v>122</v>
      </c>
      <c r="V189" s="73">
        <v>8</v>
      </c>
      <c r="W189" s="74">
        <v>5.62</v>
      </c>
      <c r="X189" s="74">
        <v>5.5</v>
      </c>
      <c r="Y189" s="73">
        <v>0</v>
      </c>
      <c r="Z189" s="73">
        <v>0</v>
      </c>
      <c r="AA189" t="s" s="72">
        <v>123</v>
      </c>
      <c r="AB189" t="s" s="72">
        <v>124</v>
      </c>
      <c r="AC189" t="s" s="72">
        <v>124</v>
      </c>
      <c r="AD189" t="s" s="75">
        <v>125</v>
      </c>
      <c r="AE189" s="67"/>
    </row>
    <row r="190" ht="15" customHeight="1">
      <c r="A190" t="s" s="87">
        <v>32</v>
      </c>
      <c r="B190" s="76">
        <v>7.6</v>
      </c>
      <c r="C190" t="b" s="77">
        <v>0</v>
      </c>
      <c r="D190" s="78"/>
      <c r="E190" t="s" s="79">
        <v>627</v>
      </c>
      <c r="F190" t="s" s="79">
        <v>172</v>
      </c>
      <c r="G190" s="80">
        <v>6</v>
      </c>
      <c r="H190" t="s" s="79">
        <v>175</v>
      </c>
      <c r="I190" t="s" s="79">
        <v>569</v>
      </c>
      <c r="J190" s="80">
        <v>23</v>
      </c>
      <c r="K190" t="s" s="79">
        <v>128</v>
      </c>
      <c r="L190" t="s" s="79">
        <v>154</v>
      </c>
      <c r="M190" s="78"/>
      <c r="N190" s="78"/>
      <c r="O190" t="s" s="88">
        <v>268</v>
      </c>
      <c r="P190" s="80">
        <v>0</v>
      </c>
      <c r="Q190" s="81">
        <v>0</v>
      </c>
      <c r="R190" s="81">
        <v>0</v>
      </c>
      <c r="S190" s="80">
        <v>0</v>
      </c>
      <c r="T190" s="80">
        <v>0</v>
      </c>
      <c r="U190" t="s" s="79">
        <v>122</v>
      </c>
      <c r="V190" s="80">
        <v>0</v>
      </c>
      <c r="W190" s="81">
        <v>0</v>
      </c>
      <c r="X190" s="81">
        <v>0</v>
      </c>
      <c r="Y190" s="80">
        <v>0</v>
      </c>
      <c r="Z190" s="80">
        <v>0</v>
      </c>
      <c r="AA190" t="s" s="79">
        <v>123</v>
      </c>
      <c r="AB190" t="s" s="79">
        <v>124</v>
      </c>
      <c r="AC190" t="s" s="79">
        <v>124</v>
      </c>
      <c r="AD190" t="s" s="82">
        <v>125</v>
      </c>
      <c r="AE190" s="67"/>
    </row>
    <row r="191" ht="15" customHeight="1">
      <c r="A191" t="s" s="87">
        <v>32</v>
      </c>
      <c r="B191" s="69">
        <v>7</v>
      </c>
      <c r="C191" t="b" s="70">
        <v>0</v>
      </c>
      <c r="D191" s="71"/>
      <c r="E191" t="s" s="72">
        <v>628</v>
      </c>
      <c r="F191" t="s" s="72">
        <v>168</v>
      </c>
      <c r="G191" s="73">
        <v>3</v>
      </c>
      <c r="H191" t="s" s="72">
        <v>175</v>
      </c>
      <c r="I191" t="s" s="72">
        <v>203</v>
      </c>
      <c r="J191" s="73">
        <v>22</v>
      </c>
      <c r="K191" t="s" s="72">
        <v>629</v>
      </c>
      <c r="L191" t="s" s="72">
        <v>121</v>
      </c>
      <c r="M191" s="71"/>
      <c r="N191" s="71"/>
      <c r="O191" s="71"/>
      <c r="P191" s="73">
        <v>0</v>
      </c>
      <c r="Q191" s="74">
        <v>0</v>
      </c>
      <c r="R191" s="74">
        <v>0</v>
      </c>
      <c r="S191" s="73">
        <v>0</v>
      </c>
      <c r="T191" s="73">
        <v>0</v>
      </c>
      <c r="U191" t="s" s="72">
        <v>122</v>
      </c>
      <c r="V191" s="73">
        <v>1</v>
      </c>
      <c r="W191" s="74">
        <v>5</v>
      </c>
      <c r="X191" s="74">
        <v>5</v>
      </c>
      <c r="Y191" s="73">
        <v>0</v>
      </c>
      <c r="Z191" s="73">
        <v>0</v>
      </c>
      <c r="AA191" t="s" s="72">
        <v>123</v>
      </c>
      <c r="AB191" t="s" s="72">
        <v>124</v>
      </c>
      <c r="AC191" t="s" s="72">
        <v>124</v>
      </c>
      <c r="AD191" t="s" s="75">
        <v>125</v>
      </c>
      <c r="AE191" s="67"/>
    </row>
    <row r="192" ht="15" customHeight="1">
      <c r="A192" t="s" s="87">
        <v>32</v>
      </c>
      <c r="B192" s="76">
        <v>6.2</v>
      </c>
      <c r="C192" t="b" s="77">
        <v>0</v>
      </c>
      <c r="D192" s="78"/>
      <c r="E192" t="s" s="79">
        <v>630</v>
      </c>
      <c r="F192" t="s" s="79">
        <v>187</v>
      </c>
      <c r="G192" s="80">
        <v>2</v>
      </c>
      <c r="H192" t="s" s="79">
        <v>175</v>
      </c>
      <c r="I192" t="s" s="79">
        <v>203</v>
      </c>
      <c r="J192" s="80">
        <v>20</v>
      </c>
      <c r="K192" t="s" s="79">
        <v>560</v>
      </c>
      <c r="L192" t="s" s="79">
        <v>121</v>
      </c>
      <c r="M192" s="78"/>
      <c r="N192" s="78"/>
      <c r="O192" s="78"/>
      <c r="P192" s="80">
        <v>1</v>
      </c>
      <c r="Q192" s="81">
        <v>5.5</v>
      </c>
      <c r="R192" s="81">
        <v>5.5</v>
      </c>
      <c r="S192" s="80">
        <v>0</v>
      </c>
      <c r="T192" s="80">
        <v>0</v>
      </c>
      <c r="U192" t="s" s="79">
        <v>122</v>
      </c>
      <c r="V192" s="78"/>
      <c r="W192" s="78"/>
      <c r="X192" s="78"/>
      <c r="Y192" s="78"/>
      <c r="Z192" s="78"/>
      <c r="AA192" s="78"/>
      <c r="AB192" t="s" s="79">
        <v>124</v>
      </c>
      <c r="AC192" t="s" s="79">
        <v>124</v>
      </c>
      <c r="AD192" t="s" s="82">
        <v>125</v>
      </c>
      <c r="AE192" s="67"/>
    </row>
    <row r="193" ht="15" customHeight="1">
      <c r="A193" t="s" s="87">
        <v>32</v>
      </c>
      <c r="B193" s="69">
        <v>5.7</v>
      </c>
      <c r="C193" t="b" s="70">
        <v>0</v>
      </c>
      <c r="D193" s="71"/>
      <c r="E193" t="s" s="72">
        <v>631</v>
      </c>
      <c r="F193" t="s" s="72">
        <v>117</v>
      </c>
      <c r="G193" s="73">
        <v>3</v>
      </c>
      <c r="H193" t="s" s="72">
        <v>175</v>
      </c>
      <c r="I193" t="s" s="72">
        <v>175</v>
      </c>
      <c r="J193" s="73">
        <v>24</v>
      </c>
      <c r="K193" t="s" s="72">
        <v>632</v>
      </c>
      <c r="L193" s="71"/>
      <c r="M193" s="71"/>
      <c r="N193" s="71"/>
      <c r="O193" s="71"/>
      <c r="P193" s="71"/>
      <c r="Q193" s="71"/>
      <c r="R193" s="71"/>
      <c r="S193" s="71"/>
      <c r="T193" s="71"/>
      <c r="U193" s="71"/>
      <c r="V193" s="73">
        <v>0</v>
      </c>
      <c r="W193" s="74">
        <v>0</v>
      </c>
      <c r="X193" s="74">
        <v>0</v>
      </c>
      <c r="Y193" s="73">
        <v>0</v>
      </c>
      <c r="Z193" s="73">
        <v>0</v>
      </c>
      <c r="AA193" t="s" s="72">
        <v>123</v>
      </c>
      <c r="AB193" t="s" s="72">
        <v>125</v>
      </c>
      <c r="AC193" s="71"/>
      <c r="AD193" t="s" s="75">
        <v>125</v>
      </c>
      <c r="AE193" s="67"/>
    </row>
    <row r="194" ht="15" customHeight="1">
      <c r="A194" t="s" s="87">
        <v>32</v>
      </c>
      <c r="B194" s="76">
        <v>5.1</v>
      </c>
      <c r="C194" t="b" s="77">
        <v>0</v>
      </c>
      <c r="D194" s="78"/>
      <c r="E194" t="s" s="79">
        <v>633</v>
      </c>
      <c r="F194" t="s" s="79">
        <v>156</v>
      </c>
      <c r="G194" s="80">
        <v>1</v>
      </c>
      <c r="H194" t="s" s="79">
        <v>175</v>
      </c>
      <c r="I194" t="s" s="79">
        <v>203</v>
      </c>
      <c r="J194" s="80">
        <v>19</v>
      </c>
      <c r="K194" t="s" s="79">
        <v>634</v>
      </c>
      <c r="L194" t="s" s="79">
        <v>121</v>
      </c>
      <c r="M194" s="78"/>
      <c r="N194" s="78"/>
      <c r="O194" s="78"/>
      <c r="P194" s="80">
        <v>0</v>
      </c>
      <c r="Q194" s="81">
        <v>0</v>
      </c>
      <c r="R194" s="81">
        <v>0</v>
      </c>
      <c r="S194" s="80">
        <v>0</v>
      </c>
      <c r="T194" s="80">
        <v>0</v>
      </c>
      <c r="U194" t="s" s="79">
        <v>122</v>
      </c>
      <c r="V194" s="80">
        <v>9</v>
      </c>
      <c r="W194" s="81">
        <v>6</v>
      </c>
      <c r="X194" s="81">
        <v>6.33</v>
      </c>
      <c r="Y194" s="80">
        <v>1</v>
      </c>
      <c r="Z194" s="80">
        <v>0</v>
      </c>
      <c r="AA194" t="s" s="79">
        <v>123</v>
      </c>
      <c r="AB194" t="s" s="79">
        <v>124</v>
      </c>
      <c r="AC194" t="s" s="79">
        <v>124</v>
      </c>
      <c r="AD194" t="s" s="82">
        <v>125</v>
      </c>
      <c r="AE194" s="67"/>
    </row>
    <row r="195" ht="15" customHeight="1">
      <c r="A195" t="s" s="87">
        <v>32</v>
      </c>
      <c r="B195" s="69">
        <v>4.7</v>
      </c>
      <c r="C195" t="b" s="70">
        <v>0</v>
      </c>
      <c r="D195" s="71"/>
      <c r="E195" t="s" s="72">
        <v>635</v>
      </c>
      <c r="F195" t="s" s="72">
        <v>187</v>
      </c>
      <c r="G195" s="73">
        <v>2</v>
      </c>
      <c r="H195" t="s" s="72">
        <v>175</v>
      </c>
      <c r="I195" t="s" s="72">
        <v>203</v>
      </c>
      <c r="J195" s="73">
        <v>20</v>
      </c>
      <c r="K195" t="s" s="72">
        <v>636</v>
      </c>
      <c r="L195" t="s" s="72">
        <v>154</v>
      </c>
      <c r="M195" s="71"/>
      <c r="N195" s="71"/>
      <c r="O195" s="71"/>
      <c r="P195" s="73">
        <v>0</v>
      </c>
      <c r="Q195" s="74">
        <v>0</v>
      </c>
      <c r="R195" s="74">
        <v>0</v>
      </c>
      <c r="S195" s="73">
        <v>0</v>
      </c>
      <c r="T195" s="73">
        <v>0</v>
      </c>
      <c r="U195" t="s" s="72">
        <v>122</v>
      </c>
      <c r="V195" s="71"/>
      <c r="W195" s="71"/>
      <c r="X195" s="71"/>
      <c r="Y195" s="71"/>
      <c r="Z195" s="71"/>
      <c r="AA195" s="71"/>
      <c r="AB195" t="s" s="72">
        <v>124</v>
      </c>
      <c r="AC195" t="s" s="72">
        <v>124</v>
      </c>
      <c r="AD195" t="s" s="75">
        <v>125</v>
      </c>
      <c r="AE195" s="67"/>
    </row>
    <row r="196" ht="15" customHeight="1">
      <c r="A196" t="s" s="87">
        <v>32</v>
      </c>
      <c r="B196" s="76">
        <v>2.8</v>
      </c>
      <c r="C196" t="b" s="77">
        <v>0</v>
      </c>
      <c r="D196" s="78"/>
      <c r="E196" t="s" s="79">
        <v>637</v>
      </c>
      <c r="F196" t="s" s="79">
        <v>149</v>
      </c>
      <c r="G196" s="80">
        <v>1</v>
      </c>
      <c r="H196" t="s" s="79">
        <v>175</v>
      </c>
      <c r="I196" t="s" s="79">
        <v>203</v>
      </c>
      <c r="J196" s="80">
        <v>19</v>
      </c>
      <c r="K196" t="s" s="79">
        <v>204</v>
      </c>
      <c r="L196" s="78"/>
      <c r="M196" s="78"/>
      <c r="N196" s="78"/>
      <c r="O196" s="78"/>
      <c r="P196" s="78"/>
      <c r="Q196" s="78"/>
      <c r="R196" s="78"/>
      <c r="S196" s="78"/>
      <c r="T196" s="78"/>
      <c r="U196" s="78"/>
      <c r="V196" s="78"/>
      <c r="W196" s="78"/>
      <c r="X196" s="78"/>
      <c r="Y196" s="78"/>
      <c r="Z196" s="78"/>
      <c r="AA196" s="78"/>
      <c r="AB196" t="s" s="79">
        <v>125</v>
      </c>
      <c r="AC196" s="78"/>
      <c r="AD196" t="s" s="82">
        <v>125</v>
      </c>
      <c r="AE196" s="67"/>
    </row>
    <row r="197" ht="15" customHeight="1">
      <c r="A197" t="s" s="87">
        <v>32</v>
      </c>
      <c r="B197" s="69">
        <v>2.8</v>
      </c>
      <c r="C197" t="b" s="70">
        <v>0</v>
      </c>
      <c r="D197" s="71"/>
      <c r="E197" t="s" s="72">
        <v>638</v>
      </c>
      <c r="F197" t="s" s="72">
        <v>141</v>
      </c>
      <c r="G197" s="73">
        <v>1</v>
      </c>
      <c r="H197" t="s" s="72">
        <v>175</v>
      </c>
      <c r="I197" t="s" s="72">
        <v>203</v>
      </c>
      <c r="J197" s="73">
        <v>18</v>
      </c>
      <c r="K197" t="s" s="72">
        <v>639</v>
      </c>
      <c r="L197" s="71"/>
      <c r="M197" s="71"/>
      <c r="N197" s="71"/>
      <c r="O197" s="71"/>
      <c r="P197" s="71"/>
      <c r="Q197" s="71"/>
      <c r="R197" s="71"/>
      <c r="S197" s="71"/>
      <c r="T197" s="71"/>
      <c r="U197" s="71"/>
      <c r="V197" s="71"/>
      <c r="W197" s="71"/>
      <c r="X197" s="71"/>
      <c r="Y197" s="71"/>
      <c r="Z197" s="71"/>
      <c r="AA197" s="71"/>
      <c r="AB197" t="s" s="72">
        <v>125</v>
      </c>
      <c r="AC197" s="71"/>
      <c r="AD197" t="s" s="75">
        <v>125</v>
      </c>
      <c r="AE197" s="67"/>
    </row>
    <row r="198" ht="15" customHeight="1">
      <c r="A198" t="s" s="87">
        <v>32</v>
      </c>
      <c r="B198" s="76">
        <v>2.8</v>
      </c>
      <c r="C198" t="b" s="77">
        <v>0</v>
      </c>
      <c r="D198" s="78"/>
      <c r="E198" t="s" s="79">
        <v>640</v>
      </c>
      <c r="F198" t="s" s="79">
        <v>183</v>
      </c>
      <c r="G198" s="80">
        <v>1</v>
      </c>
      <c r="H198" t="s" s="79">
        <v>175</v>
      </c>
      <c r="I198" t="s" s="79">
        <v>203</v>
      </c>
      <c r="J198" s="80">
        <v>21</v>
      </c>
      <c r="K198" t="s" s="79">
        <v>641</v>
      </c>
      <c r="L198" t="s" s="79">
        <v>642</v>
      </c>
      <c r="M198" s="78"/>
      <c r="N198" s="78"/>
      <c r="O198" s="78"/>
      <c r="P198" s="78"/>
      <c r="Q198" s="78"/>
      <c r="R198" s="78"/>
      <c r="S198" s="78"/>
      <c r="T198" s="78"/>
      <c r="U198" s="78"/>
      <c r="V198" s="78"/>
      <c r="W198" s="78"/>
      <c r="X198" s="78"/>
      <c r="Y198" s="78"/>
      <c r="Z198" s="78"/>
      <c r="AA198" s="78"/>
      <c r="AB198" t="s" s="79">
        <v>125</v>
      </c>
      <c r="AC198" s="78"/>
      <c r="AD198" t="s" s="82">
        <v>125</v>
      </c>
      <c r="AE198" s="67"/>
    </row>
    <row r="199" ht="15" customHeight="1">
      <c r="A199" t="s" s="87">
        <v>32</v>
      </c>
      <c r="B199" s="69">
        <v>2.8</v>
      </c>
      <c r="C199" t="b" s="70">
        <v>0</v>
      </c>
      <c r="D199" s="71"/>
      <c r="E199" t="s" s="72">
        <v>643</v>
      </c>
      <c r="F199" t="s" s="72">
        <v>134</v>
      </c>
      <c r="G199" s="73">
        <v>1</v>
      </c>
      <c r="H199" t="s" s="72">
        <v>175</v>
      </c>
      <c r="I199" t="s" s="72">
        <v>203</v>
      </c>
      <c r="J199" s="73">
        <v>18</v>
      </c>
      <c r="K199" t="s" s="72">
        <v>204</v>
      </c>
      <c r="L199" s="71"/>
      <c r="M199" s="71"/>
      <c r="N199" s="71"/>
      <c r="O199" s="71"/>
      <c r="P199" s="71"/>
      <c r="Q199" s="71"/>
      <c r="R199" s="71"/>
      <c r="S199" s="71"/>
      <c r="T199" s="71"/>
      <c r="U199" s="71"/>
      <c r="V199" s="71"/>
      <c r="W199" s="71"/>
      <c r="X199" s="71"/>
      <c r="Y199" s="71"/>
      <c r="Z199" s="71"/>
      <c r="AA199" s="71"/>
      <c r="AB199" t="s" s="72">
        <v>125</v>
      </c>
      <c r="AC199" s="71"/>
      <c r="AD199" t="s" s="75">
        <v>125</v>
      </c>
      <c r="AE199" s="67"/>
    </row>
    <row r="200" ht="15" customHeight="1">
      <c r="A200" t="s" s="87">
        <v>32</v>
      </c>
      <c r="B200" s="76">
        <v>2.8</v>
      </c>
      <c r="C200" t="b" s="77">
        <v>0</v>
      </c>
      <c r="D200" s="78"/>
      <c r="E200" t="s" s="79">
        <v>644</v>
      </c>
      <c r="F200" t="s" s="79">
        <v>168</v>
      </c>
      <c r="G200" s="80">
        <v>1</v>
      </c>
      <c r="H200" t="s" s="79">
        <v>175</v>
      </c>
      <c r="I200" t="s" s="79">
        <v>203</v>
      </c>
      <c r="J200" s="80">
        <v>21</v>
      </c>
      <c r="K200" t="s" s="79">
        <v>645</v>
      </c>
      <c r="L200" s="78"/>
      <c r="M200" s="78"/>
      <c r="N200" s="78"/>
      <c r="O200" s="78"/>
      <c r="P200" s="78"/>
      <c r="Q200" s="78"/>
      <c r="R200" s="78"/>
      <c r="S200" s="78"/>
      <c r="T200" s="78"/>
      <c r="U200" s="78"/>
      <c r="V200" s="78"/>
      <c r="W200" s="78"/>
      <c r="X200" s="78"/>
      <c r="Y200" s="78"/>
      <c r="Z200" s="78"/>
      <c r="AA200" s="78"/>
      <c r="AB200" t="s" s="79">
        <v>125</v>
      </c>
      <c r="AC200" s="78"/>
      <c r="AD200" t="s" s="82">
        <v>125</v>
      </c>
      <c r="AE200" s="67"/>
    </row>
    <row r="201" ht="15" customHeight="1">
      <c r="A201" t="s" s="87">
        <v>32</v>
      </c>
      <c r="B201" s="69">
        <v>2.8</v>
      </c>
      <c r="C201" t="b" s="70">
        <v>0</v>
      </c>
      <c r="D201" s="71"/>
      <c r="E201" t="s" s="72">
        <v>646</v>
      </c>
      <c r="F201" t="s" s="72">
        <v>127</v>
      </c>
      <c r="G201" s="73">
        <v>1</v>
      </c>
      <c r="H201" t="s" s="72">
        <v>175</v>
      </c>
      <c r="I201" t="s" s="72">
        <v>203</v>
      </c>
      <c r="J201" s="73">
        <v>20</v>
      </c>
      <c r="K201" t="s" s="72">
        <v>647</v>
      </c>
      <c r="L201" s="71"/>
      <c r="M201" s="71"/>
      <c r="N201" s="71"/>
      <c r="O201" s="71"/>
      <c r="P201" s="71"/>
      <c r="Q201" s="71"/>
      <c r="R201" s="71"/>
      <c r="S201" s="71"/>
      <c r="T201" s="71"/>
      <c r="U201" s="71"/>
      <c r="V201" s="71"/>
      <c r="W201" s="71"/>
      <c r="X201" s="71"/>
      <c r="Y201" s="71"/>
      <c r="Z201" s="71"/>
      <c r="AA201" s="71"/>
      <c r="AB201" t="s" s="72">
        <v>125</v>
      </c>
      <c r="AC201" s="71"/>
      <c r="AD201" t="s" s="75">
        <v>125</v>
      </c>
      <c r="AE201" s="67"/>
    </row>
    <row r="202" ht="15" customHeight="1">
      <c r="A202" t="s" s="87">
        <v>32</v>
      </c>
      <c r="B202" s="76">
        <v>2.8</v>
      </c>
      <c r="C202" t="b" s="77">
        <v>0</v>
      </c>
      <c r="D202" s="78"/>
      <c r="E202" t="s" s="79">
        <v>648</v>
      </c>
      <c r="F202" t="s" s="79">
        <v>130</v>
      </c>
      <c r="G202" s="80">
        <v>1</v>
      </c>
      <c r="H202" t="s" s="79">
        <v>175</v>
      </c>
      <c r="I202" t="s" s="79">
        <v>203</v>
      </c>
      <c r="J202" s="80">
        <v>18</v>
      </c>
      <c r="K202" t="s" s="79">
        <v>649</v>
      </c>
      <c r="L202" s="78"/>
      <c r="M202" s="78"/>
      <c r="N202" s="78"/>
      <c r="O202" s="78"/>
      <c r="P202" s="78"/>
      <c r="Q202" s="78"/>
      <c r="R202" s="78"/>
      <c r="S202" s="78"/>
      <c r="T202" s="78"/>
      <c r="U202" s="78"/>
      <c r="V202" s="78"/>
      <c r="W202" s="78"/>
      <c r="X202" s="78"/>
      <c r="Y202" s="78"/>
      <c r="Z202" s="78"/>
      <c r="AA202" s="78"/>
      <c r="AB202" t="s" s="79">
        <v>125</v>
      </c>
      <c r="AC202" s="78"/>
      <c r="AD202" t="s" s="82">
        <v>125</v>
      </c>
      <c r="AE202" s="67"/>
    </row>
    <row r="203" ht="15" customHeight="1">
      <c r="A203" t="s" s="89">
        <v>32</v>
      </c>
      <c r="B203" s="103">
        <v>2.8</v>
      </c>
      <c r="C203" t="b" s="104">
        <v>0</v>
      </c>
      <c r="D203" s="105"/>
      <c r="E203" t="s" s="106">
        <v>650</v>
      </c>
      <c r="F203" t="s" s="106">
        <v>172</v>
      </c>
      <c r="G203" s="107">
        <v>1</v>
      </c>
      <c r="H203" t="s" s="106">
        <v>175</v>
      </c>
      <c r="I203" t="s" s="106">
        <v>175</v>
      </c>
      <c r="J203" s="107">
        <v>24</v>
      </c>
      <c r="K203" t="s" s="106">
        <v>230</v>
      </c>
      <c r="L203" s="105"/>
      <c r="M203" s="105"/>
      <c r="N203" s="105"/>
      <c r="O203" s="105"/>
      <c r="P203" s="105"/>
      <c r="Q203" s="105"/>
      <c r="R203" s="105"/>
      <c r="S203" s="105"/>
      <c r="T203" s="105"/>
      <c r="U203" s="105"/>
      <c r="V203" s="107">
        <v>0</v>
      </c>
      <c r="W203" s="108">
        <v>0</v>
      </c>
      <c r="X203" s="108">
        <v>0</v>
      </c>
      <c r="Y203" s="107">
        <v>0</v>
      </c>
      <c r="Z203" s="107">
        <v>0</v>
      </c>
      <c r="AA203" t="s" s="106">
        <v>123</v>
      </c>
      <c r="AB203" t="s" s="106">
        <v>125</v>
      </c>
      <c r="AC203" s="105"/>
      <c r="AD203" t="s" s="109">
        <v>125</v>
      </c>
      <c r="AE203" s="67"/>
    </row>
    <row r="204" ht="13.55" customHeight="1">
      <c r="A204" s="97"/>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c r="AE204" s="99"/>
    </row>
  </sheetData>
  <mergeCells count="2">
    <mergeCell ref="A2:AD2"/>
    <mergeCell ref="A1:AD1"/>
  </mergeCells>
  <hyperlinks>
    <hyperlink ref="AA5" r:id="rId1" location="" tooltip="" display="0/0"/>
    <hyperlink ref="AB5" r:id="rId2" location="" tooltip="" display="Apri"/>
    <hyperlink ref="AC5" r:id="rId3" location="" tooltip="" display="Apri"/>
    <hyperlink ref="AA6" r:id="rId4" location="" tooltip="" display="0/0"/>
    <hyperlink ref="AB6" r:id="rId5" location="" tooltip="" display="Apri"/>
    <hyperlink ref="AC6" r:id="rId6" location="" tooltip="" display="Apri"/>
    <hyperlink ref="AA7" r:id="rId7" location="" tooltip="" display="0/0"/>
    <hyperlink ref="AB7" r:id="rId8" location="" tooltip="" display="Apri"/>
    <hyperlink ref="AC7" r:id="rId9" location="" tooltip="" display="Apri"/>
    <hyperlink ref="AA8" r:id="rId10" location="" tooltip="" display="0/0"/>
    <hyperlink ref="AB8" r:id="rId11" location="" tooltip="" display="Apri"/>
    <hyperlink ref="AC8" r:id="rId12" location="" tooltip="" display="Apri"/>
    <hyperlink ref="AA9" r:id="rId13" location="" tooltip="" display="0/0"/>
    <hyperlink ref="AB9" r:id="rId14" location="" tooltip="" display="Apri"/>
    <hyperlink ref="AC9" r:id="rId15" location="" tooltip="" display="Apri"/>
    <hyperlink ref="AA10" r:id="rId16" location="" tooltip="" display="0/0"/>
    <hyperlink ref="AB10" r:id="rId17" location="" tooltip="" display="Apri"/>
    <hyperlink ref="AC10" r:id="rId18" location="" tooltip="" display="Apri"/>
    <hyperlink ref="AA11" r:id="rId19" location="" tooltip="" display="0/0"/>
    <hyperlink ref="AB11" r:id="rId20" location="" tooltip="" display="Apri"/>
    <hyperlink ref="AC11" r:id="rId21" location="" tooltip="" display="Apri"/>
    <hyperlink ref="AA12" r:id="rId22" location="" tooltip="" display="0/0"/>
    <hyperlink ref="AB12" r:id="rId23" location="" tooltip="" display="Apri"/>
    <hyperlink ref="AC12" r:id="rId24" location="" tooltip="" display="Apri"/>
    <hyperlink ref="AA13" r:id="rId25" location="" tooltip="" display="1/1"/>
    <hyperlink ref="AB13" r:id="rId26" location="" tooltip="" display="Apri"/>
    <hyperlink ref="AC13" r:id="rId27" location="" tooltip="" display="Apri"/>
    <hyperlink ref="AA14" r:id="rId28" location="" tooltip="" display="0/0"/>
    <hyperlink ref="AB14" r:id="rId29" location="" tooltip="" display="Apri"/>
    <hyperlink ref="AC14" r:id="rId30" location="" tooltip="" display="Apri"/>
    <hyperlink ref="AA15" r:id="rId31" location="" tooltip="" display="0/0"/>
    <hyperlink ref="AB15" r:id="rId32" location="" tooltip="" display="Apri"/>
    <hyperlink ref="AC15" r:id="rId33" location="" tooltip="" display="Apri"/>
    <hyperlink ref="AA16" r:id="rId34" location="" tooltip="" display="0/0"/>
    <hyperlink ref="AB16" r:id="rId35" location="" tooltip="" display="Apri"/>
    <hyperlink ref="AC16" r:id="rId36" location="" tooltip="" display="Apri"/>
    <hyperlink ref="AA17" r:id="rId37" location="" tooltip="" display="0/0"/>
    <hyperlink ref="AB17" r:id="rId38" location="" tooltip="" display="Apri"/>
    <hyperlink ref="AC17" r:id="rId39" location="" tooltip="" display="Apri"/>
    <hyperlink ref="AB18" r:id="rId40" location="" tooltip="" display="Apri"/>
    <hyperlink ref="AC18" r:id="rId41" location="" tooltip="" display="Apri"/>
    <hyperlink ref="AA19" r:id="rId42" location="" tooltip="" display="0/0"/>
    <hyperlink ref="AB19" r:id="rId43" location="" tooltip="" display="Apri"/>
    <hyperlink ref="AC19" r:id="rId44" location="" tooltip="" display="Apri"/>
    <hyperlink ref="AA20" r:id="rId45" location="" tooltip="" display="0/0"/>
    <hyperlink ref="AB20" r:id="rId46" location="" tooltip="" display="Apri"/>
    <hyperlink ref="AC20" r:id="rId47" location="" tooltip="" display="Apri"/>
    <hyperlink ref="AA21" r:id="rId48" location="" tooltip="" display="0/0"/>
    <hyperlink ref="AB21" r:id="rId49" location="" tooltip="" display="Apri"/>
    <hyperlink ref="AC21" r:id="rId50" location="" tooltip="" display="Apri"/>
    <hyperlink ref="AA22" r:id="rId51" location="" tooltip="" display="0/0"/>
    <hyperlink ref="AB22" r:id="rId52" location="" tooltip="" display="Apri"/>
    <hyperlink ref="AC22" r:id="rId53" location="" tooltip="" display="Apri"/>
    <hyperlink ref="AB23" r:id="rId54" location="" tooltip="" display="Apri"/>
    <hyperlink ref="AC23" r:id="rId55" location="" tooltip="" display="Apri"/>
    <hyperlink ref="AA24" r:id="rId56" location="" tooltip="" display="0/0"/>
    <hyperlink ref="AB24" r:id="rId57" location="" tooltip="" display="Apri"/>
    <hyperlink ref="AC24" r:id="rId58" location="" tooltip="" display="Apri"/>
    <hyperlink ref="AA25" r:id="rId59" location="" tooltip="" display="0/0"/>
    <hyperlink ref="AB25" r:id="rId60" location="" tooltip="" display="Apri"/>
    <hyperlink ref="AC25" r:id="rId61" location="" tooltip="" display="Apri"/>
    <hyperlink ref="AA26" r:id="rId62" location="" tooltip="" display="0/0"/>
    <hyperlink ref="AB26" r:id="rId63" location="" tooltip="" display="Apri"/>
    <hyperlink ref="AC26" r:id="rId64" location="" tooltip="" display="Apri"/>
    <hyperlink ref="AA27" r:id="rId65" location="" tooltip="" display="0/0"/>
    <hyperlink ref="AB27" r:id="rId66" location="" tooltip="" display="Apri"/>
    <hyperlink ref="AC27" r:id="rId67" location="" tooltip="" display="Apri"/>
    <hyperlink ref="AA28" r:id="rId68" location="" tooltip="" display="0/0"/>
    <hyperlink ref="AB28" r:id="rId69" location="" tooltip="" display="Apri"/>
    <hyperlink ref="AC28" r:id="rId70" location="" tooltip="" display="Apri"/>
    <hyperlink ref="AA29" r:id="rId71" location="" tooltip="" display="0/0"/>
    <hyperlink ref="AB29" r:id="rId72" location="" tooltip="" display="Apri"/>
    <hyperlink ref="AC29" r:id="rId73" location="" tooltip="" display="Apri"/>
    <hyperlink ref="AA30" r:id="rId74" location="" tooltip="" display="0/0"/>
    <hyperlink ref="AB30" r:id="rId75" location="" tooltip="" display="Apri"/>
    <hyperlink ref="AC30" r:id="rId76" location="" tooltip="" display="Apri"/>
    <hyperlink ref="AA31" r:id="rId77" location="" tooltip="" display="0/0"/>
    <hyperlink ref="AB31" r:id="rId78" location="" tooltip="" display="Apri"/>
    <hyperlink ref="AC31" r:id="rId79" location="" tooltip="" display="Apri"/>
    <hyperlink ref="AA32" r:id="rId80" location="" tooltip="" display="0/0"/>
    <hyperlink ref="AB32" r:id="rId81" location="" tooltip="" display="Apri"/>
    <hyperlink ref="AC32" r:id="rId82" location="" tooltip="" display="Apri"/>
    <hyperlink ref="AB33" r:id="rId83" location="" tooltip="" display="Apri"/>
    <hyperlink ref="AC33" r:id="rId84" location="" tooltip="" display="Apri"/>
    <hyperlink ref="AA34" r:id="rId85" location="" tooltip="" display="0/0"/>
    <hyperlink ref="AB34" r:id="rId86" location="" tooltip="" display="Apri"/>
    <hyperlink ref="AC34" r:id="rId87" location="" tooltip="" display="Apri"/>
    <hyperlink ref="AB35" r:id="rId88" location="" tooltip="" display="Apri"/>
    <hyperlink ref="AC35" r:id="rId89" location="" tooltip="" display="Apri"/>
    <hyperlink ref="AA36" r:id="rId90" location="" tooltip="" display="0/0"/>
    <hyperlink ref="AB36" r:id="rId91" location="" tooltip="" display="Apri"/>
    <hyperlink ref="AC36" r:id="rId92" location="" tooltip="" display="Apri"/>
    <hyperlink ref="AA37" r:id="rId93" location="" tooltip="" display="0/0"/>
    <hyperlink ref="AB37" r:id="rId94" location="" tooltip="" display="Apri"/>
    <hyperlink ref="AC37" r:id="rId95" location="" tooltip="" display="Apri"/>
    <hyperlink ref="AA38" r:id="rId96" location="" tooltip="" display="0/0"/>
    <hyperlink ref="AB38" r:id="rId97" location="" tooltip="" display="Apri"/>
    <hyperlink ref="AC38" r:id="rId98" location="" tooltip="" display="Apri"/>
    <hyperlink ref="AA39" r:id="rId99" location="" tooltip="" display="0/0"/>
    <hyperlink ref="AB39" r:id="rId100" location="" tooltip="" display="Apri"/>
    <hyperlink ref="AC39" r:id="rId101" location="" tooltip="" display="Apri"/>
    <hyperlink ref="AA40" r:id="rId102" location="" tooltip="" display="0/0"/>
    <hyperlink ref="AB40" r:id="rId103" location="" tooltip="" display="Apri"/>
    <hyperlink ref="AC40" r:id="rId104" location="" tooltip="" display="Apri"/>
    <hyperlink ref="AA41" r:id="rId105" location="" tooltip="" display="0/0"/>
    <hyperlink ref="AB41" r:id="rId106" location="" tooltip="" display="Apri"/>
    <hyperlink ref="AC41" r:id="rId107" location="" tooltip="" display="Apri"/>
    <hyperlink ref="AA42" r:id="rId108" location="" tooltip="" display="0/0"/>
    <hyperlink ref="AB42" r:id="rId109" location="" tooltip="" display="Apri"/>
    <hyperlink ref="AC42" r:id="rId110" location="" tooltip="" display="Apri"/>
    <hyperlink ref="AB43" r:id="rId111" location="" tooltip="" display="Apri"/>
    <hyperlink ref="AC43" r:id="rId112" location="" tooltip="" display="Apri"/>
    <hyperlink ref="AA44" r:id="rId113" location="" tooltip="" display="0/0"/>
    <hyperlink ref="AB44" r:id="rId114" location="" tooltip="" display="Apri"/>
    <hyperlink ref="AC44" r:id="rId115" location="" tooltip="" display="Apri"/>
    <hyperlink ref="AA45" r:id="rId116" location="" tooltip="" display="0/0"/>
    <hyperlink ref="AB45" r:id="rId117" location="" tooltip="" display="Apri"/>
    <hyperlink ref="AC45" r:id="rId118" location="" tooltip="" display="Apri"/>
    <hyperlink ref="AA46" r:id="rId119" location="" tooltip="" display="0/0"/>
    <hyperlink ref="AB46" r:id="rId120" location="" tooltip="" display="Apri"/>
    <hyperlink ref="AC46" r:id="rId121" location="" tooltip="" display="Apri"/>
    <hyperlink ref="AA47" r:id="rId122" location="" tooltip="" display="0/0"/>
    <hyperlink ref="AB47" r:id="rId123" location="" tooltip="" display="Apri"/>
    <hyperlink ref="AC47" r:id="rId124" location="" tooltip="" display="Apri"/>
    <hyperlink ref="AA48" r:id="rId125" location="" tooltip="" display="0/0"/>
    <hyperlink ref="AB48" r:id="rId126" location="" tooltip="" display="Apri"/>
    <hyperlink ref="AC48" r:id="rId127" location="" tooltip="" display="Apri"/>
    <hyperlink ref="AA49" r:id="rId128" location="" tooltip="" display="0/0"/>
    <hyperlink ref="AB49" r:id="rId129" location="" tooltip="" display="Apri"/>
    <hyperlink ref="AC49" r:id="rId130" location="" tooltip="" display="Apri"/>
    <hyperlink ref="AA50" r:id="rId131" location="" tooltip="" display="0/0"/>
    <hyperlink ref="AB50" r:id="rId132" location="" tooltip="" display="Apri"/>
    <hyperlink ref="AC50" r:id="rId133" location="" tooltip="" display="Apri"/>
    <hyperlink ref="AA51" r:id="rId134" location="" tooltip="" display="0/0"/>
    <hyperlink ref="AB51" r:id="rId135" location="" tooltip="" display="Apri"/>
    <hyperlink ref="AC51" r:id="rId136" location="" tooltip="" display="Apri"/>
    <hyperlink ref="AA52" r:id="rId137" location="" tooltip="" display="0/0"/>
    <hyperlink ref="AB52" r:id="rId138" location="" tooltip="" display="Apri"/>
    <hyperlink ref="AC52" r:id="rId139" location="" tooltip="" display="Apri"/>
    <hyperlink ref="AA53" r:id="rId140" location="" tooltip="" display="0/0"/>
    <hyperlink ref="AB53" r:id="rId141" location="" tooltip="" display="Apri"/>
    <hyperlink ref="AC53" r:id="rId142" location="" tooltip="" display="Apri"/>
    <hyperlink ref="AA54" r:id="rId143" location="" tooltip="" display="0/0"/>
    <hyperlink ref="AB54" r:id="rId144" location="" tooltip="" display="Apri"/>
    <hyperlink ref="AC54" r:id="rId145" location="" tooltip="" display="Apri"/>
    <hyperlink ref="AA55" r:id="rId146" location="" tooltip="" display="0/0"/>
    <hyperlink ref="AB55" r:id="rId147" location="" tooltip="" display="Apri"/>
    <hyperlink ref="AC55" r:id="rId148" location="" tooltip="" display="Apri"/>
    <hyperlink ref="AA56" r:id="rId149" location="" tooltip="" display="0/0"/>
    <hyperlink ref="AB56" r:id="rId150" location="" tooltip="" display="Apri"/>
    <hyperlink ref="AC56" r:id="rId151" location="" tooltip="" display="Apri"/>
    <hyperlink ref="AA57" r:id="rId152" location="" tooltip="" display="0/0"/>
    <hyperlink ref="AB57" r:id="rId153" location="" tooltip="" display="Apri"/>
    <hyperlink ref="AC57" r:id="rId154" location="" tooltip="" display="Apri"/>
    <hyperlink ref="AB58" r:id="rId155" location="" tooltip="" display="Apri"/>
    <hyperlink ref="AC58" r:id="rId156" location="" tooltip="" display="Apri"/>
    <hyperlink ref="AB59" r:id="rId157" location="" tooltip="" display="Apri"/>
    <hyperlink ref="AC59" r:id="rId158" location="" tooltip="" display="Apri"/>
    <hyperlink ref="AB60" r:id="rId159" location="" tooltip="" display="Apri"/>
    <hyperlink ref="AC60" r:id="rId160" location="" tooltip="" display="Apri"/>
    <hyperlink ref="AB61" r:id="rId161" location="" tooltip="" display="Apri"/>
    <hyperlink ref="AC61" r:id="rId162" location="" tooltip="" display="Apri"/>
    <hyperlink ref="AA62" r:id="rId163" location="" tooltip="" display="0/0"/>
    <hyperlink ref="AB62" r:id="rId164" location="" tooltip="" display="Apri"/>
    <hyperlink ref="AC62" r:id="rId165" location="" tooltip="" display="Apri"/>
    <hyperlink ref="AA63" r:id="rId166" location="" tooltip="" display="0/0"/>
    <hyperlink ref="AB63" r:id="rId167" location="" tooltip="" display="Apri"/>
    <hyperlink ref="AC63" r:id="rId168" location="" tooltip="" display="Apri"/>
    <hyperlink ref="AB64" r:id="rId169" location="" tooltip="" display="Apri"/>
    <hyperlink ref="AC64" r:id="rId170" location="" tooltip="" display="Apri"/>
    <hyperlink ref="AA65" r:id="rId171" location="" tooltip="" display="0/0"/>
    <hyperlink ref="AB65" r:id="rId172" location="" tooltip="" display="Apri"/>
    <hyperlink ref="AC65" r:id="rId173" location="" tooltip="" display="Apri"/>
    <hyperlink ref="AA66" r:id="rId174" location="" tooltip="" display="0/0"/>
    <hyperlink ref="AB66" r:id="rId175" location="" tooltip="" display="Apri"/>
    <hyperlink ref="AC66" r:id="rId176" location="" tooltip="" display="Apri"/>
    <hyperlink ref="AA67" r:id="rId177" location="" tooltip="" display="0/0"/>
    <hyperlink ref="AB67" r:id="rId178" location="" tooltip="" display="Apri"/>
    <hyperlink ref="AC67" r:id="rId179" location="" tooltip="" display="Apri"/>
    <hyperlink ref="AB68" r:id="rId180" location="" tooltip="" display="Apri"/>
    <hyperlink ref="AC68" r:id="rId181" location="" tooltip="" display="Apri"/>
    <hyperlink ref="AA69" r:id="rId182" location="" tooltip="" display="0/0"/>
    <hyperlink ref="AB69" r:id="rId183" location="" tooltip="" display="Apri"/>
    <hyperlink ref="AC69" r:id="rId184" location="" tooltip="" display="Apri"/>
    <hyperlink ref="AA70" r:id="rId185" location="" tooltip="" display="0/0"/>
    <hyperlink ref="AB70" r:id="rId186" location="" tooltip="" display="Apri"/>
    <hyperlink ref="AC70" r:id="rId187" location="" tooltip="" display="Apri"/>
    <hyperlink ref="AB71" r:id="rId188" location="" tooltip="" display="Apri"/>
    <hyperlink ref="AC71" r:id="rId189" location="" tooltip="" display="Apri"/>
    <hyperlink ref="AB72" r:id="rId190" location="" tooltip="" display="Apri"/>
    <hyperlink ref="AC72" r:id="rId191" location="" tooltip="" display="Apri"/>
    <hyperlink ref="AB73" r:id="rId192" location="" tooltip="" display="Apri"/>
    <hyperlink ref="AC73" r:id="rId193" location="" tooltip="" display="Apri"/>
    <hyperlink ref="AA74" r:id="rId194" location="" tooltip="" display="0/0"/>
    <hyperlink ref="AB74" r:id="rId195" location="" tooltip="" display="Apri"/>
    <hyperlink ref="AC74" r:id="rId196" location="" tooltip="" display="Apri"/>
    <hyperlink ref="AA75" r:id="rId197" location="" tooltip="" display="0/0"/>
    <hyperlink ref="AB75" r:id="rId198" location="" tooltip="" display="Apri"/>
    <hyperlink ref="AC75" r:id="rId199" location="" tooltip="" display="Apri"/>
    <hyperlink ref="AA76" r:id="rId200" location="" tooltip="" display="0/0"/>
    <hyperlink ref="AB76" r:id="rId201" location="" tooltip="" display="Apri"/>
    <hyperlink ref="AC76" r:id="rId202" location="" tooltip="" display="Apri"/>
    <hyperlink ref="AA77" r:id="rId203" location="" tooltip="" display="0/0"/>
    <hyperlink ref="AB77" r:id="rId204" location="" tooltip="" display="Apri"/>
    <hyperlink ref="AC77" r:id="rId205" location="" tooltip="" display="Apri"/>
    <hyperlink ref="AA78" r:id="rId206" location="" tooltip="" display="0/0"/>
    <hyperlink ref="AB78" r:id="rId207" location="" tooltip="" display="Apri"/>
    <hyperlink ref="AC78" r:id="rId208" location="" tooltip="" display="Apri"/>
    <hyperlink ref="AA79" r:id="rId209" location="" tooltip="" display="0/0"/>
    <hyperlink ref="AB79" r:id="rId210" location="" tooltip="" display="Apri"/>
    <hyperlink ref="AC79" r:id="rId211" location="" tooltip="" display="Apri"/>
    <hyperlink ref="AA80" r:id="rId212" location="" tooltip="" display="0/0"/>
    <hyperlink ref="AB80" r:id="rId213" location="" tooltip="" display="Apri"/>
    <hyperlink ref="AC80" r:id="rId214" location="" tooltip="" display="Apri"/>
    <hyperlink ref="AA81" r:id="rId215" location="" tooltip="" display="0/0"/>
    <hyperlink ref="AB81" r:id="rId216" location="" tooltip="" display="Apri"/>
    <hyperlink ref="AC81" r:id="rId217" location="" tooltip="" display="Apri"/>
    <hyperlink ref="AA82" r:id="rId218" location="" tooltip="" display="0/0"/>
    <hyperlink ref="AB82" r:id="rId219" location="" tooltip="" display="Apri"/>
    <hyperlink ref="AC82" r:id="rId220" location="" tooltip="" display="Apri"/>
    <hyperlink ref="AA83" r:id="rId221" location="" tooltip="" display="0/0"/>
    <hyperlink ref="AB83" r:id="rId222" location="" tooltip="" display="Apri"/>
    <hyperlink ref="AC83" r:id="rId223" location="" tooltip="" display="Apri"/>
    <hyperlink ref="AB84" r:id="rId224" location="" tooltip="" display="Apri"/>
    <hyperlink ref="AC84" r:id="rId225" location="" tooltip="" display="Apri"/>
    <hyperlink ref="AA85" r:id="rId226" location="" tooltip="" display="0/0"/>
    <hyperlink ref="AB85" r:id="rId227" location="" tooltip="" display="Apri"/>
    <hyperlink ref="AC85" r:id="rId228" location="" tooltip="" display="Apri"/>
    <hyperlink ref="AA86" r:id="rId229" location="" tooltip="" display="0/0"/>
    <hyperlink ref="AB86" r:id="rId230" location="" tooltip="" display="Apri"/>
    <hyperlink ref="AC86" r:id="rId231" location="" tooltip="" display="Apri"/>
    <hyperlink ref="AA87" r:id="rId232" location="" tooltip="" display="0/0"/>
    <hyperlink ref="AB87" r:id="rId233" location="" tooltip="" display="Apri"/>
    <hyperlink ref="AC87" r:id="rId234" location="" tooltip="" display="Apri"/>
    <hyperlink ref="AA88" r:id="rId235" location="" tooltip="" display="0/0"/>
    <hyperlink ref="AB88" r:id="rId236" location="" tooltip="" display="Apri"/>
    <hyperlink ref="AC88" r:id="rId237" location="" tooltip="" display="Apri"/>
    <hyperlink ref="AB89" r:id="rId238" location="" tooltip="" display="Apri"/>
    <hyperlink ref="AC89" r:id="rId239" location="" tooltip="" display="Apri"/>
    <hyperlink ref="AA90" r:id="rId240" location="" tooltip="" display="0/0"/>
    <hyperlink ref="AB90" r:id="rId241" location="" tooltip="" display="Apri"/>
    <hyperlink ref="AC90" r:id="rId242" location="" tooltip="" display="Apri"/>
    <hyperlink ref="AA91" r:id="rId243" location="" tooltip="" display="0/0"/>
    <hyperlink ref="AB91" r:id="rId244" location="" tooltip="" display="Apri"/>
    <hyperlink ref="AC91" r:id="rId245" location="" tooltip="" display="Apri"/>
    <hyperlink ref="AA92" r:id="rId246" location="" tooltip="" display="0/0"/>
    <hyperlink ref="AB92" r:id="rId247" location="" tooltip="" display="Apri"/>
    <hyperlink ref="AC92" r:id="rId248" location="" tooltip="" display="Apri"/>
    <hyperlink ref="AB93" r:id="rId249" location="" tooltip="" display="Apri"/>
    <hyperlink ref="AC93" r:id="rId250" location="" tooltip="" display="Apri"/>
    <hyperlink ref="AA94" r:id="rId251" location="" tooltip="" display="0/0"/>
    <hyperlink ref="AB94" r:id="rId252" location="" tooltip="" display="Apri"/>
    <hyperlink ref="AC94" r:id="rId253" location="" tooltip="" display="Apri"/>
    <hyperlink ref="AA95" r:id="rId254" location="" tooltip="" display="0/0"/>
    <hyperlink ref="AB95" r:id="rId255" location="" tooltip="" display="Apri"/>
    <hyperlink ref="AC95" r:id="rId256" location="" tooltip="" display="Apri"/>
    <hyperlink ref="AB96" r:id="rId257" location="" tooltip="" display="Apri"/>
    <hyperlink ref="AC96" r:id="rId258" location="" tooltip="" display="Apri"/>
    <hyperlink ref="AB97" r:id="rId259" location="" tooltip="" display="Apri"/>
    <hyperlink ref="AC97" r:id="rId260" location="" tooltip="" display="Apri"/>
    <hyperlink ref="AB98" r:id="rId261" location="" tooltip="" display="Apri"/>
    <hyperlink ref="AC98" r:id="rId262" location="" tooltip="" display="Apri"/>
    <hyperlink ref="AA99" r:id="rId263" location="" tooltip="" display="0/0"/>
    <hyperlink ref="AB99" r:id="rId264" location="" tooltip="" display="Apri"/>
    <hyperlink ref="AC99" r:id="rId265" location="" tooltip="" display="Apri"/>
    <hyperlink ref="AB100" r:id="rId266" location="" tooltip="" display="Apri"/>
    <hyperlink ref="AC100" r:id="rId267" location="" tooltip="" display="Apri"/>
    <hyperlink ref="AA101" r:id="rId268" location="" tooltip="" display="0/0"/>
    <hyperlink ref="AB101" r:id="rId269" location="" tooltip="" display="Apri"/>
    <hyperlink ref="AC101" r:id="rId270" location="" tooltip="" display="Apri"/>
    <hyperlink ref="AA102" r:id="rId271" location="" tooltip="" display="0/0"/>
    <hyperlink ref="AB102" r:id="rId272" location="" tooltip="" display="Apri"/>
    <hyperlink ref="AC102" r:id="rId273" location="" tooltip="" display="Apri"/>
    <hyperlink ref="AA103" r:id="rId274" location="" tooltip="" display="0/0"/>
    <hyperlink ref="AB103" r:id="rId275" location="" tooltip="" display="Apri"/>
    <hyperlink ref="AC103" r:id="rId276" location="" tooltip="" display="Apri"/>
    <hyperlink ref="AA104" r:id="rId277" location="" tooltip="" display="0/0"/>
    <hyperlink ref="AB104" r:id="rId278" location="" tooltip="" display="Apri"/>
    <hyperlink ref="AC104" r:id="rId279" location="" tooltip="" display="Apri"/>
    <hyperlink ref="AA105" r:id="rId280" location="" tooltip="" display="0/0"/>
    <hyperlink ref="AB105" r:id="rId281" location="" tooltip="" display="Apri"/>
    <hyperlink ref="AC105" r:id="rId282" location="" tooltip="" display="Apri"/>
    <hyperlink ref="AB106" r:id="rId283" location="" tooltip="" display="Apri"/>
    <hyperlink ref="AC106" r:id="rId284" location="" tooltip="" display="Apri"/>
    <hyperlink ref="AA107" r:id="rId285" location="" tooltip="" display="0/0"/>
    <hyperlink ref="AB107" r:id="rId286" location="" tooltip="" display="Apri"/>
    <hyperlink ref="AC107" r:id="rId287" location="" tooltip="" display="Apri"/>
    <hyperlink ref="AB108" r:id="rId288" location="" tooltip="" display="Apri"/>
    <hyperlink ref="AC108" r:id="rId289" location="" tooltip="" display="Apri"/>
    <hyperlink ref="AB109" r:id="rId290" location="" tooltip="" display="Apri"/>
    <hyperlink ref="AC109" r:id="rId291" location="" tooltip="" display="Apri"/>
    <hyperlink ref="AB110" r:id="rId292" location="" tooltip="" display="Apri"/>
    <hyperlink ref="AC110" r:id="rId293" location="" tooltip="" display="Apri"/>
    <hyperlink ref="AB111" r:id="rId294" location="" tooltip="" display="Apri"/>
    <hyperlink ref="AC111" r:id="rId295" location="" tooltip="" display="Apri"/>
    <hyperlink ref="AB112" r:id="rId296" location="" tooltip="" display="Apri"/>
    <hyperlink ref="AC112" r:id="rId297" location="" tooltip="" display="Apri"/>
    <hyperlink ref="AB113" r:id="rId298" location="" tooltip="" display="Apri"/>
    <hyperlink ref="AC113" r:id="rId299" location="" tooltip="" display="Apri"/>
    <hyperlink ref="AB114" r:id="rId300" location="" tooltip="" display="Apri"/>
    <hyperlink ref="AC114" r:id="rId301" location="" tooltip="" display="Apri"/>
    <hyperlink ref="AB115" r:id="rId302" location="" tooltip="" display="Apri"/>
    <hyperlink ref="AC115" r:id="rId303" location="" tooltip="" display="Apri"/>
    <hyperlink ref="AB116" r:id="rId304" location="" tooltip="" display="Apri"/>
    <hyperlink ref="AC116" r:id="rId305" location="" tooltip="" display="Apri"/>
    <hyperlink ref="AB117" r:id="rId306" location="" tooltip="" display="Apri"/>
    <hyperlink ref="AC117" r:id="rId307" location="" tooltip="" display="Apri"/>
    <hyperlink ref="AA118" r:id="rId308" location="" tooltip="" display="0/0"/>
    <hyperlink ref="AB118" r:id="rId309" location="" tooltip="" display="Apri"/>
    <hyperlink ref="AC118" r:id="rId310" location="" tooltip="" display="Apri"/>
    <hyperlink ref="AA119" r:id="rId311" location="" tooltip="" display="0/0"/>
    <hyperlink ref="AB119" r:id="rId312" location="" tooltip="" display="Apri"/>
    <hyperlink ref="AC119" r:id="rId313" location="" tooltip="" display="Apri"/>
    <hyperlink ref="AA120" r:id="rId314" location="" tooltip="" display="0/0"/>
    <hyperlink ref="AB120" r:id="rId315" location="" tooltip="" display="Apri"/>
    <hyperlink ref="AC120" r:id="rId316" location="" tooltip="" display="Apri"/>
    <hyperlink ref="AB121" r:id="rId317" location="" tooltip="" display="Apri"/>
    <hyperlink ref="AC121" r:id="rId318" location="" tooltip="" display="Apri"/>
    <hyperlink ref="AB122" r:id="rId319" location="" tooltip="" display="Apri"/>
    <hyperlink ref="AC122" r:id="rId320" location="" tooltip="" display="Apri"/>
    <hyperlink ref="AA123" r:id="rId321" location="" tooltip="" display="0/0"/>
    <hyperlink ref="AB123" r:id="rId322" location="" tooltip="" display="Apri"/>
    <hyperlink ref="AC123" r:id="rId323" location="" tooltip="" display="Apri"/>
    <hyperlink ref="AA124" r:id="rId324" location="" tooltip="" display="0/0"/>
    <hyperlink ref="AB124" r:id="rId325" location="" tooltip="" display="Apri"/>
    <hyperlink ref="AC124" r:id="rId326" location="" tooltip="" display="Apri"/>
    <hyperlink ref="AA125" r:id="rId327" location="" tooltip="" display="0/0"/>
    <hyperlink ref="AB125" r:id="rId328" location="" tooltip="" display="Apri"/>
    <hyperlink ref="AC125" r:id="rId329" location="" tooltip="" display="Apri"/>
    <hyperlink ref="AB126" r:id="rId330" location="" tooltip="" display="Apri"/>
    <hyperlink ref="AC126" r:id="rId331" location="" tooltip="" display="Apri"/>
    <hyperlink ref="AA127" r:id="rId332" location="" tooltip="" display="0/0"/>
    <hyperlink ref="AB127" r:id="rId333" location="" tooltip="" display="Apri"/>
    <hyperlink ref="AC127" r:id="rId334" location="" tooltip="" display="Apri"/>
    <hyperlink ref="AA128" r:id="rId335" location="" tooltip="" display="0/0"/>
    <hyperlink ref="AB128" r:id="rId336" location="" tooltip="" display="Apri"/>
    <hyperlink ref="AC128" r:id="rId337" location="" tooltip="" display="Apri"/>
    <hyperlink ref="AA129" r:id="rId338" location="" tooltip="" display="0/0"/>
    <hyperlink ref="AB129" r:id="rId339" location="" tooltip="" display="Apri"/>
    <hyperlink ref="AC129" r:id="rId340" location="" tooltip="" display="Apri"/>
    <hyperlink ref="AA130" r:id="rId341" location="" tooltip="" display="0/0"/>
    <hyperlink ref="AB130" r:id="rId342" location="" tooltip="" display="Apri"/>
    <hyperlink ref="AC130" r:id="rId343" location="" tooltip="" display="Apri"/>
    <hyperlink ref="AB131" r:id="rId344" location="" tooltip="" display="Apri"/>
    <hyperlink ref="AC131" r:id="rId345" location="" tooltip="" display="Apri"/>
    <hyperlink ref="AB132" r:id="rId346" location="" tooltip="" display="Apri"/>
    <hyperlink ref="AC132" r:id="rId347" location="" tooltip="" display="Apri"/>
    <hyperlink ref="AA133" r:id="rId348" location="" tooltip="" display="0/0"/>
    <hyperlink ref="AB133" r:id="rId349" location="" tooltip="" display="Apri"/>
    <hyperlink ref="AC133" r:id="rId350" location="" tooltip="" display="Apri"/>
    <hyperlink ref="AA134" r:id="rId351" location="" tooltip="" display="0/0"/>
    <hyperlink ref="AB134" r:id="rId352" location="" tooltip="" display="Apri"/>
    <hyperlink ref="AC134" r:id="rId353" location="" tooltip="" display="Apri"/>
    <hyperlink ref="AA135" r:id="rId354" location="" tooltip="" display="0/0"/>
    <hyperlink ref="AB135" r:id="rId355" location="" tooltip="" display="Apri"/>
    <hyperlink ref="AC135" r:id="rId356" location="" tooltip="" display="Apri"/>
    <hyperlink ref="AB136" r:id="rId357" location="" tooltip="" display="Apri"/>
    <hyperlink ref="AC136" r:id="rId358" location="" tooltip="" display="Apri"/>
    <hyperlink ref="AA137" r:id="rId359" location="" tooltip="" display="0/0"/>
    <hyperlink ref="AB137" r:id="rId360" location="" tooltip="" display="Apri"/>
    <hyperlink ref="AC137" r:id="rId361" location="" tooltip="" display="Apri"/>
    <hyperlink ref="AA138" r:id="rId362" location="" tooltip="" display="0/0"/>
    <hyperlink ref="AB138" r:id="rId363" location="" tooltip="" display="Apri"/>
    <hyperlink ref="AC138" r:id="rId364" location="" tooltip="" display="Apri"/>
    <hyperlink ref="AB139" r:id="rId365" location="" tooltip="" display="Apri"/>
    <hyperlink ref="AC139" r:id="rId366" location="" tooltip="" display="Apri"/>
    <hyperlink ref="AA140" r:id="rId367" location="" tooltip="" display="0/0"/>
    <hyperlink ref="AB140" r:id="rId368" location="" tooltip="" display="Apri"/>
    <hyperlink ref="AC140" r:id="rId369" location="" tooltip="" display="Apri"/>
    <hyperlink ref="AA141" r:id="rId370" location="" tooltip="" display="0/0"/>
    <hyperlink ref="AB141" r:id="rId371" location="" tooltip="" display="Apri"/>
    <hyperlink ref="AC141" r:id="rId372" location="" tooltip="" display="Apri"/>
    <hyperlink ref="AB142" r:id="rId373" location="" tooltip="" display="Apri"/>
    <hyperlink ref="AC142" r:id="rId374" location="" tooltip="" display="Apri"/>
    <hyperlink ref="AA143" r:id="rId375" location="" tooltip="" display="0/0"/>
    <hyperlink ref="AB143" r:id="rId376" location="" tooltip="" display="Apri"/>
    <hyperlink ref="AC143" r:id="rId377" location="" tooltip="" display="Apri"/>
    <hyperlink ref="AA144" r:id="rId378" location="" tooltip="" display="0/0"/>
    <hyperlink ref="AB144" r:id="rId379" location="" tooltip="" display="Apri"/>
    <hyperlink ref="AC144" r:id="rId380" location="" tooltip="" display="Apri"/>
    <hyperlink ref="AA145" r:id="rId381" location="" tooltip="" display="0/0"/>
    <hyperlink ref="AB145" r:id="rId382" location="" tooltip="" display="Apri"/>
    <hyperlink ref="AC145" r:id="rId383" location="" tooltip="" display="Apri"/>
    <hyperlink ref="AB146" r:id="rId384" location="" tooltip="" display="Apri"/>
    <hyperlink ref="AC146" r:id="rId385" location="" tooltip="" display="Apri"/>
    <hyperlink ref="AA147" r:id="rId386" location="" tooltip="" display="0/0"/>
    <hyperlink ref="AB147" r:id="rId387" location="" tooltip="" display="Apri"/>
    <hyperlink ref="AC147" r:id="rId388" location="" tooltip="" display="Apri"/>
    <hyperlink ref="AB148" r:id="rId389" location="" tooltip="" display="Apri"/>
    <hyperlink ref="AC148" r:id="rId390" location="" tooltip="" display="Apri"/>
    <hyperlink ref="AA149" r:id="rId391" location="" tooltip="" display="0/0"/>
    <hyperlink ref="AB149" r:id="rId392" location="" tooltip="" display="Apri"/>
    <hyperlink ref="AC149" r:id="rId393" location="" tooltip="" display="Apri"/>
    <hyperlink ref="AA150" r:id="rId394" location="" tooltip="" display="0/0"/>
    <hyperlink ref="AB150" r:id="rId395" location="" tooltip="" display="Apri"/>
    <hyperlink ref="AC150" r:id="rId396" location="" tooltip="" display="Apri"/>
    <hyperlink ref="AA151" r:id="rId397" location="" tooltip="" display="0/0"/>
    <hyperlink ref="AB151" r:id="rId398" location="" tooltip="" display="Apri"/>
    <hyperlink ref="AC151" r:id="rId399" location="" tooltip="" display="Apri"/>
    <hyperlink ref="AA152" r:id="rId400" location="" tooltip="" display="0/0"/>
    <hyperlink ref="AB152" r:id="rId401" location="" tooltip="" display="Apri"/>
    <hyperlink ref="AC152" r:id="rId402" location="" tooltip="" display="Apri"/>
    <hyperlink ref="AB153" r:id="rId403" location="" tooltip="" display="Apri"/>
    <hyperlink ref="AC153" r:id="rId404" location="" tooltip="" display="Apri"/>
    <hyperlink ref="AA154" r:id="rId405" location="" tooltip="" display="0/0"/>
    <hyperlink ref="AA155" r:id="rId406" location="" tooltip="" display="0/0"/>
    <hyperlink ref="AB155" r:id="rId407" location="" tooltip="" display="Apri"/>
    <hyperlink ref="AC155" r:id="rId408" location="" tooltip="" display="Apri"/>
    <hyperlink ref="AA156" r:id="rId409" location="" tooltip="" display="0/0"/>
    <hyperlink ref="AB156" r:id="rId410" location="" tooltip="" display="Apri"/>
    <hyperlink ref="AC156" r:id="rId411" location="" tooltip="" display="Apri"/>
    <hyperlink ref="AA157" r:id="rId412" location="" tooltip="" display="0/0"/>
    <hyperlink ref="AB157" r:id="rId413" location="" tooltip="" display="Apri"/>
    <hyperlink ref="AC157" r:id="rId414" location="" tooltip="" display="Apri"/>
    <hyperlink ref="AB158" r:id="rId415" location="" tooltip="" display="Apri"/>
    <hyperlink ref="AC158" r:id="rId416" location="" tooltip="" display="Apri"/>
    <hyperlink ref="AA159" r:id="rId417" location="" tooltip="" display="0/0"/>
    <hyperlink ref="AB159" r:id="rId418" location="" tooltip="" display="Apri"/>
    <hyperlink ref="AC159" r:id="rId419" location="" tooltip="" display="Apri"/>
    <hyperlink ref="AB160" r:id="rId420" location="" tooltip="" display="Apri"/>
    <hyperlink ref="AC160" r:id="rId421" location="" tooltip="" display="Apri"/>
    <hyperlink ref="AB161" r:id="rId422" location="" tooltip="" display="Apri"/>
    <hyperlink ref="AC161" r:id="rId423" location="" tooltip="" display="Apri"/>
    <hyperlink ref="AB162" r:id="rId424" location="" tooltip="" display="Apri"/>
    <hyperlink ref="AC162" r:id="rId425" location="" tooltip="" display="Apri"/>
    <hyperlink ref="AA163" r:id="rId426" location="" tooltip="" display="0/0"/>
    <hyperlink ref="AB163" r:id="rId427" location="" tooltip="" display="Apri"/>
    <hyperlink ref="AC163" r:id="rId428" location="" tooltip="" display="Apri"/>
    <hyperlink ref="AA164" r:id="rId429" location="" tooltip="" display="0/0"/>
    <hyperlink ref="AB164" r:id="rId430" location="" tooltip="" display="Apri"/>
    <hyperlink ref="AC164" r:id="rId431" location="" tooltip="" display="Apri"/>
    <hyperlink ref="AA165" r:id="rId432" location="" tooltip="" display="0/0"/>
    <hyperlink ref="AB165" r:id="rId433" location="" tooltip="" display="Apri"/>
    <hyperlink ref="AC165" r:id="rId434" location="" tooltip="" display="Apri"/>
    <hyperlink ref="AA166" r:id="rId435" location="" tooltip="" display="0/0"/>
    <hyperlink ref="AB166" r:id="rId436" location="" tooltip="" display="Apri"/>
    <hyperlink ref="AC166" r:id="rId437" location="" tooltip="" display="Apri"/>
    <hyperlink ref="AA167" r:id="rId438" location="" tooltip="" display="0/0"/>
    <hyperlink ref="AB167" r:id="rId439" location="" tooltip="" display="Apri"/>
    <hyperlink ref="AC167" r:id="rId440" location="" tooltip="" display="Apri"/>
    <hyperlink ref="AB168" r:id="rId441" location="" tooltip="" display="Apri"/>
    <hyperlink ref="AC168" r:id="rId442" location="" tooltip="" display="Apri"/>
    <hyperlink ref="AA169" r:id="rId443" location="" tooltip="" display="0/0"/>
    <hyperlink ref="AB169" r:id="rId444" location="" tooltip="" display="Apri"/>
    <hyperlink ref="AC169" r:id="rId445" location="" tooltip="" display="Apri"/>
    <hyperlink ref="AA170" r:id="rId446" location="" tooltip="" display="0/0"/>
    <hyperlink ref="AB170" r:id="rId447" location="" tooltip="" display="Apri"/>
    <hyperlink ref="AC170" r:id="rId448" location="" tooltip="" display="Apri"/>
    <hyperlink ref="AA171" r:id="rId449" location="" tooltip="" display="0/0"/>
    <hyperlink ref="AB171" r:id="rId450" location="" tooltip="" display="Apri"/>
    <hyperlink ref="AC171" r:id="rId451" location="" tooltip="" display="Apri"/>
    <hyperlink ref="AA172" r:id="rId452" location="" tooltip="" display="0/0"/>
    <hyperlink ref="AB172" r:id="rId453" location="" tooltip="" display="Apri"/>
    <hyperlink ref="AC172" r:id="rId454" location="" tooltip="" display="Apri"/>
    <hyperlink ref="AB173" r:id="rId455" location="" tooltip="" display="Apri"/>
    <hyperlink ref="AC173" r:id="rId456" location="" tooltip="" display="Apri"/>
    <hyperlink ref="AB174" r:id="rId457" location="" tooltip="" display="Apri"/>
    <hyperlink ref="AC174" r:id="rId458" location="" tooltip="" display="Apri"/>
    <hyperlink ref="AB175" r:id="rId459" location="" tooltip="" display="Apri"/>
    <hyperlink ref="AC175" r:id="rId460" location="" tooltip="" display="Apri"/>
    <hyperlink ref="AB176" r:id="rId461" location="" tooltip="" display="Apri"/>
    <hyperlink ref="AC176" r:id="rId462" location="" tooltip="" display="Apri"/>
    <hyperlink ref="AA177" r:id="rId463" location="" tooltip="" display="0/0"/>
    <hyperlink ref="AB177" r:id="rId464" location="" tooltip="" display="Apri"/>
    <hyperlink ref="AC177" r:id="rId465" location="" tooltip="" display="Apri"/>
    <hyperlink ref="AA178" r:id="rId466" location="" tooltip="" display="0/0"/>
    <hyperlink ref="AB178" r:id="rId467" location="" tooltip="" display="Apri"/>
    <hyperlink ref="AC178" r:id="rId468" location="" tooltip="" display="Apri"/>
    <hyperlink ref="AB179" r:id="rId469" location="" tooltip="" display="Apri"/>
    <hyperlink ref="AC179" r:id="rId470" location="" tooltip="" display="Apri"/>
    <hyperlink ref="AA180" r:id="rId471" location="" tooltip="" display="0/0"/>
    <hyperlink ref="AB180" r:id="rId472" location="" tooltip="" display="Apri"/>
    <hyperlink ref="AC180" r:id="rId473" location="" tooltip="" display="Apri"/>
    <hyperlink ref="AA181" r:id="rId474" location="" tooltip="" display="0/0"/>
    <hyperlink ref="AB181" r:id="rId475" location="" tooltip="" display="Apri"/>
    <hyperlink ref="AC181" r:id="rId476" location="" tooltip="" display="Apri"/>
    <hyperlink ref="AB182" r:id="rId477" location="" tooltip="" display="Apri"/>
    <hyperlink ref="AC182" r:id="rId478" location="" tooltip="" display="Apri"/>
    <hyperlink ref="AA183" r:id="rId479" location="" tooltip="" display="0/0"/>
    <hyperlink ref="AB183" r:id="rId480" location="" tooltip="" display="Apri"/>
    <hyperlink ref="AC183" r:id="rId481" location="" tooltip="" display="Apri"/>
    <hyperlink ref="AA184" r:id="rId482" location="" tooltip="" display="0/0"/>
    <hyperlink ref="AB184" r:id="rId483" location="" tooltip="" display="Apri"/>
    <hyperlink ref="AC184" r:id="rId484" location="" tooltip="" display="Apri"/>
    <hyperlink ref="AB186" r:id="rId485" location="" tooltip="" display="Apri"/>
    <hyperlink ref="AC186" r:id="rId486" location="" tooltip="" display="Apri"/>
    <hyperlink ref="AA187" r:id="rId487" location="" tooltip="" display="0/0"/>
    <hyperlink ref="AB187" r:id="rId488" location="" tooltip="" display="Apri"/>
    <hyperlink ref="AC187" r:id="rId489" location="" tooltip="" display="Apri"/>
    <hyperlink ref="AB188" r:id="rId490" location="" tooltip="" display="Apri"/>
    <hyperlink ref="AC188" r:id="rId491" location="" tooltip="" display="Apri"/>
    <hyperlink ref="AA189" r:id="rId492" location="" tooltip="" display="0/0"/>
    <hyperlink ref="AB189" r:id="rId493" location="" tooltip="" display="Apri"/>
    <hyperlink ref="AC189" r:id="rId494" location="" tooltip="" display="Apri"/>
    <hyperlink ref="AA190" r:id="rId495" location="" tooltip="" display="0/0"/>
    <hyperlink ref="AB190" r:id="rId496" location="" tooltip="" display="Apri"/>
    <hyperlink ref="AC190" r:id="rId497" location="" tooltip="" display="Apri"/>
    <hyperlink ref="AA191" r:id="rId498" location="" tooltip="" display="0/0"/>
    <hyperlink ref="AB191" r:id="rId499" location="" tooltip="" display="Apri"/>
    <hyperlink ref="AC191" r:id="rId500" location="" tooltip="" display="Apri"/>
    <hyperlink ref="AB192" r:id="rId501" location="" tooltip="" display="Apri"/>
    <hyperlink ref="AC192" r:id="rId502" location="" tooltip="" display="Apri"/>
    <hyperlink ref="AA193" r:id="rId503" location="" tooltip="" display="0/0"/>
    <hyperlink ref="AA194" r:id="rId504" location="" tooltip="" display="0/0"/>
    <hyperlink ref="AB194" r:id="rId505" location="" tooltip="" display="Apri"/>
    <hyperlink ref="AC194" r:id="rId506" location="" tooltip="" display="Apri"/>
    <hyperlink ref="AB195" r:id="rId507" location="" tooltip="" display="Apri"/>
    <hyperlink ref="AC195" r:id="rId508" location="" tooltip="" display="Apri"/>
    <hyperlink ref="AA203" r:id="rId509" location="" tooltip="" display="0/0"/>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drawing r:id="rId510"/>
  <legacyDrawing r:id="rId511"/>
</worksheet>
</file>

<file path=xl/worksheets/sheet7.xml><?xml version="1.0" encoding="utf-8"?>
<worksheet xmlns:r="http://schemas.openxmlformats.org/officeDocument/2006/relationships" xmlns="http://schemas.openxmlformats.org/spreadsheetml/2006/main">
  <dimension ref="A1:AE204"/>
  <sheetViews>
    <sheetView workbookViewId="0" showGridLines="0" defaultGridColor="1"/>
  </sheetViews>
  <sheetFormatPr defaultColWidth="8.66667" defaultRowHeight="15" customHeight="1" outlineLevelRow="0" outlineLevelCol="0"/>
  <cols>
    <col min="1" max="1" width="16" style="110" customWidth="1"/>
    <col min="2" max="2" width="11" style="110" customWidth="1"/>
    <col min="3" max="3" width="3.17188" style="110" customWidth="1"/>
    <col min="4" max="4" width="12" style="110" customWidth="1"/>
    <col min="5" max="5" width="22" style="110" customWidth="1"/>
    <col min="6" max="6" width="17" style="110" customWidth="1"/>
    <col min="7" max="7" width="13" style="110" customWidth="1"/>
    <col min="8" max="8" width="36" style="110" customWidth="1"/>
    <col min="9" max="9" width="54" style="110" customWidth="1"/>
    <col min="10" max="10" width="7" style="110" customWidth="1"/>
    <col min="11" max="11" width="23" style="110" customWidth="1"/>
    <col min="12" max="12" width="9" style="110" customWidth="1"/>
    <col min="13" max="14" width="10" style="110" customWidth="1"/>
    <col min="15" max="15" width="34" style="110" customWidth="1"/>
    <col min="16" max="19" width="9" style="110" customWidth="1"/>
    <col min="20" max="20" width="10" style="110" customWidth="1"/>
    <col min="21" max="21" width="12" style="110" customWidth="1"/>
    <col min="22" max="25" width="9" style="110" customWidth="1"/>
    <col min="26" max="26" width="10" style="110" customWidth="1"/>
    <col min="27" max="27" width="12" style="110" customWidth="1"/>
    <col min="28" max="28" width="16" style="110" customWidth="1"/>
    <col min="29" max="30" width="17" style="110" customWidth="1"/>
    <col min="31" max="31" width="8.67188" style="110" customWidth="1"/>
    <col min="32" max="16384" width="8.67188" style="110" customWidth="1"/>
  </cols>
  <sheetData>
    <row r="1" ht="33.75" customHeight="1">
      <c r="A1" t="s" s="7">
        <v>77</v>
      </c>
      <c r="B1" s="8"/>
      <c r="C1" s="8"/>
      <c r="D1" s="8"/>
      <c r="E1" s="8"/>
      <c r="F1" s="8"/>
      <c r="G1" s="8"/>
      <c r="H1" s="8"/>
      <c r="I1" s="8"/>
      <c r="J1" s="8"/>
      <c r="K1" s="8"/>
      <c r="L1" s="8"/>
      <c r="M1" s="8"/>
      <c r="N1" s="8"/>
      <c r="O1" s="8"/>
      <c r="P1" s="8"/>
      <c r="Q1" s="8"/>
      <c r="R1" s="8"/>
      <c r="S1" s="8"/>
      <c r="T1" s="8"/>
      <c r="U1" s="8"/>
      <c r="V1" s="8"/>
      <c r="W1" s="8"/>
      <c r="X1" s="8"/>
      <c r="Y1" s="8"/>
      <c r="Z1" s="8"/>
      <c r="AA1" s="8"/>
      <c r="AB1" s="8"/>
      <c r="AC1" s="8"/>
      <c r="AD1" s="8"/>
      <c r="AE1" s="59"/>
    </row>
    <row r="2" ht="24.75" customHeight="1">
      <c r="A2" t="s" s="10">
        <v>1199</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60"/>
    </row>
    <row r="3" ht="15" customHeight="1">
      <c r="A3" s="61"/>
      <c r="B3" s="62"/>
      <c r="C3" s="63"/>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0"/>
    </row>
    <row r="4" ht="36" customHeight="1">
      <c r="A4" t="s" s="64">
        <v>87</v>
      </c>
      <c r="B4" t="s" s="65">
        <v>88</v>
      </c>
      <c r="C4" t="s" s="65">
        <v>89</v>
      </c>
      <c r="D4" t="s" s="65">
        <v>90</v>
      </c>
      <c r="E4" t="s" s="65">
        <v>91</v>
      </c>
      <c r="F4" t="s" s="65">
        <v>92</v>
      </c>
      <c r="G4" t="s" s="65">
        <v>93</v>
      </c>
      <c r="H4" t="s" s="65">
        <v>14</v>
      </c>
      <c r="I4" t="s" s="65">
        <v>94</v>
      </c>
      <c r="J4" t="s" s="65">
        <v>95</v>
      </c>
      <c r="K4" t="s" s="65">
        <v>96</v>
      </c>
      <c r="L4" t="s" s="65">
        <v>97</v>
      </c>
      <c r="M4" t="s" s="65">
        <v>98</v>
      </c>
      <c r="N4" t="s" s="65">
        <v>99</v>
      </c>
      <c r="O4" t="s" s="65">
        <v>100</v>
      </c>
      <c r="P4" t="s" s="65">
        <v>101</v>
      </c>
      <c r="Q4" t="s" s="65">
        <v>102</v>
      </c>
      <c r="R4" t="s" s="65">
        <v>103</v>
      </c>
      <c r="S4" t="s" s="65">
        <v>104</v>
      </c>
      <c r="T4" t="s" s="65">
        <v>105</v>
      </c>
      <c r="U4" t="s" s="65">
        <v>106</v>
      </c>
      <c r="V4" t="s" s="65">
        <v>107</v>
      </c>
      <c r="W4" t="s" s="65">
        <v>108</v>
      </c>
      <c r="X4" t="s" s="65">
        <v>109</v>
      </c>
      <c r="Y4" t="s" s="65">
        <v>110</v>
      </c>
      <c r="Z4" t="s" s="65">
        <v>111</v>
      </c>
      <c r="AA4" t="s" s="65">
        <v>112</v>
      </c>
      <c r="AB4" t="s" s="65">
        <v>113</v>
      </c>
      <c r="AC4" t="s" s="65">
        <v>114</v>
      </c>
      <c r="AD4" t="s" s="66">
        <v>115</v>
      </c>
      <c r="AE4" s="67"/>
    </row>
    <row r="5" ht="15" customHeight="1">
      <c r="A5" t="s" s="68">
        <v>26</v>
      </c>
      <c r="B5" s="69">
        <v>95.59999999999999</v>
      </c>
      <c r="C5" t="b" s="70">
        <v>0</v>
      </c>
      <c r="D5" t="s" s="84">
        <v>161</v>
      </c>
      <c r="E5" t="s" s="72">
        <v>651</v>
      </c>
      <c r="F5" t="s" s="72">
        <v>134</v>
      </c>
      <c r="G5" s="73">
        <v>65</v>
      </c>
      <c r="H5" t="s" s="72">
        <v>652</v>
      </c>
      <c r="I5" t="s" s="72">
        <v>653</v>
      </c>
      <c r="J5" s="73">
        <v>32</v>
      </c>
      <c r="K5" t="s" s="72">
        <v>654</v>
      </c>
      <c r="L5" t="s" s="72">
        <v>121</v>
      </c>
      <c r="M5" s="71"/>
      <c r="N5" t="s" s="72">
        <v>655</v>
      </c>
      <c r="O5" s="71"/>
      <c r="P5" s="73">
        <v>2</v>
      </c>
      <c r="Q5" s="74">
        <v>7</v>
      </c>
      <c r="R5" s="74">
        <v>9.75</v>
      </c>
      <c r="S5" s="73">
        <v>2</v>
      </c>
      <c r="T5" s="73">
        <v>0</v>
      </c>
      <c r="U5" t="s" s="72">
        <v>122</v>
      </c>
      <c r="V5" s="73">
        <v>22</v>
      </c>
      <c r="W5" s="74">
        <v>6.43</v>
      </c>
      <c r="X5" s="74">
        <v>7.55</v>
      </c>
      <c r="Y5" s="73">
        <v>9</v>
      </c>
      <c r="Z5" s="73">
        <v>4</v>
      </c>
      <c r="AA5" t="s" s="72">
        <v>656</v>
      </c>
      <c r="AB5" t="s" s="72">
        <v>124</v>
      </c>
      <c r="AC5" t="s" s="72">
        <v>124</v>
      </c>
      <c r="AD5" t="s" s="75">
        <v>125</v>
      </c>
      <c r="AE5" s="67"/>
    </row>
    <row r="6" ht="15" customHeight="1">
      <c r="A6" t="s" s="68">
        <v>26</v>
      </c>
      <c r="B6" s="76">
        <v>93.3</v>
      </c>
      <c r="C6" t="b" s="77">
        <v>0</v>
      </c>
      <c r="D6" s="78"/>
      <c r="E6" t="s" s="79">
        <v>657</v>
      </c>
      <c r="F6" t="s" s="79">
        <v>141</v>
      </c>
      <c r="G6" s="80">
        <v>57</v>
      </c>
      <c r="H6" t="s" s="79">
        <v>118</v>
      </c>
      <c r="I6" t="s" s="79">
        <v>658</v>
      </c>
      <c r="J6" s="80">
        <v>21</v>
      </c>
      <c r="K6" t="s" s="79">
        <v>659</v>
      </c>
      <c r="L6" t="s" s="79">
        <v>154</v>
      </c>
      <c r="M6" s="78"/>
      <c r="N6" t="s" s="79">
        <v>655</v>
      </c>
      <c r="O6" s="78"/>
      <c r="P6" s="80">
        <v>3</v>
      </c>
      <c r="Q6" s="81">
        <v>6.33</v>
      </c>
      <c r="R6" s="81">
        <v>7.33</v>
      </c>
      <c r="S6" s="80">
        <v>1</v>
      </c>
      <c r="T6" s="80">
        <v>0</v>
      </c>
      <c r="U6" t="s" s="79">
        <v>122</v>
      </c>
      <c r="V6" s="80">
        <v>35</v>
      </c>
      <c r="W6" s="81">
        <v>6.41</v>
      </c>
      <c r="X6" s="81">
        <v>7.34</v>
      </c>
      <c r="Y6" s="80">
        <v>12</v>
      </c>
      <c r="Z6" s="80">
        <v>5</v>
      </c>
      <c r="AA6" t="s" s="79">
        <v>660</v>
      </c>
      <c r="AB6" t="s" s="79">
        <v>124</v>
      </c>
      <c r="AC6" t="s" s="79">
        <v>124</v>
      </c>
      <c r="AD6" t="s" s="82">
        <v>125</v>
      </c>
      <c r="AE6" s="67"/>
    </row>
    <row r="7" ht="15" customHeight="1">
      <c r="A7" t="s" s="68">
        <v>26</v>
      </c>
      <c r="B7" s="69">
        <v>91.90000000000001</v>
      </c>
      <c r="C7" t="b" s="70">
        <v>0</v>
      </c>
      <c r="D7" s="71"/>
      <c r="E7" t="s" s="72">
        <v>661</v>
      </c>
      <c r="F7" t="s" s="72">
        <v>163</v>
      </c>
      <c r="G7" s="73">
        <v>50</v>
      </c>
      <c r="H7" t="s" s="72">
        <v>118</v>
      </c>
      <c r="I7" t="s" s="72">
        <v>662</v>
      </c>
      <c r="J7" s="73">
        <v>28</v>
      </c>
      <c r="K7" t="s" s="72">
        <v>395</v>
      </c>
      <c r="L7" t="s" s="72">
        <v>121</v>
      </c>
      <c r="M7" s="71"/>
      <c r="N7" t="s" s="72">
        <v>655</v>
      </c>
      <c r="O7" s="71"/>
      <c r="P7" s="73">
        <v>2</v>
      </c>
      <c r="Q7" s="74">
        <v>5.5</v>
      </c>
      <c r="R7" s="74">
        <v>5.5</v>
      </c>
      <c r="S7" s="73">
        <v>0</v>
      </c>
      <c r="T7" s="73">
        <v>0</v>
      </c>
      <c r="U7" t="s" s="72">
        <v>122</v>
      </c>
      <c r="V7" s="73">
        <v>37</v>
      </c>
      <c r="W7" s="74">
        <v>6.07</v>
      </c>
      <c r="X7" s="74">
        <v>6.7</v>
      </c>
      <c r="Y7" s="73">
        <v>8</v>
      </c>
      <c r="Z7" s="73">
        <v>3</v>
      </c>
      <c r="AA7" t="s" s="72">
        <v>663</v>
      </c>
      <c r="AB7" t="s" s="72">
        <v>124</v>
      </c>
      <c r="AC7" t="s" s="72">
        <v>124</v>
      </c>
      <c r="AD7" t="s" s="75">
        <v>125</v>
      </c>
      <c r="AE7" s="67"/>
    </row>
    <row r="8" ht="15" customHeight="1">
      <c r="A8" t="s" s="68">
        <v>26</v>
      </c>
      <c r="B8" s="76">
        <v>89.5</v>
      </c>
      <c r="C8" t="b" s="77">
        <v>0</v>
      </c>
      <c r="D8" s="78"/>
      <c r="E8" t="s" s="79">
        <v>664</v>
      </c>
      <c r="F8" t="s" s="79">
        <v>130</v>
      </c>
      <c r="G8" s="80">
        <v>50</v>
      </c>
      <c r="H8" t="s" s="79">
        <v>118</v>
      </c>
      <c r="I8" t="s" s="79">
        <v>276</v>
      </c>
      <c r="J8" s="80">
        <v>31</v>
      </c>
      <c r="K8" t="s" s="79">
        <v>142</v>
      </c>
      <c r="L8" t="s" s="79">
        <v>154</v>
      </c>
      <c r="M8" s="78"/>
      <c r="N8" s="78"/>
      <c r="O8" s="78"/>
      <c r="P8" s="80">
        <v>2</v>
      </c>
      <c r="Q8" s="81">
        <v>6.75</v>
      </c>
      <c r="R8" s="81">
        <v>8.75</v>
      </c>
      <c r="S8" s="80">
        <v>1</v>
      </c>
      <c r="T8" s="80">
        <v>1</v>
      </c>
      <c r="U8" t="s" s="79">
        <v>122</v>
      </c>
      <c r="V8" s="80">
        <v>29</v>
      </c>
      <c r="W8" s="81">
        <v>6.33</v>
      </c>
      <c r="X8" s="81">
        <v>6.98</v>
      </c>
      <c r="Y8" s="80">
        <v>6</v>
      </c>
      <c r="Z8" s="80">
        <v>4</v>
      </c>
      <c r="AA8" t="s" s="79">
        <v>123</v>
      </c>
      <c r="AB8" t="s" s="79">
        <v>124</v>
      </c>
      <c r="AC8" t="s" s="79">
        <v>124</v>
      </c>
      <c r="AD8" t="s" s="82">
        <v>125</v>
      </c>
      <c r="AE8" s="67"/>
    </row>
    <row r="9" ht="15" customHeight="1">
      <c r="A9" t="s" s="68">
        <v>26</v>
      </c>
      <c r="B9" s="69">
        <v>89.2</v>
      </c>
      <c r="C9" t="b" s="70">
        <v>0</v>
      </c>
      <c r="D9" s="71"/>
      <c r="E9" t="s" s="72">
        <v>665</v>
      </c>
      <c r="F9" t="s" s="72">
        <v>141</v>
      </c>
      <c r="G9" s="73">
        <v>47</v>
      </c>
      <c r="H9" t="s" s="72">
        <v>118</v>
      </c>
      <c r="I9" t="s" s="72">
        <v>666</v>
      </c>
      <c r="J9" s="73">
        <v>23</v>
      </c>
      <c r="K9" t="s" s="72">
        <v>395</v>
      </c>
      <c r="L9" t="s" s="72">
        <v>121</v>
      </c>
      <c r="M9" s="71"/>
      <c r="N9" t="s" s="72">
        <v>311</v>
      </c>
      <c r="O9" s="71"/>
      <c r="P9" s="73">
        <v>3</v>
      </c>
      <c r="Q9" s="74">
        <v>6.67</v>
      </c>
      <c r="R9" s="74">
        <v>8.5</v>
      </c>
      <c r="S9" s="73">
        <v>2</v>
      </c>
      <c r="T9" s="73">
        <v>0</v>
      </c>
      <c r="U9" t="s" s="72">
        <v>122</v>
      </c>
      <c r="V9" s="73">
        <v>25</v>
      </c>
      <c r="W9" s="74">
        <v>6.34</v>
      </c>
      <c r="X9" s="74">
        <v>7.18</v>
      </c>
      <c r="Y9" s="73">
        <v>6</v>
      </c>
      <c r="Z9" s="73">
        <v>3</v>
      </c>
      <c r="AA9" t="s" s="72">
        <v>123</v>
      </c>
      <c r="AB9" t="s" s="72">
        <v>124</v>
      </c>
      <c r="AC9" t="s" s="72">
        <v>124</v>
      </c>
      <c r="AD9" t="s" s="75">
        <v>125</v>
      </c>
      <c r="AE9" s="67"/>
    </row>
    <row r="10" ht="15" customHeight="1">
      <c r="A10" t="s" s="68">
        <v>26</v>
      </c>
      <c r="B10" s="76">
        <v>88.59999999999999</v>
      </c>
      <c r="C10" t="b" s="77">
        <v>0</v>
      </c>
      <c r="D10" s="78"/>
      <c r="E10" t="s" s="79">
        <v>667</v>
      </c>
      <c r="F10" t="s" s="79">
        <v>130</v>
      </c>
      <c r="G10" s="80">
        <v>55</v>
      </c>
      <c r="H10" t="s" s="79">
        <v>164</v>
      </c>
      <c r="I10" t="s" s="79">
        <v>668</v>
      </c>
      <c r="J10" s="80">
        <v>27</v>
      </c>
      <c r="K10" t="s" s="79">
        <v>669</v>
      </c>
      <c r="L10" t="s" s="79">
        <v>121</v>
      </c>
      <c r="M10" s="78"/>
      <c r="N10" t="s" s="79">
        <v>272</v>
      </c>
      <c r="O10" s="78"/>
      <c r="P10" s="80">
        <v>0</v>
      </c>
      <c r="Q10" s="81">
        <v>0</v>
      </c>
      <c r="R10" s="81">
        <v>0</v>
      </c>
      <c r="S10" s="80">
        <v>0</v>
      </c>
      <c r="T10" s="80">
        <v>0</v>
      </c>
      <c r="U10" t="s" s="79">
        <v>122</v>
      </c>
      <c r="V10" s="80">
        <v>29</v>
      </c>
      <c r="W10" s="81">
        <v>6.07</v>
      </c>
      <c r="X10" s="81">
        <v>6.93</v>
      </c>
      <c r="Y10" s="80">
        <v>8</v>
      </c>
      <c r="Z10" s="80">
        <v>4</v>
      </c>
      <c r="AA10" t="s" s="79">
        <v>670</v>
      </c>
      <c r="AB10" t="s" s="79">
        <v>124</v>
      </c>
      <c r="AC10" t="s" s="79">
        <v>124</v>
      </c>
      <c r="AD10" t="s" s="82">
        <v>125</v>
      </c>
      <c r="AE10" s="67"/>
    </row>
    <row r="11" ht="15" customHeight="1">
      <c r="A11" t="s" s="68">
        <v>26</v>
      </c>
      <c r="B11" s="69">
        <v>87.3</v>
      </c>
      <c r="C11" t="b" s="70">
        <v>0</v>
      </c>
      <c r="D11" s="71"/>
      <c r="E11" t="s" s="72">
        <v>671</v>
      </c>
      <c r="F11" t="s" s="72">
        <v>144</v>
      </c>
      <c r="G11" s="73">
        <v>51</v>
      </c>
      <c r="H11" t="s" s="72">
        <v>164</v>
      </c>
      <c r="I11" t="s" s="72">
        <v>672</v>
      </c>
      <c r="J11" s="73">
        <v>29</v>
      </c>
      <c r="K11" t="s" s="72">
        <v>128</v>
      </c>
      <c r="L11" t="s" s="72">
        <v>154</v>
      </c>
      <c r="M11" s="71"/>
      <c r="N11" t="s" s="72">
        <v>655</v>
      </c>
      <c r="O11" t="s" s="88">
        <v>380</v>
      </c>
      <c r="P11" s="73">
        <v>2</v>
      </c>
      <c r="Q11" s="74">
        <v>5.75</v>
      </c>
      <c r="R11" s="74">
        <v>5.75</v>
      </c>
      <c r="S11" s="73">
        <v>0</v>
      </c>
      <c r="T11" s="73">
        <v>0</v>
      </c>
      <c r="U11" t="s" s="72">
        <v>122</v>
      </c>
      <c r="V11" s="73">
        <v>34</v>
      </c>
      <c r="W11" s="74">
        <v>6.1</v>
      </c>
      <c r="X11" s="74">
        <v>6.81</v>
      </c>
      <c r="Y11" s="73">
        <v>10</v>
      </c>
      <c r="Z11" s="73">
        <v>1</v>
      </c>
      <c r="AA11" t="s" s="72">
        <v>673</v>
      </c>
      <c r="AB11" t="s" s="72">
        <v>124</v>
      </c>
      <c r="AC11" t="s" s="72">
        <v>124</v>
      </c>
      <c r="AD11" t="s" s="75">
        <v>125</v>
      </c>
      <c r="AE11" s="67"/>
    </row>
    <row r="12" ht="15" customHeight="1">
      <c r="A12" t="s" s="68">
        <v>26</v>
      </c>
      <c r="B12" s="76">
        <v>86.7</v>
      </c>
      <c r="C12" t="b" s="77">
        <v>0</v>
      </c>
      <c r="D12" s="78"/>
      <c r="E12" t="s" s="79">
        <v>674</v>
      </c>
      <c r="F12" t="s" s="79">
        <v>134</v>
      </c>
      <c r="G12" s="80">
        <v>42</v>
      </c>
      <c r="H12" t="s" s="79">
        <v>118</v>
      </c>
      <c r="I12" t="s" s="79">
        <v>287</v>
      </c>
      <c r="J12" s="80">
        <v>29</v>
      </c>
      <c r="K12" t="s" s="79">
        <v>128</v>
      </c>
      <c r="L12" t="s" s="79">
        <v>121</v>
      </c>
      <c r="M12" s="78"/>
      <c r="N12" s="78"/>
      <c r="O12" s="78"/>
      <c r="P12" s="80">
        <v>2</v>
      </c>
      <c r="Q12" s="81">
        <v>6.5</v>
      </c>
      <c r="R12" s="81">
        <v>7</v>
      </c>
      <c r="S12" s="80">
        <v>0</v>
      </c>
      <c r="T12" s="80">
        <v>1</v>
      </c>
      <c r="U12" t="s" s="79">
        <v>122</v>
      </c>
      <c r="V12" s="80">
        <v>34</v>
      </c>
      <c r="W12" s="81">
        <v>6.29</v>
      </c>
      <c r="X12" s="81">
        <v>6.72</v>
      </c>
      <c r="Y12" s="80">
        <v>3</v>
      </c>
      <c r="Z12" s="80">
        <v>9</v>
      </c>
      <c r="AA12" t="s" s="79">
        <v>123</v>
      </c>
      <c r="AB12" t="s" s="79">
        <v>124</v>
      </c>
      <c r="AC12" t="s" s="79">
        <v>124</v>
      </c>
      <c r="AD12" t="s" s="82">
        <v>125</v>
      </c>
      <c r="AE12" s="67"/>
    </row>
    <row r="13" ht="15" customHeight="1">
      <c r="A13" t="s" s="68">
        <v>26</v>
      </c>
      <c r="B13" s="69">
        <v>86.3</v>
      </c>
      <c r="C13" t="b" s="70">
        <v>0</v>
      </c>
      <c r="D13" s="71"/>
      <c r="E13" t="s" s="72">
        <v>675</v>
      </c>
      <c r="F13" t="s" s="72">
        <v>153</v>
      </c>
      <c r="G13" s="73">
        <v>57</v>
      </c>
      <c r="H13" t="s" s="72">
        <v>164</v>
      </c>
      <c r="I13" t="s" s="72">
        <v>676</v>
      </c>
      <c r="J13" s="73">
        <v>29</v>
      </c>
      <c r="K13" t="s" s="72">
        <v>677</v>
      </c>
      <c r="L13" t="s" s="72">
        <v>121</v>
      </c>
      <c r="M13" s="71"/>
      <c r="N13" s="71"/>
      <c r="O13" t="s" s="88">
        <v>380</v>
      </c>
      <c r="P13" s="73">
        <v>2</v>
      </c>
      <c r="Q13" s="74">
        <v>5.5</v>
      </c>
      <c r="R13" s="74">
        <v>5.5</v>
      </c>
      <c r="S13" s="73">
        <v>0</v>
      </c>
      <c r="T13" s="73">
        <v>0</v>
      </c>
      <c r="U13" t="s" s="72">
        <v>122</v>
      </c>
      <c r="V13" s="73">
        <v>33</v>
      </c>
      <c r="W13" s="74">
        <v>6.35</v>
      </c>
      <c r="X13" s="74">
        <v>7.21</v>
      </c>
      <c r="Y13" s="73">
        <v>10</v>
      </c>
      <c r="Z13" s="73">
        <v>2</v>
      </c>
      <c r="AA13" t="s" s="72">
        <v>670</v>
      </c>
      <c r="AB13" t="s" s="72">
        <v>124</v>
      </c>
      <c r="AC13" t="s" s="72">
        <v>124</v>
      </c>
      <c r="AD13" t="s" s="75">
        <v>125</v>
      </c>
      <c r="AE13" s="67"/>
    </row>
    <row r="14" ht="15" customHeight="1">
      <c r="A14" t="s" s="68">
        <v>26</v>
      </c>
      <c r="B14" s="76">
        <v>86.2</v>
      </c>
      <c r="C14" t="b" s="77">
        <v>0</v>
      </c>
      <c r="D14" s="78"/>
      <c r="E14" t="s" s="79">
        <v>678</v>
      </c>
      <c r="F14" t="s" s="79">
        <v>153</v>
      </c>
      <c r="G14" s="80">
        <v>48</v>
      </c>
      <c r="H14" t="s" s="79">
        <v>679</v>
      </c>
      <c r="I14" t="s" s="79">
        <v>680</v>
      </c>
      <c r="J14" s="80">
        <v>35</v>
      </c>
      <c r="K14" t="s" s="79">
        <v>399</v>
      </c>
      <c r="L14" t="s" s="79">
        <v>121</v>
      </c>
      <c r="M14" s="78"/>
      <c r="N14" t="s" s="79">
        <v>655</v>
      </c>
      <c r="O14" s="78"/>
      <c r="P14" s="80">
        <v>2</v>
      </c>
      <c r="Q14" s="81">
        <v>6.75</v>
      </c>
      <c r="R14" s="81">
        <v>8.75</v>
      </c>
      <c r="S14" s="80">
        <v>1</v>
      </c>
      <c r="T14" s="80">
        <v>1</v>
      </c>
      <c r="U14" t="s" s="79">
        <v>122</v>
      </c>
      <c r="V14" s="80">
        <v>18</v>
      </c>
      <c r="W14" s="81">
        <v>6.33</v>
      </c>
      <c r="X14" s="81">
        <v>7.25</v>
      </c>
      <c r="Y14" s="80">
        <v>5</v>
      </c>
      <c r="Z14" s="80">
        <v>2</v>
      </c>
      <c r="AA14" t="s" s="79">
        <v>681</v>
      </c>
      <c r="AB14" t="s" s="79">
        <v>124</v>
      </c>
      <c r="AC14" t="s" s="79">
        <v>124</v>
      </c>
      <c r="AD14" t="s" s="82">
        <v>125</v>
      </c>
      <c r="AE14" s="67"/>
    </row>
    <row r="15" ht="15" customHeight="1">
      <c r="A15" t="s" s="68">
        <v>26</v>
      </c>
      <c r="B15" s="69">
        <v>85.5</v>
      </c>
      <c r="C15" t="b" s="70">
        <v>0</v>
      </c>
      <c r="D15" s="71"/>
      <c r="E15" t="s" s="72">
        <v>682</v>
      </c>
      <c r="F15" t="s" s="72">
        <v>144</v>
      </c>
      <c r="G15" s="73">
        <v>41</v>
      </c>
      <c r="H15" t="s" s="72">
        <v>118</v>
      </c>
      <c r="I15" t="s" s="72">
        <v>683</v>
      </c>
      <c r="J15" s="73">
        <v>32</v>
      </c>
      <c r="K15" t="s" s="72">
        <v>128</v>
      </c>
      <c r="L15" t="s" s="72">
        <v>154</v>
      </c>
      <c r="M15" s="71"/>
      <c r="N15" t="s" s="72">
        <v>272</v>
      </c>
      <c r="O15" s="71"/>
      <c r="P15" s="73">
        <v>2</v>
      </c>
      <c r="Q15" s="74">
        <v>6.5</v>
      </c>
      <c r="R15" s="74">
        <v>6.5</v>
      </c>
      <c r="S15" s="73">
        <v>0</v>
      </c>
      <c r="T15" s="73">
        <v>0</v>
      </c>
      <c r="U15" t="s" s="72">
        <v>122</v>
      </c>
      <c r="V15" s="73">
        <v>25</v>
      </c>
      <c r="W15" s="74">
        <v>6.08</v>
      </c>
      <c r="X15" s="74">
        <v>6.58</v>
      </c>
      <c r="Y15" s="73">
        <v>4</v>
      </c>
      <c r="Z15" s="73">
        <v>2</v>
      </c>
      <c r="AA15" t="s" s="72">
        <v>291</v>
      </c>
      <c r="AB15" t="s" s="72">
        <v>124</v>
      </c>
      <c r="AC15" t="s" s="72">
        <v>124</v>
      </c>
      <c r="AD15" t="s" s="75">
        <v>125</v>
      </c>
      <c r="AE15" s="67"/>
    </row>
    <row r="16" ht="15" customHeight="1">
      <c r="A16" t="s" s="68">
        <v>26</v>
      </c>
      <c r="B16" s="76">
        <v>85.09999999999999</v>
      </c>
      <c r="C16" t="b" s="77">
        <v>0</v>
      </c>
      <c r="D16" s="78"/>
      <c r="E16" t="s" s="79">
        <v>684</v>
      </c>
      <c r="F16" t="s" s="79">
        <v>141</v>
      </c>
      <c r="G16" s="80">
        <v>45</v>
      </c>
      <c r="H16" t="s" s="79">
        <v>118</v>
      </c>
      <c r="I16" t="s" s="79">
        <v>685</v>
      </c>
      <c r="J16" s="80">
        <v>25</v>
      </c>
      <c r="K16" t="s" s="79">
        <v>686</v>
      </c>
      <c r="L16" t="s" s="79">
        <v>154</v>
      </c>
      <c r="M16" s="78"/>
      <c r="N16" t="s" s="79">
        <v>272</v>
      </c>
      <c r="O16" s="78"/>
      <c r="P16" s="80">
        <v>3</v>
      </c>
      <c r="Q16" s="81">
        <v>6.5</v>
      </c>
      <c r="R16" s="81">
        <v>6.5</v>
      </c>
      <c r="S16" s="80">
        <v>0</v>
      </c>
      <c r="T16" s="80">
        <v>0</v>
      </c>
      <c r="U16" t="s" s="79">
        <v>122</v>
      </c>
      <c r="V16" s="80">
        <v>35</v>
      </c>
      <c r="W16" s="81">
        <v>6.39</v>
      </c>
      <c r="X16" s="81">
        <v>6.96</v>
      </c>
      <c r="Y16" s="80">
        <v>6</v>
      </c>
      <c r="Z16" s="80">
        <v>4</v>
      </c>
      <c r="AA16" t="s" s="79">
        <v>687</v>
      </c>
      <c r="AB16" t="s" s="79">
        <v>124</v>
      </c>
      <c r="AC16" t="s" s="79">
        <v>124</v>
      </c>
      <c r="AD16" t="s" s="82">
        <v>125</v>
      </c>
      <c r="AE16" s="67"/>
    </row>
    <row r="17" ht="15" customHeight="1">
      <c r="A17" t="s" s="68">
        <v>26</v>
      </c>
      <c r="B17" s="69">
        <v>84.59999999999999</v>
      </c>
      <c r="C17" t="b" s="70">
        <v>0</v>
      </c>
      <c r="D17" t="s" s="84">
        <v>161</v>
      </c>
      <c r="E17" t="s" s="72">
        <v>688</v>
      </c>
      <c r="F17" t="s" s="72">
        <v>170</v>
      </c>
      <c r="G17" s="73">
        <v>36</v>
      </c>
      <c r="H17" t="s" s="72">
        <v>689</v>
      </c>
      <c r="I17" t="s" s="72">
        <v>690</v>
      </c>
      <c r="J17" s="73">
        <v>23</v>
      </c>
      <c r="K17" t="s" s="72">
        <v>691</v>
      </c>
      <c r="L17" t="s" s="72">
        <v>121</v>
      </c>
      <c r="M17" s="71"/>
      <c r="N17" s="71"/>
      <c r="O17" s="71"/>
      <c r="P17" s="73">
        <v>2</v>
      </c>
      <c r="Q17" s="74">
        <v>4.75</v>
      </c>
      <c r="R17" s="74">
        <v>4.75</v>
      </c>
      <c r="S17" s="73">
        <v>0</v>
      </c>
      <c r="T17" s="73">
        <v>0</v>
      </c>
      <c r="U17" t="s" s="72">
        <v>122</v>
      </c>
      <c r="V17" s="73">
        <v>32</v>
      </c>
      <c r="W17" s="74">
        <v>6.34</v>
      </c>
      <c r="X17" s="74">
        <v>6.86</v>
      </c>
      <c r="Y17" s="73">
        <v>5</v>
      </c>
      <c r="Z17" s="73">
        <v>3</v>
      </c>
      <c r="AA17" t="s" s="72">
        <v>123</v>
      </c>
      <c r="AB17" t="s" s="72">
        <v>124</v>
      </c>
      <c r="AC17" t="s" s="72">
        <v>124</v>
      </c>
      <c r="AD17" t="s" s="75">
        <v>125</v>
      </c>
      <c r="AE17" s="67"/>
    </row>
    <row r="18" ht="15" customHeight="1">
      <c r="A18" t="s" s="68">
        <v>26</v>
      </c>
      <c r="B18" s="76">
        <v>84.40000000000001</v>
      </c>
      <c r="C18" t="b" s="77">
        <v>0</v>
      </c>
      <c r="D18" s="78"/>
      <c r="E18" t="s" s="79">
        <v>692</v>
      </c>
      <c r="F18" t="s" s="79">
        <v>117</v>
      </c>
      <c r="G18" s="80">
        <v>41</v>
      </c>
      <c r="H18" t="s" s="79">
        <v>118</v>
      </c>
      <c r="I18" t="s" s="79">
        <v>135</v>
      </c>
      <c r="J18" s="80">
        <v>25</v>
      </c>
      <c r="K18" t="s" s="79">
        <v>636</v>
      </c>
      <c r="L18" t="s" s="79">
        <v>121</v>
      </c>
      <c r="M18" s="78"/>
      <c r="N18" s="78"/>
      <c r="O18" s="78"/>
      <c r="P18" s="80">
        <v>2</v>
      </c>
      <c r="Q18" s="81">
        <v>6.5</v>
      </c>
      <c r="R18" s="81">
        <v>6.25</v>
      </c>
      <c r="S18" s="80">
        <v>0</v>
      </c>
      <c r="T18" s="80">
        <v>0</v>
      </c>
      <c r="U18" t="s" s="79">
        <v>122</v>
      </c>
      <c r="V18" s="80">
        <v>29</v>
      </c>
      <c r="W18" s="81">
        <v>6.19</v>
      </c>
      <c r="X18" s="81">
        <v>6.47</v>
      </c>
      <c r="Y18" s="80">
        <v>2</v>
      </c>
      <c r="Z18" s="80">
        <v>3</v>
      </c>
      <c r="AA18" t="s" s="79">
        <v>123</v>
      </c>
      <c r="AB18" t="s" s="79">
        <v>124</v>
      </c>
      <c r="AC18" t="s" s="79">
        <v>124</v>
      </c>
      <c r="AD18" t="s" s="82">
        <v>125</v>
      </c>
      <c r="AE18" s="67"/>
    </row>
    <row r="19" ht="15" customHeight="1">
      <c r="A19" t="s" s="68">
        <v>26</v>
      </c>
      <c r="B19" s="69">
        <v>84.3</v>
      </c>
      <c r="C19" t="b" s="70">
        <v>0</v>
      </c>
      <c r="D19" s="71"/>
      <c r="E19" t="s" s="72">
        <v>693</v>
      </c>
      <c r="F19" t="s" s="72">
        <v>159</v>
      </c>
      <c r="G19" s="73">
        <v>48</v>
      </c>
      <c r="H19" t="s" s="72">
        <v>164</v>
      </c>
      <c r="I19" t="s" s="72">
        <v>672</v>
      </c>
      <c r="J19" s="73">
        <v>27</v>
      </c>
      <c r="K19" t="s" s="72">
        <v>128</v>
      </c>
      <c r="L19" t="s" s="72">
        <v>154</v>
      </c>
      <c r="M19" s="71"/>
      <c r="N19" t="s" s="72">
        <v>655</v>
      </c>
      <c r="O19" t="s" s="88">
        <v>377</v>
      </c>
      <c r="P19" s="73">
        <v>1</v>
      </c>
      <c r="Q19" s="74">
        <v>6.5</v>
      </c>
      <c r="R19" s="74">
        <v>6.5</v>
      </c>
      <c r="S19" s="73">
        <v>0</v>
      </c>
      <c r="T19" s="73">
        <v>0</v>
      </c>
      <c r="U19" t="s" s="72">
        <v>122</v>
      </c>
      <c r="V19" s="73">
        <v>31</v>
      </c>
      <c r="W19" s="74">
        <v>6.24</v>
      </c>
      <c r="X19" s="74">
        <v>6.76</v>
      </c>
      <c r="Y19" s="73">
        <v>5</v>
      </c>
      <c r="Z19" s="73">
        <v>5</v>
      </c>
      <c r="AA19" t="s" s="72">
        <v>123</v>
      </c>
      <c r="AB19" t="s" s="72">
        <v>124</v>
      </c>
      <c r="AC19" t="s" s="72">
        <v>124</v>
      </c>
      <c r="AD19" t="s" s="75">
        <v>125</v>
      </c>
      <c r="AE19" s="67"/>
    </row>
    <row r="20" ht="15" customHeight="1">
      <c r="A20" t="s" s="68">
        <v>26</v>
      </c>
      <c r="B20" s="76">
        <v>84.09999999999999</v>
      </c>
      <c r="C20" t="b" s="77">
        <v>0</v>
      </c>
      <c r="D20" s="78"/>
      <c r="E20" t="s" s="79">
        <v>694</v>
      </c>
      <c r="F20" t="s" s="79">
        <v>130</v>
      </c>
      <c r="G20" s="80">
        <v>42</v>
      </c>
      <c r="H20" t="s" s="79">
        <v>118</v>
      </c>
      <c r="I20" t="s" s="79">
        <v>695</v>
      </c>
      <c r="J20" s="80">
        <v>40</v>
      </c>
      <c r="K20" t="s" s="79">
        <v>395</v>
      </c>
      <c r="L20" t="s" s="79">
        <v>328</v>
      </c>
      <c r="M20" s="78"/>
      <c r="N20" t="s" s="79">
        <v>655</v>
      </c>
      <c r="O20" s="78"/>
      <c r="P20" s="80">
        <v>2</v>
      </c>
      <c r="Q20" s="81">
        <v>6.25</v>
      </c>
      <c r="R20" s="81">
        <v>6.25</v>
      </c>
      <c r="S20" s="80">
        <v>0</v>
      </c>
      <c r="T20" s="80">
        <v>0</v>
      </c>
      <c r="U20" t="s" s="79">
        <v>122</v>
      </c>
      <c r="V20" s="80">
        <v>33</v>
      </c>
      <c r="W20" s="81">
        <v>6.5</v>
      </c>
      <c r="X20" s="81">
        <v>6.71</v>
      </c>
      <c r="Y20" s="80">
        <v>2</v>
      </c>
      <c r="Z20" s="80">
        <v>3</v>
      </c>
      <c r="AA20" t="s" s="79">
        <v>123</v>
      </c>
      <c r="AB20" t="s" s="79">
        <v>124</v>
      </c>
      <c r="AC20" t="s" s="79">
        <v>124</v>
      </c>
      <c r="AD20" t="s" s="82">
        <v>125</v>
      </c>
      <c r="AE20" s="67"/>
    </row>
    <row r="21" ht="15" customHeight="1">
      <c r="A21" t="s" s="68">
        <v>26</v>
      </c>
      <c r="B21" s="69">
        <v>84</v>
      </c>
      <c r="C21" t="b" s="70">
        <v>0</v>
      </c>
      <c r="D21" t="s" s="84">
        <v>161</v>
      </c>
      <c r="E21" t="s" s="72">
        <v>696</v>
      </c>
      <c r="F21" t="s" s="72">
        <v>153</v>
      </c>
      <c r="G21" s="73">
        <v>45</v>
      </c>
      <c r="H21" t="s" s="72">
        <v>118</v>
      </c>
      <c r="I21" t="s" s="72">
        <v>432</v>
      </c>
      <c r="J21" s="73">
        <v>23</v>
      </c>
      <c r="K21" t="s" s="72">
        <v>277</v>
      </c>
      <c r="L21" t="s" s="72">
        <v>121</v>
      </c>
      <c r="M21" s="71"/>
      <c r="N21" s="71"/>
      <c r="O21" s="71"/>
      <c r="P21" s="73">
        <v>2</v>
      </c>
      <c r="Q21" s="74">
        <v>6</v>
      </c>
      <c r="R21" s="74">
        <v>6</v>
      </c>
      <c r="S21" s="73">
        <v>0</v>
      </c>
      <c r="T21" s="73">
        <v>0</v>
      </c>
      <c r="U21" t="s" s="72">
        <v>122</v>
      </c>
      <c r="V21" s="73">
        <v>13</v>
      </c>
      <c r="W21" s="74">
        <v>6.38</v>
      </c>
      <c r="X21" s="74">
        <v>7.27</v>
      </c>
      <c r="Y21" s="73">
        <v>4</v>
      </c>
      <c r="Z21" s="73">
        <v>0</v>
      </c>
      <c r="AA21" t="s" s="72">
        <v>123</v>
      </c>
      <c r="AB21" t="s" s="72">
        <v>124</v>
      </c>
      <c r="AC21" t="s" s="72">
        <v>124</v>
      </c>
      <c r="AD21" t="s" s="75">
        <v>125</v>
      </c>
      <c r="AE21" s="67"/>
    </row>
    <row r="22" ht="15" customHeight="1">
      <c r="A22" t="s" s="68">
        <v>26</v>
      </c>
      <c r="B22" s="76">
        <v>83.59999999999999</v>
      </c>
      <c r="C22" t="b" s="77">
        <v>0</v>
      </c>
      <c r="D22" s="78"/>
      <c r="E22" t="s" s="79">
        <v>697</v>
      </c>
      <c r="F22" t="s" s="79">
        <v>149</v>
      </c>
      <c r="G22" s="80">
        <v>40</v>
      </c>
      <c r="H22" t="s" s="79">
        <v>118</v>
      </c>
      <c r="I22" t="s" s="79">
        <v>683</v>
      </c>
      <c r="J22" s="80">
        <v>31</v>
      </c>
      <c r="K22" t="s" s="79">
        <v>128</v>
      </c>
      <c r="L22" t="s" s="79">
        <v>121</v>
      </c>
      <c r="M22" s="78"/>
      <c r="N22" t="s" s="79">
        <v>272</v>
      </c>
      <c r="O22" s="78"/>
      <c r="P22" s="80">
        <v>2</v>
      </c>
      <c r="Q22" s="81">
        <v>6</v>
      </c>
      <c r="R22" s="81">
        <v>5.75</v>
      </c>
      <c r="S22" s="80">
        <v>0</v>
      </c>
      <c r="T22" s="80">
        <v>0</v>
      </c>
      <c r="U22" t="s" s="79">
        <v>122</v>
      </c>
      <c r="V22" s="80">
        <v>26</v>
      </c>
      <c r="W22" s="81">
        <v>5.92</v>
      </c>
      <c r="X22" s="81">
        <v>6</v>
      </c>
      <c r="Y22" s="80">
        <v>3</v>
      </c>
      <c r="Z22" s="80">
        <v>0</v>
      </c>
      <c r="AA22" t="s" s="79">
        <v>670</v>
      </c>
      <c r="AB22" t="s" s="79">
        <v>124</v>
      </c>
      <c r="AC22" t="s" s="79">
        <v>124</v>
      </c>
      <c r="AD22" t="s" s="82">
        <v>125</v>
      </c>
      <c r="AE22" s="67"/>
    </row>
    <row r="23" ht="15" customHeight="1">
      <c r="A23" t="s" s="68">
        <v>26</v>
      </c>
      <c r="B23" s="69">
        <v>82.3</v>
      </c>
      <c r="C23" t="b" s="70">
        <v>0</v>
      </c>
      <c r="D23" s="71"/>
      <c r="E23" t="s" s="72">
        <v>698</v>
      </c>
      <c r="F23" t="s" s="72">
        <v>138</v>
      </c>
      <c r="G23" s="73">
        <v>42</v>
      </c>
      <c r="H23" t="s" s="72">
        <v>118</v>
      </c>
      <c r="I23" t="s" s="72">
        <v>306</v>
      </c>
      <c r="J23" s="73">
        <v>23</v>
      </c>
      <c r="K23" t="s" s="72">
        <v>325</v>
      </c>
      <c r="L23" t="s" s="72">
        <v>154</v>
      </c>
      <c r="M23" s="71"/>
      <c r="N23" s="71"/>
      <c r="O23" s="71"/>
      <c r="P23" s="73">
        <v>2</v>
      </c>
      <c r="Q23" s="74">
        <v>6.5</v>
      </c>
      <c r="R23" s="74">
        <v>7</v>
      </c>
      <c r="S23" s="73">
        <v>0</v>
      </c>
      <c r="T23" s="73">
        <v>1</v>
      </c>
      <c r="U23" t="s" s="72">
        <v>122</v>
      </c>
      <c r="V23" s="73">
        <v>31</v>
      </c>
      <c r="W23" s="74">
        <v>6.24</v>
      </c>
      <c r="X23" s="74">
        <v>6.65</v>
      </c>
      <c r="Y23" s="73">
        <v>3</v>
      </c>
      <c r="Z23" s="73">
        <v>5</v>
      </c>
      <c r="AA23" t="s" s="72">
        <v>123</v>
      </c>
      <c r="AB23" t="s" s="72">
        <v>124</v>
      </c>
      <c r="AC23" t="s" s="72">
        <v>124</v>
      </c>
      <c r="AD23" t="s" s="75">
        <v>125</v>
      </c>
      <c r="AE23" s="67"/>
    </row>
    <row r="24" ht="15" customHeight="1">
      <c r="A24" t="s" s="68">
        <v>26</v>
      </c>
      <c r="B24" s="76">
        <v>81.5</v>
      </c>
      <c r="C24" t="b" s="77">
        <v>0</v>
      </c>
      <c r="D24" s="78"/>
      <c r="E24" t="s" s="79">
        <v>699</v>
      </c>
      <c r="F24" t="s" s="79">
        <v>127</v>
      </c>
      <c r="G24" s="80">
        <v>36</v>
      </c>
      <c r="H24" t="s" s="79">
        <v>118</v>
      </c>
      <c r="I24" t="s" s="79">
        <v>119</v>
      </c>
      <c r="J24" s="80">
        <v>27</v>
      </c>
      <c r="K24" t="s" s="79">
        <v>277</v>
      </c>
      <c r="L24" t="s" s="79">
        <v>121</v>
      </c>
      <c r="M24" s="78"/>
      <c r="N24" s="78"/>
      <c r="O24" s="78"/>
      <c r="P24" s="80">
        <v>2</v>
      </c>
      <c r="Q24" s="81">
        <v>6</v>
      </c>
      <c r="R24" s="81">
        <v>6</v>
      </c>
      <c r="S24" s="80">
        <v>0</v>
      </c>
      <c r="T24" s="80">
        <v>0</v>
      </c>
      <c r="U24" t="s" s="79">
        <v>122</v>
      </c>
      <c r="V24" s="80">
        <v>30</v>
      </c>
      <c r="W24" s="81">
        <v>6.25</v>
      </c>
      <c r="X24" s="81">
        <v>6.43</v>
      </c>
      <c r="Y24" s="80">
        <v>2</v>
      </c>
      <c r="Z24" s="80">
        <v>1</v>
      </c>
      <c r="AA24" t="s" s="79">
        <v>291</v>
      </c>
      <c r="AB24" t="s" s="79">
        <v>124</v>
      </c>
      <c r="AC24" t="s" s="79">
        <v>124</v>
      </c>
      <c r="AD24" t="s" s="82">
        <v>125</v>
      </c>
      <c r="AE24" s="67"/>
    </row>
    <row r="25" ht="15" customHeight="1">
      <c r="A25" t="s" s="83">
        <v>28</v>
      </c>
      <c r="B25" s="69">
        <v>80.5</v>
      </c>
      <c r="C25" t="b" s="70">
        <v>0</v>
      </c>
      <c r="D25" s="71"/>
      <c r="E25" t="s" s="72">
        <v>700</v>
      </c>
      <c r="F25" t="s" s="72">
        <v>138</v>
      </c>
      <c r="G25" s="73">
        <v>34</v>
      </c>
      <c r="H25" t="s" s="72">
        <v>118</v>
      </c>
      <c r="I25" t="s" s="72">
        <v>332</v>
      </c>
      <c r="J25" s="73">
        <v>28</v>
      </c>
      <c r="K25" t="s" s="72">
        <v>128</v>
      </c>
      <c r="L25" t="s" s="72">
        <v>121</v>
      </c>
      <c r="M25" s="71"/>
      <c r="N25" t="s" s="72">
        <v>272</v>
      </c>
      <c r="O25" s="71"/>
      <c r="P25" s="73">
        <v>2</v>
      </c>
      <c r="Q25" s="74">
        <v>6.5</v>
      </c>
      <c r="R25" s="74">
        <v>6.75</v>
      </c>
      <c r="S25" s="73">
        <v>0</v>
      </c>
      <c r="T25" s="73">
        <v>1</v>
      </c>
      <c r="U25" t="s" s="72">
        <v>122</v>
      </c>
      <c r="V25" s="73">
        <v>36</v>
      </c>
      <c r="W25" s="74">
        <v>6.28</v>
      </c>
      <c r="X25" s="74">
        <v>6.21</v>
      </c>
      <c r="Y25" s="73">
        <v>1</v>
      </c>
      <c r="Z25" s="73">
        <v>2</v>
      </c>
      <c r="AA25" t="s" s="72">
        <v>670</v>
      </c>
      <c r="AB25" t="s" s="72">
        <v>124</v>
      </c>
      <c r="AC25" t="s" s="72">
        <v>124</v>
      </c>
      <c r="AD25" t="s" s="75">
        <v>125</v>
      </c>
      <c r="AE25" s="67"/>
    </row>
    <row r="26" ht="15" customHeight="1">
      <c r="A26" t="s" s="83">
        <v>28</v>
      </c>
      <c r="B26" s="76">
        <v>79.8</v>
      </c>
      <c r="C26" t="b" s="77">
        <v>0</v>
      </c>
      <c r="D26" s="78"/>
      <c r="E26" t="s" s="79">
        <v>701</v>
      </c>
      <c r="F26" t="s" s="79">
        <v>149</v>
      </c>
      <c r="G26" s="80">
        <v>35</v>
      </c>
      <c r="H26" t="s" s="79">
        <v>118</v>
      </c>
      <c r="I26" t="s" s="79">
        <v>135</v>
      </c>
      <c r="J26" s="80">
        <v>24</v>
      </c>
      <c r="K26" t="s" s="79">
        <v>157</v>
      </c>
      <c r="L26" t="s" s="79">
        <v>154</v>
      </c>
      <c r="M26" s="78"/>
      <c r="N26" s="78"/>
      <c r="O26" s="78"/>
      <c r="P26" s="80">
        <v>2</v>
      </c>
      <c r="Q26" s="81">
        <v>6.25</v>
      </c>
      <c r="R26" s="81">
        <v>6.25</v>
      </c>
      <c r="S26" s="80">
        <v>0</v>
      </c>
      <c r="T26" s="80">
        <v>0</v>
      </c>
      <c r="U26" t="s" s="79">
        <v>122</v>
      </c>
      <c r="V26" s="80">
        <v>17</v>
      </c>
      <c r="W26" s="81">
        <v>6.03</v>
      </c>
      <c r="X26" s="81">
        <v>6.53</v>
      </c>
      <c r="Y26" s="80">
        <v>3</v>
      </c>
      <c r="Z26" s="80">
        <v>2</v>
      </c>
      <c r="AA26" t="s" s="79">
        <v>123</v>
      </c>
      <c r="AB26" t="s" s="79">
        <v>124</v>
      </c>
      <c r="AC26" t="s" s="79">
        <v>124</v>
      </c>
      <c r="AD26" t="s" s="82">
        <v>125</v>
      </c>
      <c r="AE26" s="67"/>
    </row>
    <row r="27" ht="15" customHeight="1">
      <c r="A27" t="s" s="83">
        <v>28</v>
      </c>
      <c r="B27" s="69">
        <v>77.90000000000001</v>
      </c>
      <c r="C27" t="b" s="70">
        <v>0</v>
      </c>
      <c r="D27" t="s" s="84">
        <v>161</v>
      </c>
      <c r="E27" t="s" s="72">
        <v>702</v>
      </c>
      <c r="F27" t="s" s="72">
        <v>159</v>
      </c>
      <c r="G27" s="73">
        <v>33</v>
      </c>
      <c r="H27" t="s" s="72">
        <v>118</v>
      </c>
      <c r="I27" t="s" s="72">
        <v>703</v>
      </c>
      <c r="J27" s="73">
        <v>26</v>
      </c>
      <c r="K27" t="s" s="72">
        <v>157</v>
      </c>
      <c r="L27" t="s" s="72">
        <v>121</v>
      </c>
      <c r="M27" s="71"/>
      <c r="N27" t="s" s="72">
        <v>272</v>
      </c>
      <c r="O27" s="71"/>
      <c r="P27" s="73">
        <v>2</v>
      </c>
      <c r="Q27" s="74">
        <v>6.75</v>
      </c>
      <c r="R27" s="74">
        <v>8.75</v>
      </c>
      <c r="S27" s="73">
        <v>1</v>
      </c>
      <c r="T27" s="73">
        <v>1</v>
      </c>
      <c r="U27" t="s" s="72">
        <v>122</v>
      </c>
      <c r="V27" s="73">
        <v>31</v>
      </c>
      <c r="W27" s="74">
        <v>6</v>
      </c>
      <c r="X27" s="74">
        <v>6.56</v>
      </c>
      <c r="Y27" s="73">
        <v>5</v>
      </c>
      <c r="Z27" s="73">
        <v>3</v>
      </c>
      <c r="AA27" t="s" s="72">
        <v>123</v>
      </c>
      <c r="AB27" t="s" s="72">
        <v>124</v>
      </c>
      <c r="AC27" t="s" s="72">
        <v>124</v>
      </c>
      <c r="AD27" t="s" s="75">
        <v>125</v>
      </c>
      <c r="AE27" s="67"/>
    </row>
    <row r="28" ht="15" customHeight="1">
      <c r="A28" t="s" s="83">
        <v>28</v>
      </c>
      <c r="B28" s="76">
        <v>76.40000000000001</v>
      </c>
      <c r="C28" t="b" s="77">
        <v>0</v>
      </c>
      <c r="D28" s="78"/>
      <c r="E28" t="s" s="79">
        <v>704</v>
      </c>
      <c r="F28" t="s" s="79">
        <v>134</v>
      </c>
      <c r="G28" s="80">
        <v>41</v>
      </c>
      <c r="H28" t="s" s="79">
        <v>175</v>
      </c>
      <c r="I28" t="s" s="79">
        <v>705</v>
      </c>
      <c r="J28" s="80">
        <v>32</v>
      </c>
      <c r="K28" t="s" s="79">
        <v>145</v>
      </c>
      <c r="L28" t="s" s="79">
        <v>121</v>
      </c>
      <c r="M28" s="78"/>
      <c r="N28" t="s" s="79">
        <v>311</v>
      </c>
      <c r="O28" s="78"/>
      <c r="P28" s="80">
        <v>2</v>
      </c>
      <c r="Q28" s="81">
        <v>6.5</v>
      </c>
      <c r="R28" s="81">
        <v>8</v>
      </c>
      <c r="S28" s="80">
        <v>1</v>
      </c>
      <c r="T28" s="80">
        <v>0</v>
      </c>
      <c r="U28" t="s" s="79">
        <v>122</v>
      </c>
      <c r="V28" s="80">
        <v>31</v>
      </c>
      <c r="W28" s="81">
        <v>6.35</v>
      </c>
      <c r="X28" s="81">
        <v>6.89</v>
      </c>
      <c r="Y28" s="80">
        <v>6</v>
      </c>
      <c r="Z28" s="80">
        <v>2</v>
      </c>
      <c r="AA28" t="s" s="79">
        <v>291</v>
      </c>
      <c r="AB28" t="s" s="79">
        <v>124</v>
      </c>
      <c r="AC28" t="s" s="79">
        <v>124</v>
      </c>
      <c r="AD28" t="s" s="82">
        <v>125</v>
      </c>
      <c r="AE28" s="67"/>
    </row>
    <row r="29" ht="15" customHeight="1">
      <c r="A29" t="s" s="83">
        <v>28</v>
      </c>
      <c r="B29" s="69">
        <v>76.3</v>
      </c>
      <c r="C29" t="b" s="70">
        <v>0</v>
      </c>
      <c r="D29" s="71"/>
      <c r="E29" t="s" s="72">
        <v>706</v>
      </c>
      <c r="F29" t="s" s="72">
        <v>141</v>
      </c>
      <c r="G29" s="73">
        <v>34</v>
      </c>
      <c r="H29" t="s" s="72">
        <v>707</v>
      </c>
      <c r="I29" t="s" s="72">
        <v>708</v>
      </c>
      <c r="J29" s="73">
        <v>23</v>
      </c>
      <c r="K29" t="s" s="72">
        <v>316</v>
      </c>
      <c r="L29" t="s" s="72">
        <v>154</v>
      </c>
      <c r="M29" s="71"/>
      <c r="N29" s="71"/>
      <c r="O29" s="71"/>
      <c r="P29" s="73">
        <v>3</v>
      </c>
      <c r="Q29" s="74">
        <v>6</v>
      </c>
      <c r="R29" s="74">
        <v>6</v>
      </c>
      <c r="S29" s="73">
        <v>0</v>
      </c>
      <c r="T29" s="73">
        <v>0</v>
      </c>
      <c r="U29" t="s" s="72">
        <v>122</v>
      </c>
      <c r="V29" s="73">
        <v>36</v>
      </c>
      <c r="W29" s="74">
        <v>6.31</v>
      </c>
      <c r="X29" s="74">
        <v>6.56</v>
      </c>
      <c r="Y29" s="73">
        <v>3</v>
      </c>
      <c r="Z29" s="73">
        <v>4</v>
      </c>
      <c r="AA29" t="s" s="72">
        <v>123</v>
      </c>
      <c r="AB29" t="s" s="72">
        <v>124</v>
      </c>
      <c r="AC29" t="s" s="72">
        <v>124</v>
      </c>
      <c r="AD29" t="s" s="75">
        <v>125</v>
      </c>
      <c r="AE29" s="67"/>
    </row>
    <row r="30" ht="15" customHeight="1">
      <c r="A30" t="s" s="83">
        <v>28</v>
      </c>
      <c r="B30" s="76">
        <v>75.7</v>
      </c>
      <c r="C30" t="b" s="77">
        <v>0</v>
      </c>
      <c r="D30" t="s" s="85">
        <v>161</v>
      </c>
      <c r="E30" t="s" s="79">
        <v>709</v>
      </c>
      <c r="F30" t="s" s="79">
        <v>170</v>
      </c>
      <c r="G30" s="80">
        <v>33</v>
      </c>
      <c r="H30" t="s" s="79">
        <v>118</v>
      </c>
      <c r="I30" t="s" s="79">
        <v>710</v>
      </c>
      <c r="J30" s="80">
        <v>19</v>
      </c>
      <c r="K30" t="s" s="79">
        <v>316</v>
      </c>
      <c r="L30" t="s" s="79">
        <v>154</v>
      </c>
      <c r="M30" s="78"/>
      <c r="N30" t="s" s="79">
        <v>655</v>
      </c>
      <c r="O30" s="78"/>
      <c r="P30" s="80">
        <v>2</v>
      </c>
      <c r="Q30" s="81">
        <v>5.5</v>
      </c>
      <c r="R30" s="81">
        <v>5.5</v>
      </c>
      <c r="S30" s="80">
        <v>0</v>
      </c>
      <c r="T30" s="80">
        <v>0</v>
      </c>
      <c r="U30" t="s" s="79">
        <v>122</v>
      </c>
      <c r="V30" s="78"/>
      <c r="W30" s="78"/>
      <c r="X30" s="78"/>
      <c r="Y30" s="78"/>
      <c r="Z30" s="78"/>
      <c r="AA30" s="78"/>
      <c r="AB30" t="s" s="79">
        <v>124</v>
      </c>
      <c r="AC30" t="s" s="79">
        <v>124</v>
      </c>
      <c r="AD30" t="s" s="82">
        <v>125</v>
      </c>
      <c r="AE30" s="67"/>
    </row>
    <row r="31" ht="15" customHeight="1">
      <c r="A31" t="s" s="83">
        <v>28</v>
      </c>
      <c r="B31" s="69">
        <v>75.09999999999999</v>
      </c>
      <c r="C31" t="b" s="70">
        <v>0</v>
      </c>
      <c r="D31" s="71"/>
      <c r="E31" t="s" s="72">
        <v>711</v>
      </c>
      <c r="F31" t="s" s="72">
        <v>138</v>
      </c>
      <c r="G31" s="73">
        <v>41</v>
      </c>
      <c r="H31" t="s" s="72">
        <v>164</v>
      </c>
      <c r="I31" t="s" s="72">
        <v>712</v>
      </c>
      <c r="J31" s="73">
        <v>28</v>
      </c>
      <c r="K31" t="s" s="72">
        <v>713</v>
      </c>
      <c r="L31" t="s" s="72">
        <v>121</v>
      </c>
      <c r="M31" s="71"/>
      <c r="N31" s="71"/>
      <c r="O31" t="s" s="88">
        <v>268</v>
      </c>
      <c r="P31" s="73">
        <v>1</v>
      </c>
      <c r="Q31" s="74">
        <v>6</v>
      </c>
      <c r="R31" s="74">
        <v>6</v>
      </c>
      <c r="S31" s="73">
        <v>0</v>
      </c>
      <c r="T31" s="73">
        <v>0</v>
      </c>
      <c r="U31" t="s" s="72">
        <v>122</v>
      </c>
      <c r="V31" s="73">
        <v>34</v>
      </c>
      <c r="W31" s="74">
        <v>6.18</v>
      </c>
      <c r="X31" s="74">
        <v>6.72</v>
      </c>
      <c r="Y31" s="73">
        <v>5</v>
      </c>
      <c r="Z31" s="73">
        <v>6</v>
      </c>
      <c r="AA31" t="s" s="72">
        <v>123</v>
      </c>
      <c r="AB31" t="s" s="72">
        <v>124</v>
      </c>
      <c r="AC31" t="s" s="72">
        <v>124</v>
      </c>
      <c r="AD31" t="s" s="75">
        <v>125</v>
      </c>
      <c r="AE31" s="67"/>
    </row>
    <row r="32" ht="15" customHeight="1">
      <c r="A32" t="s" s="83">
        <v>28</v>
      </c>
      <c r="B32" s="76">
        <v>74.3</v>
      </c>
      <c r="C32" t="b" s="77">
        <v>0</v>
      </c>
      <c r="D32" s="78"/>
      <c r="E32" t="s" s="79">
        <v>714</v>
      </c>
      <c r="F32" t="s" s="79">
        <v>117</v>
      </c>
      <c r="G32" s="80">
        <v>33</v>
      </c>
      <c r="H32" t="s" s="79">
        <v>118</v>
      </c>
      <c r="I32" t="s" s="79">
        <v>131</v>
      </c>
      <c r="J32" s="80">
        <v>31</v>
      </c>
      <c r="K32" t="s" s="79">
        <v>715</v>
      </c>
      <c r="L32" t="s" s="79">
        <v>121</v>
      </c>
      <c r="M32" s="78"/>
      <c r="N32" s="78"/>
      <c r="O32" s="78"/>
      <c r="P32" s="80">
        <v>2</v>
      </c>
      <c r="Q32" s="81">
        <v>6.5</v>
      </c>
      <c r="R32" s="81">
        <v>6.5</v>
      </c>
      <c r="S32" s="80">
        <v>0</v>
      </c>
      <c r="T32" s="80">
        <v>0</v>
      </c>
      <c r="U32" t="s" s="79">
        <v>122</v>
      </c>
      <c r="V32" s="80">
        <v>37</v>
      </c>
      <c r="W32" s="81">
        <v>6.09</v>
      </c>
      <c r="X32" s="81">
        <v>6.2</v>
      </c>
      <c r="Y32" s="80">
        <v>2</v>
      </c>
      <c r="Z32" s="80">
        <v>1</v>
      </c>
      <c r="AA32" t="s" s="79">
        <v>123</v>
      </c>
      <c r="AB32" t="s" s="79">
        <v>124</v>
      </c>
      <c r="AC32" t="s" s="79">
        <v>124</v>
      </c>
      <c r="AD32" t="s" s="82">
        <v>125</v>
      </c>
      <c r="AE32" s="67"/>
    </row>
    <row r="33" ht="15" customHeight="1">
      <c r="A33" t="s" s="83">
        <v>28</v>
      </c>
      <c r="B33" s="69">
        <v>73.09999999999999</v>
      </c>
      <c r="C33" t="b" s="70">
        <v>0</v>
      </c>
      <c r="D33" s="71"/>
      <c r="E33" t="s" s="72">
        <v>716</v>
      </c>
      <c r="F33" t="s" s="72">
        <v>172</v>
      </c>
      <c r="G33" s="73">
        <v>38</v>
      </c>
      <c r="H33" t="s" s="72">
        <v>717</v>
      </c>
      <c r="I33" t="s" s="72">
        <v>718</v>
      </c>
      <c r="J33" s="73">
        <v>27</v>
      </c>
      <c r="K33" t="s" s="72">
        <v>313</v>
      </c>
      <c r="L33" t="s" s="72">
        <v>154</v>
      </c>
      <c r="M33" s="71"/>
      <c r="N33" s="71"/>
      <c r="O33" s="71"/>
      <c r="P33" s="73">
        <v>2</v>
      </c>
      <c r="Q33" s="74">
        <v>6.25</v>
      </c>
      <c r="R33" s="74">
        <v>6.25</v>
      </c>
      <c r="S33" s="73">
        <v>0</v>
      </c>
      <c r="T33" s="73">
        <v>0</v>
      </c>
      <c r="U33" t="s" s="72">
        <v>122</v>
      </c>
      <c r="V33" s="73">
        <v>31</v>
      </c>
      <c r="W33" s="74">
        <v>6.27</v>
      </c>
      <c r="X33" s="74">
        <v>6.61</v>
      </c>
      <c r="Y33" s="73">
        <v>4</v>
      </c>
      <c r="Z33" s="73">
        <v>3</v>
      </c>
      <c r="AA33" t="s" s="72">
        <v>123</v>
      </c>
      <c r="AB33" t="s" s="72">
        <v>124</v>
      </c>
      <c r="AC33" t="s" s="72">
        <v>124</v>
      </c>
      <c r="AD33" t="s" s="75">
        <v>125</v>
      </c>
      <c r="AE33" s="67"/>
    </row>
    <row r="34" ht="15" customHeight="1">
      <c r="A34" t="s" s="83">
        <v>28</v>
      </c>
      <c r="B34" s="76">
        <v>72.90000000000001</v>
      </c>
      <c r="C34" t="b" s="77">
        <v>0</v>
      </c>
      <c r="D34" t="s" s="85">
        <v>161</v>
      </c>
      <c r="E34" t="s" s="79">
        <v>719</v>
      </c>
      <c r="F34" t="s" s="79">
        <v>130</v>
      </c>
      <c r="G34" s="80">
        <v>39</v>
      </c>
      <c r="H34" t="s" s="79">
        <v>175</v>
      </c>
      <c r="I34" t="s" s="79">
        <v>720</v>
      </c>
      <c r="J34" s="80">
        <v>27</v>
      </c>
      <c r="K34" t="s" s="79">
        <v>399</v>
      </c>
      <c r="L34" t="s" s="79">
        <v>121</v>
      </c>
      <c r="M34" s="78"/>
      <c r="N34" t="s" s="79">
        <v>311</v>
      </c>
      <c r="O34" s="78"/>
      <c r="P34" s="80">
        <v>2</v>
      </c>
      <c r="Q34" s="81">
        <v>6.5</v>
      </c>
      <c r="R34" s="81">
        <v>7</v>
      </c>
      <c r="S34" s="80">
        <v>0</v>
      </c>
      <c r="T34" s="80">
        <v>1</v>
      </c>
      <c r="U34" t="s" s="79">
        <v>122</v>
      </c>
      <c r="V34" s="80">
        <v>35</v>
      </c>
      <c r="W34" s="81">
        <v>6.23</v>
      </c>
      <c r="X34" s="81">
        <v>6.5</v>
      </c>
      <c r="Y34" s="80">
        <v>3</v>
      </c>
      <c r="Z34" s="80">
        <v>3</v>
      </c>
      <c r="AA34" t="s" s="79">
        <v>123</v>
      </c>
      <c r="AB34" t="s" s="79">
        <v>124</v>
      </c>
      <c r="AC34" t="s" s="79">
        <v>124</v>
      </c>
      <c r="AD34" t="s" s="82">
        <v>125</v>
      </c>
      <c r="AE34" s="67"/>
    </row>
    <row r="35" ht="15" customHeight="1">
      <c r="A35" t="s" s="83">
        <v>28</v>
      </c>
      <c r="B35" s="69">
        <v>72.7</v>
      </c>
      <c r="C35" t="b" s="70">
        <v>0</v>
      </c>
      <c r="D35" s="71"/>
      <c r="E35" t="s" s="72">
        <v>721</v>
      </c>
      <c r="F35" t="s" s="72">
        <v>134</v>
      </c>
      <c r="G35" s="73">
        <v>38</v>
      </c>
      <c r="H35" t="s" s="72">
        <v>164</v>
      </c>
      <c r="I35" t="s" s="72">
        <v>401</v>
      </c>
      <c r="J35" s="73">
        <v>25</v>
      </c>
      <c r="K35" t="s" s="72">
        <v>304</v>
      </c>
      <c r="L35" t="s" s="72">
        <v>121</v>
      </c>
      <c r="M35" s="71"/>
      <c r="N35" s="71"/>
      <c r="O35" s="71"/>
      <c r="P35" s="73">
        <v>1</v>
      </c>
      <c r="Q35" s="74">
        <v>6</v>
      </c>
      <c r="R35" s="74">
        <v>6</v>
      </c>
      <c r="S35" s="73">
        <v>0</v>
      </c>
      <c r="T35" s="73">
        <v>0</v>
      </c>
      <c r="U35" t="s" s="72">
        <v>122</v>
      </c>
      <c r="V35" s="71"/>
      <c r="W35" s="71"/>
      <c r="X35" s="71"/>
      <c r="Y35" s="71"/>
      <c r="Z35" s="71"/>
      <c r="AA35" s="71"/>
      <c r="AB35" t="s" s="72">
        <v>124</v>
      </c>
      <c r="AC35" t="s" s="72">
        <v>124</v>
      </c>
      <c r="AD35" t="s" s="75">
        <v>125</v>
      </c>
      <c r="AE35" s="67"/>
    </row>
    <row r="36" ht="15" customHeight="1">
      <c r="A36" t="s" s="83">
        <v>28</v>
      </c>
      <c r="B36" s="76">
        <v>71.90000000000001</v>
      </c>
      <c r="C36" t="b" s="77">
        <v>0</v>
      </c>
      <c r="D36" s="78"/>
      <c r="E36" t="s" s="79">
        <v>722</v>
      </c>
      <c r="F36" t="s" s="79">
        <v>149</v>
      </c>
      <c r="G36" s="80">
        <v>30</v>
      </c>
      <c r="H36" t="s" s="79">
        <v>118</v>
      </c>
      <c r="I36" t="s" s="79">
        <v>135</v>
      </c>
      <c r="J36" s="80">
        <v>26</v>
      </c>
      <c r="K36" t="s" s="79">
        <v>128</v>
      </c>
      <c r="L36" t="s" s="79">
        <v>121</v>
      </c>
      <c r="M36" s="78"/>
      <c r="N36" s="78"/>
      <c r="O36" s="78"/>
      <c r="P36" s="80">
        <v>2</v>
      </c>
      <c r="Q36" s="81">
        <v>7.25</v>
      </c>
      <c r="R36" s="81">
        <v>10.25</v>
      </c>
      <c r="S36" s="80">
        <v>2</v>
      </c>
      <c r="T36" s="80">
        <v>0</v>
      </c>
      <c r="U36" t="s" s="79">
        <v>122</v>
      </c>
      <c r="V36" s="80">
        <v>15</v>
      </c>
      <c r="W36" s="81">
        <v>5.9</v>
      </c>
      <c r="X36" s="81">
        <v>5.9</v>
      </c>
      <c r="Y36" s="80">
        <v>0</v>
      </c>
      <c r="Z36" s="80">
        <v>0</v>
      </c>
      <c r="AA36" t="s" s="79">
        <v>123</v>
      </c>
      <c r="AB36" t="s" s="79">
        <v>124</v>
      </c>
      <c r="AC36" t="s" s="79">
        <v>124</v>
      </c>
      <c r="AD36" t="s" s="82">
        <v>125</v>
      </c>
      <c r="AE36" s="67"/>
    </row>
    <row r="37" ht="15" customHeight="1">
      <c r="A37" t="s" s="83">
        <v>28</v>
      </c>
      <c r="B37" s="69">
        <v>71.8</v>
      </c>
      <c r="C37" t="b" s="70">
        <v>0</v>
      </c>
      <c r="D37" s="71"/>
      <c r="E37" t="s" s="72">
        <v>723</v>
      </c>
      <c r="F37" t="s" s="72">
        <v>153</v>
      </c>
      <c r="G37" s="73">
        <v>31</v>
      </c>
      <c r="H37" t="s" s="72">
        <v>118</v>
      </c>
      <c r="I37" t="s" s="72">
        <v>118</v>
      </c>
      <c r="J37" s="73">
        <v>30</v>
      </c>
      <c r="K37" t="s" s="72">
        <v>724</v>
      </c>
      <c r="L37" t="s" s="72">
        <v>121</v>
      </c>
      <c r="M37" s="71"/>
      <c r="N37" s="71"/>
      <c r="O37" s="71"/>
      <c r="P37" s="73">
        <v>2</v>
      </c>
      <c r="Q37" s="74">
        <v>5.25</v>
      </c>
      <c r="R37" s="74">
        <v>5.25</v>
      </c>
      <c r="S37" s="73">
        <v>0</v>
      </c>
      <c r="T37" s="73">
        <v>0</v>
      </c>
      <c r="U37" t="s" s="72">
        <v>122</v>
      </c>
      <c r="V37" s="73">
        <v>18</v>
      </c>
      <c r="W37" s="74">
        <v>6.14</v>
      </c>
      <c r="X37" s="74">
        <v>6.83</v>
      </c>
      <c r="Y37" s="73">
        <v>4</v>
      </c>
      <c r="Z37" s="73">
        <v>1</v>
      </c>
      <c r="AA37" t="s" s="72">
        <v>123</v>
      </c>
      <c r="AB37" t="s" s="72">
        <v>124</v>
      </c>
      <c r="AC37" t="s" s="72">
        <v>124</v>
      </c>
      <c r="AD37" t="s" s="75">
        <v>125</v>
      </c>
      <c r="AE37" s="67"/>
    </row>
    <row r="38" ht="15" customHeight="1">
      <c r="A38" t="s" s="83">
        <v>28</v>
      </c>
      <c r="B38" s="76">
        <v>71.7</v>
      </c>
      <c r="C38" t="b" s="77">
        <v>0</v>
      </c>
      <c r="D38" s="78"/>
      <c r="E38" t="s" s="79">
        <v>725</v>
      </c>
      <c r="F38" t="s" s="79">
        <v>149</v>
      </c>
      <c r="G38" s="80">
        <v>38</v>
      </c>
      <c r="H38" t="s" s="79">
        <v>175</v>
      </c>
      <c r="I38" t="s" s="79">
        <v>726</v>
      </c>
      <c r="J38" s="80">
        <v>29</v>
      </c>
      <c r="K38" t="s" s="79">
        <v>727</v>
      </c>
      <c r="L38" t="s" s="79">
        <v>121</v>
      </c>
      <c r="M38" s="78"/>
      <c r="N38" s="78"/>
      <c r="O38" s="78"/>
      <c r="P38" s="80">
        <v>1</v>
      </c>
      <c r="Q38" s="81">
        <v>4.5</v>
      </c>
      <c r="R38" s="81">
        <v>4</v>
      </c>
      <c r="S38" s="80">
        <v>0</v>
      </c>
      <c r="T38" s="80">
        <v>0</v>
      </c>
      <c r="U38" t="s" s="79">
        <v>122</v>
      </c>
      <c r="V38" s="80">
        <v>32</v>
      </c>
      <c r="W38" s="81">
        <v>5.77</v>
      </c>
      <c r="X38" s="81">
        <v>6.23</v>
      </c>
      <c r="Y38" s="80">
        <v>5</v>
      </c>
      <c r="Z38" s="80">
        <v>3</v>
      </c>
      <c r="AA38" t="s" s="79">
        <v>681</v>
      </c>
      <c r="AB38" t="s" s="79">
        <v>124</v>
      </c>
      <c r="AC38" t="s" s="79">
        <v>124</v>
      </c>
      <c r="AD38" t="s" s="82">
        <v>125</v>
      </c>
      <c r="AE38" s="67"/>
    </row>
    <row r="39" ht="15" customHeight="1">
      <c r="A39" t="s" s="83">
        <v>28</v>
      </c>
      <c r="B39" s="69">
        <v>71.40000000000001</v>
      </c>
      <c r="C39" t="b" s="70">
        <v>0</v>
      </c>
      <c r="D39" s="71"/>
      <c r="E39" t="s" s="72">
        <v>728</v>
      </c>
      <c r="F39" t="s" s="72">
        <v>163</v>
      </c>
      <c r="G39" s="73">
        <v>30</v>
      </c>
      <c r="H39" t="s" s="72">
        <v>118</v>
      </c>
      <c r="I39" t="s" s="72">
        <v>306</v>
      </c>
      <c r="J39" s="73">
        <v>29</v>
      </c>
      <c r="K39" t="s" s="72">
        <v>128</v>
      </c>
      <c r="L39" t="s" s="72">
        <v>154</v>
      </c>
      <c r="M39" s="71"/>
      <c r="N39" s="71"/>
      <c r="O39" s="71"/>
      <c r="P39" s="73">
        <v>2</v>
      </c>
      <c r="Q39" s="74">
        <v>5.25</v>
      </c>
      <c r="R39" s="74">
        <v>5.25</v>
      </c>
      <c r="S39" s="73">
        <v>0</v>
      </c>
      <c r="T39" s="73">
        <v>0</v>
      </c>
      <c r="U39" t="s" s="72">
        <v>122</v>
      </c>
      <c r="V39" s="73">
        <v>34</v>
      </c>
      <c r="W39" s="74">
        <v>5.99</v>
      </c>
      <c r="X39" s="74">
        <v>6.56</v>
      </c>
      <c r="Y39" s="73">
        <v>7</v>
      </c>
      <c r="Z39" s="73">
        <v>2</v>
      </c>
      <c r="AA39" t="s" s="72">
        <v>291</v>
      </c>
      <c r="AB39" t="s" s="72">
        <v>124</v>
      </c>
      <c r="AC39" t="s" s="72">
        <v>124</v>
      </c>
      <c r="AD39" t="s" s="75">
        <v>125</v>
      </c>
      <c r="AE39" s="67"/>
    </row>
    <row r="40" ht="15" customHeight="1">
      <c r="A40" t="s" s="83">
        <v>28</v>
      </c>
      <c r="B40" s="76">
        <v>70.09999999999999</v>
      </c>
      <c r="C40" t="b" s="77">
        <v>0</v>
      </c>
      <c r="D40" t="s" s="85">
        <v>178</v>
      </c>
      <c r="E40" t="s" s="79">
        <v>729</v>
      </c>
      <c r="F40" t="s" s="79">
        <v>130</v>
      </c>
      <c r="G40" s="80">
        <v>34</v>
      </c>
      <c r="H40" t="s" s="79">
        <v>730</v>
      </c>
      <c r="I40" t="s" s="79">
        <v>731</v>
      </c>
      <c r="J40" s="80">
        <v>22</v>
      </c>
      <c r="K40" t="s" s="79">
        <v>732</v>
      </c>
      <c r="L40" t="s" s="79">
        <v>154</v>
      </c>
      <c r="M40" s="78"/>
      <c r="N40" s="78"/>
      <c r="O40" s="78"/>
      <c r="P40" s="80">
        <v>0</v>
      </c>
      <c r="Q40" s="81">
        <v>0</v>
      </c>
      <c r="R40" s="81">
        <v>0</v>
      </c>
      <c r="S40" s="80">
        <v>0</v>
      </c>
      <c r="T40" s="80">
        <v>0</v>
      </c>
      <c r="U40" t="s" s="79">
        <v>122</v>
      </c>
      <c r="V40" s="78"/>
      <c r="W40" s="78"/>
      <c r="X40" s="78"/>
      <c r="Y40" s="78"/>
      <c r="Z40" s="78"/>
      <c r="AA40" s="78"/>
      <c r="AB40" t="s" s="79">
        <v>124</v>
      </c>
      <c r="AC40" t="s" s="79">
        <v>124</v>
      </c>
      <c r="AD40" t="s" s="82">
        <v>125</v>
      </c>
      <c r="AE40" s="67"/>
    </row>
    <row r="41" ht="15" customHeight="1">
      <c r="A41" t="s" s="83">
        <v>28</v>
      </c>
      <c r="B41" s="69">
        <v>69.3</v>
      </c>
      <c r="C41" t="b" s="70">
        <v>0</v>
      </c>
      <c r="D41" s="71"/>
      <c r="E41" t="s" s="72">
        <v>733</v>
      </c>
      <c r="F41" t="s" s="72">
        <v>193</v>
      </c>
      <c r="G41" s="73">
        <v>28</v>
      </c>
      <c r="H41" t="s" s="72">
        <v>164</v>
      </c>
      <c r="I41" t="s" s="72">
        <v>734</v>
      </c>
      <c r="J41" s="73">
        <v>25</v>
      </c>
      <c r="K41" t="s" s="72">
        <v>136</v>
      </c>
      <c r="L41" t="s" s="72">
        <v>154</v>
      </c>
      <c r="M41" s="71"/>
      <c r="N41" t="s" s="72">
        <v>655</v>
      </c>
      <c r="O41" t="s" s="88">
        <v>268</v>
      </c>
      <c r="P41" s="73">
        <v>2</v>
      </c>
      <c r="Q41" s="74">
        <v>5.75</v>
      </c>
      <c r="R41" s="74">
        <v>5.75</v>
      </c>
      <c r="S41" s="73">
        <v>0</v>
      </c>
      <c r="T41" s="73">
        <v>0</v>
      </c>
      <c r="U41" t="s" s="72">
        <v>122</v>
      </c>
      <c r="V41" s="73">
        <v>32</v>
      </c>
      <c r="W41" s="74">
        <v>6.08</v>
      </c>
      <c r="X41" s="74">
        <v>6.39</v>
      </c>
      <c r="Y41" s="73">
        <v>3</v>
      </c>
      <c r="Z41" s="73">
        <v>1</v>
      </c>
      <c r="AA41" t="s" s="72">
        <v>123</v>
      </c>
      <c r="AB41" t="s" s="72">
        <v>124</v>
      </c>
      <c r="AC41" t="s" s="72">
        <v>124</v>
      </c>
      <c r="AD41" t="s" s="75">
        <v>125</v>
      </c>
      <c r="AE41" s="67"/>
    </row>
    <row r="42" ht="15" customHeight="1">
      <c r="A42" t="s" s="83">
        <v>28</v>
      </c>
      <c r="B42" s="76">
        <v>69.2</v>
      </c>
      <c r="C42" t="b" s="77">
        <v>0</v>
      </c>
      <c r="D42" t="s" s="85">
        <v>161</v>
      </c>
      <c r="E42" t="s" s="79">
        <v>735</v>
      </c>
      <c r="F42" t="s" s="79">
        <v>130</v>
      </c>
      <c r="G42" s="80">
        <v>30</v>
      </c>
      <c r="H42" t="s" s="79">
        <v>736</v>
      </c>
      <c r="I42" t="s" s="79">
        <v>737</v>
      </c>
      <c r="J42" s="80">
        <v>27</v>
      </c>
      <c r="K42" t="s" s="79">
        <v>738</v>
      </c>
      <c r="L42" t="s" s="79">
        <v>154</v>
      </c>
      <c r="M42" s="78"/>
      <c r="N42" s="78"/>
      <c r="O42" s="78"/>
      <c r="P42" s="80">
        <v>2</v>
      </c>
      <c r="Q42" s="81">
        <v>6.75</v>
      </c>
      <c r="R42" s="81">
        <v>7.25</v>
      </c>
      <c r="S42" s="80">
        <v>0</v>
      </c>
      <c r="T42" s="80">
        <v>1</v>
      </c>
      <c r="U42" t="s" s="79">
        <v>122</v>
      </c>
      <c r="V42" s="80">
        <v>1</v>
      </c>
      <c r="W42" s="81">
        <v>5.5</v>
      </c>
      <c r="X42" s="81">
        <v>5.5</v>
      </c>
      <c r="Y42" s="80">
        <v>0</v>
      </c>
      <c r="Z42" s="80">
        <v>0</v>
      </c>
      <c r="AA42" t="s" s="79">
        <v>123</v>
      </c>
      <c r="AB42" t="s" s="79">
        <v>124</v>
      </c>
      <c r="AC42" t="s" s="79">
        <v>124</v>
      </c>
      <c r="AD42" t="s" s="82">
        <v>125</v>
      </c>
      <c r="AE42" s="67"/>
    </row>
    <row r="43" ht="15" customHeight="1">
      <c r="A43" t="s" s="83">
        <v>28</v>
      </c>
      <c r="B43" s="69">
        <v>68.3</v>
      </c>
      <c r="C43" t="b" s="70">
        <v>0</v>
      </c>
      <c r="D43" s="71"/>
      <c r="E43" t="s" s="72">
        <v>739</v>
      </c>
      <c r="F43" t="s" s="72">
        <v>153</v>
      </c>
      <c r="G43" s="73">
        <v>35</v>
      </c>
      <c r="H43" t="s" s="72">
        <v>175</v>
      </c>
      <c r="I43" t="s" s="72">
        <v>740</v>
      </c>
      <c r="J43" s="73">
        <v>33</v>
      </c>
      <c r="K43" t="s" s="72">
        <v>128</v>
      </c>
      <c r="L43" t="s" s="72">
        <v>154</v>
      </c>
      <c r="M43" s="71"/>
      <c r="N43" t="s" s="72">
        <v>272</v>
      </c>
      <c r="O43" s="71"/>
      <c r="P43" s="73">
        <v>2</v>
      </c>
      <c r="Q43" s="74">
        <v>5.5</v>
      </c>
      <c r="R43" s="74">
        <v>5.25</v>
      </c>
      <c r="S43" s="73">
        <v>0</v>
      </c>
      <c r="T43" s="73">
        <v>0</v>
      </c>
      <c r="U43" t="s" s="72">
        <v>122</v>
      </c>
      <c r="V43" s="73">
        <v>33</v>
      </c>
      <c r="W43" s="74">
        <v>6.06</v>
      </c>
      <c r="X43" s="74">
        <v>6.33</v>
      </c>
      <c r="Y43" s="73">
        <v>2</v>
      </c>
      <c r="Z43" s="73">
        <v>5</v>
      </c>
      <c r="AA43" t="s" s="72">
        <v>123</v>
      </c>
      <c r="AB43" t="s" s="72">
        <v>124</v>
      </c>
      <c r="AC43" t="s" s="72">
        <v>124</v>
      </c>
      <c r="AD43" t="s" s="75">
        <v>125</v>
      </c>
      <c r="AE43" s="67"/>
    </row>
    <row r="44" ht="15" customHeight="1">
      <c r="A44" t="s" s="83">
        <v>28</v>
      </c>
      <c r="B44" s="76">
        <v>68</v>
      </c>
      <c r="C44" t="b" s="77">
        <v>0</v>
      </c>
      <c r="D44" t="s" s="85">
        <v>178</v>
      </c>
      <c r="E44" t="s" s="79">
        <v>741</v>
      </c>
      <c r="F44" t="s" s="79">
        <v>117</v>
      </c>
      <c r="G44" s="80">
        <v>30</v>
      </c>
      <c r="H44" t="s" s="79">
        <v>118</v>
      </c>
      <c r="I44" t="s" s="79">
        <v>181</v>
      </c>
      <c r="J44" s="80">
        <v>19</v>
      </c>
      <c r="K44" t="s" s="79">
        <v>325</v>
      </c>
      <c r="L44" t="s" s="79">
        <v>121</v>
      </c>
      <c r="M44" s="78"/>
      <c r="N44" s="78"/>
      <c r="O44" s="78"/>
      <c r="P44" s="80">
        <v>2</v>
      </c>
      <c r="Q44" s="81">
        <v>6.5</v>
      </c>
      <c r="R44" s="81">
        <v>8</v>
      </c>
      <c r="S44" s="80">
        <v>1</v>
      </c>
      <c r="T44" s="80">
        <v>0</v>
      </c>
      <c r="U44" t="s" s="79">
        <v>122</v>
      </c>
      <c r="V44" s="78"/>
      <c r="W44" s="78"/>
      <c r="X44" s="78"/>
      <c r="Y44" s="78"/>
      <c r="Z44" s="78"/>
      <c r="AA44" s="78"/>
      <c r="AB44" t="s" s="79">
        <v>124</v>
      </c>
      <c r="AC44" t="s" s="79">
        <v>124</v>
      </c>
      <c r="AD44" t="s" s="82">
        <v>125</v>
      </c>
      <c r="AE44" s="67"/>
    </row>
    <row r="45" ht="15" customHeight="1">
      <c r="A45" t="s" s="83">
        <v>28</v>
      </c>
      <c r="B45" s="69">
        <v>66.09999999999999</v>
      </c>
      <c r="C45" t="b" s="70">
        <v>0</v>
      </c>
      <c r="D45" s="71"/>
      <c r="E45" t="s" s="72">
        <v>742</v>
      </c>
      <c r="F45" t="s" s="72">
        <v>153</v>
      </c>
      <c r="G45" s="73">
        <v>27</v>
      </c>
      <c r="H45" t="s" s="72">
        <v>118</v>
      </c>
      <c r="I45" t="s" s="72">
        <v>131</v>
      </c>
      <c r="J45" s="73">
        <v>31</v>
      </c>
      <c r="K45" t="s" s="72">
        <v>406</v>
      </c>
      <c r="L45" t="s" s="72">
        <v>328</v>
      </c>
      <c r="M45" s="71"/>
      <c r="N45" s="71"/>
      <c r="O45" s="71"/>
      <c r="P45" s="73">
        <v>2</v>
      </c>
      <c r="Q45" s="74">
        <v>6.25</v>
      </c>
      <c r="R45" s="74">
        <v>6.25</v>
      </c>
      <c r="S45" s="73">
        <v>0</v>
      </c>
      <c r="T45" s="73">
        <v>0</v>
      </c>
      <c r="U45" t="s" s="72">
        <v>122</v>
      </c>
      <c r="V45" s="73">
        <v>31</v>
      </c>
      <c r="W45" s="74">
        <v>6.08</v>
      </c>
      <c r="X45" s="74">
        <v>6.13</v>
      </c>
      <c r="Y45" s="73">
        <v>1</v>
      </c>
      <c r="Z45" s="73">
        <v>0</v>
      </c>
      <c r="AA45" t="s" s="72">
        <v>123</v>
      </c>
      <c r="AB45" t="s" s="72">
        <v>124</v>
      </c>
      <c r="AC45" t="s" s="72">
        <v>124</v>
      </c>
      <c r="AD45" t="s" s="75">
        <v>125</v>
      </c>
      <c r="AE45" s="67"/>
    </row>
    <row r="46" ht="15" customHeight="1">
      <c r="A46" t="s" s="83">
        <v>28</v>
      </c>
      <c r="B46" s="76">
        <v>65.59999999999999</v>
      </c>
      <c r="C46" t="b" s="77">
        <v>0</v>
      </c>
      <c r="D46" s="78"/>
      <c r="E46" t="s" s="79">
        <v>743</v>
      </c>
      <c r="F46" t="s" s="79">
        <v>159</v>
      </c>
      <c r="G46" s="80">
        <v>23</v>
      </c>
      <c r="H46" t="s" s="79">
        <v>118</v>
      </c>
      <c r="I46" t="s" s="79">
        <v>119</v>
      </c>
      <c r="J46" s="80">
        <v>31</v>
      </c>
      <c r="K46" t="s" s="79">
        <v>197</v>
      </c>
      <c r="L46" t="s" s="79">
        <v>121</v>
      </c>
      <c r="M46" s="78"/>
      <c r="N46" s="78"/>
      <c r="O46" s="78"/>
      <c r="P46" s="80">
        <v>2</v>
      </c>
      <c r="Q46" s="81">
        <v>6</v>
      </c>
      <c r="R46" s="81">
        <v>6</v>
      </c>
      <c r="S46" s="80">
        <v>0</v>
      </c>
      <c r="T46" s="80">
        <v>0</v>
      </c>
      <c r="U46" t="s" s="79">
        <v>122</v>
      </c>
      <c r="V46" s="80">
        <v>36</v>
      </c>
      <c r="W46" s="81">
        <v>5.9</v>
      </c>
      <c r="X46" s="81">
        <v>5.9</v>
      </c>
      <c r="Y46" s="80">
        <v>1</v>
      </c>
      <c r="Z46" s="80">
        <v>0</v>
      </c>
      <c r="AA46" t="s" s="79">
        <v>123</v>
      </c>
      <c r="AB46" t="s" s="79">
        <v>124</v>
      </c>
      <c r="AC46" t="s" s="79">
        <v>124</v>
      </c>
      <c r="AD46" t="s" s="82">
        <v>125</v>
      </c>
      <c r="AE46" s="67"/>
    </row>
    <row r="47" ht="15" customHeight="1">
      <c r="A47" t="s" s="83">
        <v>28</v>
      </c>
      <c r="B47" s="69">
        <v>65.5</v>
      </c>
      <c r="C47" t="b" s="70">
        <v>0</v>
      </c>
      <c r="D47" t="s" s="84">
        <v>191</v>
      </c>
      <c r="E47" t="s" s="72">
        <v>744</v>
      </c>
      <c r="F47" t="s" s="72">
        <v>180</v>
      </c>
      <c r="G47" s="73">
        <v>24</v>
      </c>
      <c r="H47" t="s" s="72">
        <v>118</v>
      </c>
      <c r="I47" t="s" s="72">
        <v>745</v>
      </c>
      <c r="J47" s="73">
        <v>29</v>
      </c>
      <c r="K47" t="s" s="72">
        <v>128</v>
      </c>
      <c r="L47" t="s" s="72">
        <v>121</v>
      </c>
      <c r="M47" s="71"/>
      <c r="N47" t="s" s="72">
        <v>655</v>
      </c>
      <c r="O47" s="71"/>
      <c r="P47" s="73">
        <v>2</v>
      </c>
      <c r="Q47" s="74">
        <v>6.5</v>
      </c>
      <c r="R47" s="74">
        <v>7</v>
      </c>
      <c r="S47" s="73">
        <v>0</v>
      </c>
      <c r="T47" s="73">
        <v>1</v>
      </c>
      <c r="U47" t="s" s="72">
        <v>122</v>
      </c>
      <c r="V47" s="71"/>
      <c r="W47" s="71"/>
      <c r="X47" s="71"/>
      <c r="Y47" s="71"/>
      <c r="Z47" s="71"/>
      <c r="AA47" s="71"/>
      <c r="AB47" t="s" s="72">
        <v>124</v>
      </c>
      <c r="AC47" t="s" s="72">
        <v>124</v>
      </c>
      <c r="AD47" t="s" s="75">
        <v>125</v>
      </c>
      <c r="AE47" s="67"/>
    </row>
    <row r="48" ht="15" customHeight="1">
      <c r="A48" t="s" s="83">
        <v>28</v>
      </c>
      <c r="B48" s="76">
        <v>65.5</v>
      </c>
      <c r="C48" t="b" s="77">
        <v>0</v>
      </c>
      <c r="D48" s="78"/>
      <c r="E48" t="s" s="79">
        <v>746</v>
      </c>
      <c r="F48" t="s" s="79">
        <v>141</v>
      </c>
      <c r="G48" s="80">
        <v>34</v>
      </c>
      <c r="H48" t="s" s="79">
        <v>175</v>
      </c>
      <c r="I48" t="s" s="79">
        <v>175</v>
      </c>
      <c r="J48" s="80">
        <v>26</v>
      </c>
      <c r="K48" t="s" s="79">
        <v>142</v>
      </c>
      <c r="L48" t="s" s="79">
        <v>121</v>
      </c>
      <c r="M48" s="78"/>
      <c r="N48" s="78"/>
      <c r="O48" s="78"/>
      <c r="P48" s="80">
        <v>2</v>
      </c>
      <c r="Q48" s="81">
        <v>6</v>
      </c>
      <c r="R48" s="81">
        <v>6</v>
      </c>
      <c r="S48" s="80">
        <v>0</v>
      </c>
      <c r="T48" s="80">
        <v>0</v>
      </c>
      <c r="U48" t="s" s="79">
        <v>122</v>
      </c>
      <c r="V48" s="80">
        <v>29</v>
      </c>
      <c r="W48" s="81">
        <v>6.12</v>
      </c>
      <c r="X48" s="81">
        <v>6.41</v>
      </c>
      <c r="Y48" s="80">
        <v>2</v>
      </c>
      <c r="Z48" s="80">
        <v>4</v>
      </c>
      <c r="AA48" t="s" s="79">
        <v>123</v>
      </c>
      <c r="AB48" t="s" s="79">
        <v>124</v>
      </c>
      <c r="AC48" t="s" s="79">
        <v>124</v>
      </c>
      <c r="AD48" t="s" s="82">
        <v>125</v>
      </c>
      <c r="AE48" s="67"/>
    </row>
    <row r="49" ht="15" customHeight="1">
      <c r="A49" t="s" s="83">
        <v>28</v>
      </c>
      <c r="B49" s="69">
        <v>65.5</v>
      </c>
      <c r="C49" t="b" s="70">
        <v>0</v>
      </c>
      <c r="D49" s="71"/>
      <c r="E49" t="s" s="72">
        <v>747</v>
      </c>
      <c r="F49" t="s" s="72">
        <v>168</v>
      </c>
      <c r="G49" s="73">
        <v>24</v>
      </c>
      <c r="H49" t="s" s="72">
        <v>118</v>
      </c>
      <c r="I49" t="s" s="72">
        <v>748</v>
      </c>
      <c r="J49" s="73">
        <v>25</v>
      </c>
      <c r="K49" t="s" s="72">
        <v>593</v>
      </c>
      <c r="L49" t="s" s="72">
        <v>121</v>
      </c>
      <c r="M49" s="71"/>
      <c r="N49" t="s" s="72">
        <v>655</v>
      </c>
      <c r="O49" s="71"/>
      <c r="P49" s="73">
        <v>2</v>
      </c>
      <c r="Q49" s="74">
        <v>5.75</v>
      </c>
      <c r="R49" s="74">
        <v>5.75</v>
      </c>
      <c r="S49" s="73">
        <v>0</v>
      </c>
      <c r="T49" s="73">
        <v>0</v>
      </c>
      <c r="U49" t="s" s="72">
        <v>122</v>
      </c>
      <c r="V49" s="73">
        <v>37</v>
      </c>
      <c r="W49" s="74">
        <v>5.73</v>
      </c>
      <c r="X49" s="74">
        <v>5.78</v>
      </c>
      <c r="Y49" s="73">
        <v>1</v>
      </c>
      <c r="Z49" s="73">
        <v>1</v>
      </c>
      <c r="AA49" t="s" s="72">
        <v>123</v>
      </c>
      <c r="AB49" t="s" s="72">
        <v>124</v>
      </c>
      <c r="AC49" t="s" s="72">
        <v>124</v>
      </c>
      <c r="AD49" t="s" s="75">
        <v>125</v>
      </c>
      <c r="AE49" s="67"/>
    </row>
    <row r="50" ht="15" customHeight="1">
      <c r="A50" t="s" s="83">
        <v>28</v>
      </c>
      <c r="B50" s="76">
        <v>65.2</v>
      </c>
      <c r="C50" t="b" s="77">
        <v>0</v>
      </c>
      <c r="D50" s="78"/>
      <c r="E50" t="s" s="79">
        <v>544</v>
      </c>
      <c r="F50" t="s" s="79">
        <v>117</v>
      </c>
      <c r="G50" s="80">
        <v>44</v>
      </c>
      <c r="H50" t="s" s="79">
        <v>175</v>
      </c>
      <c r="I50" t="s" s="79">
        <v>749</v>
      </c>
      <c r="J50" s="80">
        <v>30</v>
      </c>
      <c r="K50" t="s" s="79">
        <v>128</v>
      </c>
      <c r="L50" t="s" s="79">
        <v>121</v>
      </c>
      <c r="M50" s="78"/>
      <c r="N50" t="s" s="79">
        <v>272</v>
      </c>
      <c r="O50" t="s" s="88">
        <v>268</v>
      </c>
      <c r="P50" s="80">
        <v>0</v>
      </c>
      <c r="Q50" s="81">
        <v>0</v>
      </c>
      <c r="R50" s="81">
        <v>0</v>
      </c>
      <c r="S50" s="80">
        <v>0</v>
      </c>
      <c r="T50" s="80">
        <v>0</v>
      </c>
      <c r="U50" t="s" s="79">
        <v>122</v>
      </c>
      <c r="V50" s="80">
        <v>24</v>
      </c>
      <c r="W50" s="81">
        <v>6.04</v>
      </c>
      <c r="X50" s="81">
        <v>6.58</v>
      </c>
      <c r="Y50" s="80">
        <v>4</v>
      </c>
      <c r="Z50" s="80">
        <v>2</v>
      </c>
      <c r="AA50" t="s" s="79">
        <v>750</v>
      </c>
      <c r="AB50" t="s" s="79">
        <v>124</v>
      </c>
      <c r="AC50" t="s" s="79">
        <v>124</v>
      </c>
      <c r="AD50" t="s" s="82">
        <v>125</v>
      </c>
      <c r="AE50" s="67"/>
    </row>
    <row r="51" ht="15" customHeight="1">
      <c r="A51" t="s" s="83">
        <v>28</v>
      </c>
      <c r="B51" s="69">
        <v>64.8</v>
      </c>
      <c r="C51" t="b" s="70">
        <v>0</v>
      </c>
      <c r="D51" s="71"/>
      <c r="E51" t="s" s="72">
        <v>751</v>
      </c>
      <c r="F51" t="s" s="72">
        <v>127</v>
      </c>
      <c r="G51" s="73">
        <v>31</v>
      </c>
      <c r="H51" t="s" s="72">
        <v>164</v>
      </c>
      <c r="I51" t="s" s="72">
        <v>401</v>
      </c>
      <c r="J51" s="73">
        <v>29</v>
      </c>
      <c r="K51" t="s" s="72">
        <v>466</v>
      </c>
      <c r="L51" t="s" s="72">
        <v>121</v>
      </c>
      <c r="M51" s="71"/>
      <c r="N51" s="71"/>
      <c r="O51" s="71"/>
      <c r="P51" s="73">
        <v>0</v>
      </c>
      <c r="Q51" s="74">
        <v>0</v>
      </c>
      <c r="R51" s="74">
        <v>0</v>
      </c>
      <c r="S51" s="73">
        <v>0</v>
      </c>
      <c r="T51" s="73">
        <v>0</v>
      </c>
      <c r="U51" t="s" s="72">
        <v>122</v>
      </c>
      <c r="V51" s="71"/>
      <c r="W51" s="71"/>
      <c r="X51" s="71"/>
      <c r="Y51" s="71"/>
      <c r="Z51" s="71"/>
      <c r="AA51" s="71"/>
      <c r="AB51" t="s" s="72">
        <v>124</v>
      </c>
      <c r="AC51" t="s" s="72">
        <v>124</v>
      </c>
      <c r="AD51" t="s" s="75">
        <v>125</v>
      </c>
      <c r="AE51" s="67"/>
    </row>
    <row r="52" ht="15" customHeight="1">
      <c r="A52" t="s" s="83">
        <v>28</v>
      </c>
      <c r="B52" s="76">
        <v>64.09999999999999</v>
      </c>
      <c r="C52" t="b" s="77">
        <v>0</v>
      </c>
      <c r="D52" s="78"/>
      <c r="E52" t="s" s="79">
        <v>752</v>
      </c>
      <c r="F52" t="s" s="79">
        <v>170</v>
      </c>
      <c r="G52" s="80">
        <v>35</v>
      </c>
      <c r="H52" t="s" s="79">
        <v>175</v>
      </c>
      <c r="I52" t="s" s="79">
        <v>175</v>
      </c>
      <c r="J52" s="80">
        <v>28</v>
      </c>
      <c r="K52" t="s" s="79">
        <v>325</v>
      </c>
      <c r="L52" t="s" s="79">
        <v>121</v>
      </c>
      <c r="M52" s="78"/>
      <c r="N52" s="78"/>
      <c r="O52" s="78"/>
      <c r="P52" s="80">
        <v>0</v>
      </c>
      <c r="Q52" s="81">
        <v>0</v>
      </c>
      <c r="R52" s="81">
        <v>0</v>
      </c>
      <c r="S52" s="80">
        <v>0</v>
      </c>
      <c r="T52" s="80">
        <v>0</v>
      </c>
      <c r="U52" t="s" s="79">
        <v>122</v>
      </c>
      <c r="V52" s="80">
        <v>23</v>
      </c>
      <c r="W52" s="81">
        <v>6.07</v>
      </c>
      <c r="X52" s="81">
        <v>6.72</v>
      </c>
      <c r="Y52" s="80">
        <v>5</v>
      </c>
      <c r="Z52" s="80">
        <v>2</v>
      </c>
      <c r="AA52" t="s" s="79">
        <v>750</v>
      </c>
      <c r="AB52" t="s" s="79">
        <v>124</v>
      </c>
      <c r="AC52" t="s" s="79">
        <v>124</v>
      </c>
      <c r="AD52" t="s" s="82">
        <v>125</v>
      </c>
      <c r="AE52" s="67"/>
    </row>
    <row r="53" ht="15" customHeight="1">
      <c r="A53" t="s" s="83">
        <v>28</v>
      </c>
      <c r="B53" s="69">
        <v>63.8</v>
      </c>
      <c r="C53" t="b" s="70">
        <v>0</v>
      </c>
      <c r="D53" t="s" s="84">
        <v>161</v>
      </c>
      <c r="E53" t="s" s="72">
        <v>753</v>
      </c>
      <c r="F53" t="s" s="72">
        <v>117</v>
      </c>
      <c r="G53" s="73">
        <v>31</v>
      </c>
      <c r="H53" t="s" s="72">
        <v>175</v>
      </c>
      <c r="I53" t="s" s="72">
        <v>754</v>
      </c>
      <c r="J53" s="73">
        <v>21</v>
      </c>
      <c r="K53" t="s" s="72">
        <v>128</v>
      </c>
      <c r="L53" t="s" s="72">
        <v>121</v>
      </c>
      <c r="M53" s="71"/>
      <c r="N53" s="71"/>
      <c r="O53" s="71"/>
      <c r="P53" s="73">
        <v>2</v>
      </c>
      <c r="Q53" s="74">
        <v>6.25</v>
      </c>
      <c r="R53" s="74">
        <v>7.75</v>
      </c>
      <c r="S53" s="73">
        <v>1</v>
      </c>
      <c r="T53" s="73">
        <v>0</v>
      </c>
      <c r="U53" t="s" s="72">
        <v>122</v>
      </c>
      <c r="V53" s="73">
        <v>23</v>
      </c>
      <c r="W53" s="74">
        <v>6.07</v>
      </c>
      <c r="X53" s="74">
        <v>6.43</v>
      </c>
      <c r="Y53" s="73">
        <v>2</v>
      </c>
      <c r="Z53" s="73">
        <v>4</v>
      </c>
      <c r="AA53" t="s" s="72">
        <v>123</v>
      </c>
      <c r="AB53" t="s" s="72">
        <v>124</v>
      </c>
      <c r="AC53" t="s" s="72">
        <v>124</v>
      </c>
      <c r="AD53" t="s" s="75">
        <v>125</v>
      </c>
      <c r="AE53" s="67"/>
    </row>
    <row r="54" ht="15" customHeight="1">
      <c r="A54" t="s" s="83">
        <v>28</v>
      </c>
      <c r="B54" s="76">
        <v>62.6</v>
      </c>
      <c r="C54" t="b" s="77">
        <v>0</v>
      </c>
      <c r="D54" t="s" s="85">
        <v>161</v>
      </c>
      <c r="E54" t="s" s="79">
        <v>755</v>
      </c>
      <c r="F54" t="s" s="79">
        <v>127</v>
      </c>
      <c r="G54" s="80">
        <v>21</v>
      </c>
      <c r="H54" t="s" s="79">
        <v>118</v>
      </c>
      <c r="I54" t="s" s="79">
        <v>756</v>
      </c>
      <c r="J54" s="80">
        <v>26</v>
      </c>
      <c r="K54" t="s" s="79">
        <v>128</v>
      </c>
      <c r="L54" t="s" s="79">
        <v>121</v>
      </c>
      <c r="M54" s="78"/>
      <c r="N54" t="s" s="79">
        <v>311</v>
      </c>
      <c r="O54" s="78"/>
      <c r="P54" s="80">
        <v>2</v>
      </c>
      <c r="Q54" s="81">
        <v>6</v>
      </c>
      <c r="R54" s="81">
        <v>6.5</v>
      </c>
      <c r="S54" s="80">
        <v>0</v>
      </c>
      <c r="T54" s="80">
        <v>1</v>
      </c>
      <c r="U54" t="s" s="79">
        <v>122</v>
      </c>
      <c r="V54" s="80">
        <v>32</v>
      </c>
      <c r="W54" s="81">
        <v>6.08</v>
      </c>
      <c r="X54" s="81">
        <v>6.33</v>
      </c>
      <c r="Y54" s="80">
        <v>2</v>
      </c>
      <c r="Z54" s="80">
        <v>4</v>
      </c>
      <c r="AA54" t="s" s="79">
        <v>123</v>
      </c>
      <c r="AB54" t="s" s="79">
        <v>124</v>
      </c>
      <c r="AC54" t="s" s="79">
        <v>124</v>
      </c>
      <c r="AD54" t="s" s="82">
        <v>125</v>
      </c>
      <c r="AE54" s="67"/>
    </row>
    <row r="55" ht="15" customHeight="1">
      <c r="A55" t="s" s="86">
        <v>30</v>
      </c>
      <c r="B55" s="69">
        <v>62</v>
      </c>
      <c r="C55" t="b" s="70">
        <v>0</v>
      </c>
      <c r="D55" s="71"/>
      <c r="E55" t="s" s="72">
        <v>757</v>
      </c>
      <c r="F55" t="s" s="72">
        <v>127</v>
      </c>
      <c r="G55" s="73">
        <v>31</v>
      </c>
      <c r="H55" t="s" s="72">
        <v>175</v>
      </c>
      <c r="I55" t="s" s="72">
        <v>758</v>
      </c>
      <c r="J55" s="73">
        <v>24</v>
      </c>
      <c r="K55" t="s" s="72">
        <v>759</v>
      </c>
      <c r="L55" t="s" s="72">
        <v>154</v>
      </c>
      <c r="M55" s="71"/>
      <c r="N55" t="s" s="72">
        <v>272</v>
      </c>
      <c r="O55" s="71"/>
      <c r="P55" s="73">
        <v>2</v>
      </c>
      <c r="Q55" s="74">
        <v>6.5</v>
      </c>
      <c r="R55" s="74">
        <v>8</v>
      </c>
      <c r="S55" s="73">
        <v>1</v>
      </c>
      <c r="T55" s="73">
        <v>0</v>
      </c>
      <c r="U55" t="s" s="72">
        <v>122</v>
      </c>
      <c r="V55" s="73">
        <v>22</v>
      </c>
      <c r="W55" s="74">
        <v>5.86</v>
      </c>
      <c r="X55" s="74">
        <v>6.2</v>
      </c>
      <c r="Y55" s="73">
        <v>2</v>
      </c>
      <c r="Z55" s="73">
        <v>2</v>
      </c>
      <c r="AA55" t="s" s="72">
        <v>123</v>
      </c>
      <c r="AB55" t="s" s="72">
        <v>124</v>
      </c>
      <c r="AC55" t="s" s="72">
        <v>124</v>
      </c>
      <c r="AD55" t="s" s="75">
        <v>125</v>
      </c>
      <c r="AE55" s="67"/>
    </row>
    <row r="56" ht="15" customHeight="1">
      <c r="A56" t="s" s="86">
        <v>30</v>
      </c>
      <c r="B56" s="76">
        <v>61.8</v>
      </c>
      <c r="C56" t="b" s="77">
        <v>0</v>
      </c>
      <c r="D56" s="78"/>
      <c r="E56" t="s" s="79">
        <v>760</v>
      </c>
      <c r="F56" t="s" s="79">
        <v>172</v>
      </c>
      <c r="G56" s="80">
        <v>23</v>
      </c>
      <c r="H56" t="s" s="79">
        <v>118</v>
      </c>
      <c r="I56" t="s" s="79">
        <v>131</v>
      </c>
      <c r="J56" s="80">
        <v>38</v>
      </c>
      <c r="K56" t="s" s="79">
        <v>761</v>
      </c>
      <c r="L56" t="s" s="79">
        <v>154</v>
      </c>
      <c r="M56" s="78"/>
      <c r="N56" s="78"/>
      <c r="O56" s="78"/>
      <c r="P56" s="80">
        <v>2</v>
      </c>
      <c r="Q56" s="81">
        <v>6</v>
      </c>
      <c r="R56" s="81">
        <v>5.75</v>
      </c>
      <c r="S56" s="80">
        <v>0</v>
      </c>
      <c r="T56" s="80">
        <v>0</v>
      </c>
      <c r="U56" t="s" s="79">
        <v>122</v>
      </c>
      <c r="V56" s="80">
        <v>34</v>
      </c>
      <c r="W56" s="81">
        <v>6</v>
      </c>
      <c r="X56" s="81">
        <v>6</v>
      </c>
      <c r="Y56" s="80">
        <v>1</v>
      </c>
      <c r="Z56" s="80">
        <v>1</v>
      </c>
      <c r="AA56" t="s" s="79">
        <v>123</v>
      </c>
      <c r="AB56" t="s" s="79">
        <v>124</v>
      </c>
      <c r="AC56" t="s" s="79">
        <v>124</v>
      </c>
      <c r="AD56" t="s" s="82">
        <v>125</v>
      </c>
      <c r="AE56" s="67"/>
    </row>
    <row r="57" ht="15" customHeight="1">
      <c r="A57" t="s" s="86">
        <v>30</v>
      </c>
      <c r="B57" s="69">
        <v>61.6</v>
      </c>
      <c r="C57" t="b" s="70">
        <v>0</v>
      </c>
      <c r="D57" s="71"/>
      <c r="E57" t="s" s="72">
        <v>762</v>
      </c>
      <c r="F57" t="s" s="72">
        <v>170</v>
      </c>
      <c r="G57" s="73">
        <v>30</v>
      </c>
      <c r="H57" t="s" s="72">
        <v>175</v>
      </c>
      <c r="I57" t="s" s="72">
        <v>740</v>
      </c>
      <c r="J57" s="73">
        <v>25</v>
      </c>
      <c r="K57" t="s" s="72">
        <v>128</v>
      </c>
      <c r="L57" t="s" s="72">
        <v>121</v>
      </c>
      <c r="M57" s="71"/>
      <c r="N57" t="s" s="72">
        <v>272</v>
      </c>
      <c r="O57" s="71"/>
      <c r="P57" s="73">
        <v>2</v>
      </c>
      <c r="Q57" s="74">
        <v>5.25</v>
      </c>
      <c r="R57" s="74">
        <v>5</v>
      </c>
      <c r="S57" s="73">
        <v>0</v>
      </c>
      <c r="T57" s="73">
        <v>0</v>
      </c>
      <c r="U57" t="s" s="72">
        <v>122</v>
      </c>
      <c r="V57" s="73">
        <v>33</v>
      </c>
      <c r="W57" s="74">
        <v>6.08</v>
      </c>
      <c r="X57" s="74">
        <v>6.27</v>
      </c>
      <c r="Y57" s="73">
        <v>2</v>
      </c>
      <c r="Z57" s="73">
        <v>3</v>
      </c>
      <c r="AA57" t="s" s="72">
        <v>123</v>
      </c>
      <c r="AB57" t="s" s="72">
        <v>124</v>
      </c>
      <c r="AC57" t="s" s="72">
        <v>124</v>
      </c>
      <c r="AD57" t="s" s="75">
        <v>125</v>
      </c>
      <c r="AE57" s="67"/>
    </row>
    <row r="58" ht="15" customHeight="1">
      <c r="A58" t="s" s="86">
        <v>30</v>
      </c>
      <c r="B58" s="76">
        <v>60.5</v>
      </c>
      <c r="C58" t="b" s="77">
        <v>0</v>
      </c>
      <c r="D58" s="78"/>
      <c r="E58" t="s" s="79">
        <v>763</v>
      </c>
      <c r="F58" t="s" s="79">
        <v>134</v>
      </c>
      <c r="G58" s="80">
        <v>32</v>
      </c>
      <c r="H58" t="s" s="79">
        <v>175</v>
      </c>
      <c r="I58" t="s" s="79">
        <v>175</v>
      </c>
      <c r="J58" s="80">
        <v>37</v>
      </c>
      <c r="K58" t="s" s="79">
        <v>764</v>
      </c>
      <c r="L58" t="s" s="79">
        <v>328</v>
      </c>
      <c r="M58" s="78"/>
      <c r="N58" s="78"/>
      <c r="O58" s="78"/>
      <c r="P58" s="80">
        <v>0</v>
      </c>
      <c r="Q58" s="81">
        <v>0</v>
      </c>
      <c r="R58" s="81">
        <v>0</v>
      </c>
      <c r="S58" s="80">
        <v>0</v>
      </c>
      <c r="T58" s="80">
        <v>0</v>
      </c>
      <c r="U58" t="s" s="79">
        <v>122</v>
      </c>
      <c r="V58" s="80">
        <v>28</v>
      </c>
      <c r="W58" s="81">
        <v>6.12</v>
      </c>
      <c r="X58" s="81">
        <v>6.5</v>
      </c>
      <c r="Y58" s="80">
        <v>4</v>
      </c>
      <c r="Z58" s="80">
        <v>1</v>
      </c>
      <c r="AA58" t="s" s="79">
        <v>123</v>
      </c>
      <c r="AB58" t="s" s="79">
        <v>124</v>
      </c>
      <c r="AC58" t="s" s="79">
        <v>124</v>
      </c>
      <c r="AD58" t="s" s="82">
        <v>125</v>
      </c>
      <c r="AE58" s="67"/>
    </row>
    <row r="59" ht="15" customHeight="1">
      <c r="A59" t="s" s="86">
        <v>30</v>
      </c>
      <c r="B59" s="69">
        <v>60.5</v>
      </c>
      <c r="C59" t="b" s="70">
        <v>0</v>
      </c>
      <c r="D59" s="71"/>
      <c r="E59" t="s" s="72">
        <v>765</v>
      </c>
      <c r="F59" t="s" s="72">
        <v>134</v>
      </c>
      <c r="G59" s="73">
        <v>27</v>
      </c>
      <c r="H59" t="s" s="72">
        <v>766</v>
      </c>
      <c r="I59" t="s" s="72">
        <v>767</v>
      </c>
      <c r="J59" s="73">
        <v>22</v>
      </c>
      <c r="K59" t="s" s="72">
        <v>768</v>
      </c>
      <c r="L59" t="s" s="72">
        <v>121</v>
      </c>
      <c r="M59" s="71"/>
      <c r="N59" s="71"/>
      <c r="O59" s="71"/>
      <c r="P59" s="73">
        <v>2</v>
      </c>
      <c r="Q59" s="74">
        <v>6</v>
      </c>
      <c r="R59" s="74">
        <v>6</v>
      </c>
      <c r="S59" s="73">
        <v>0</v>
      </c>
      <c r="T59" s="73">
        <v>0</v>
      </c>
      <c r="U59" t="s" s="72">
        <v>122</v>
      </c>
      <c r="V59" s="73">
        <v>28</v>
      </c>
      <c r="W59" s="74">
        <v>5.96</v>
      </c>
      <c r="X59" s="74">
        <v>6.16</v>
      </c>
      <c r="Y59" s="73">
        <v>2</v>
      </c>
      <c r="Z59" s="73">
        <v>2</v>
      </c>
      <c r="AA59" t="s" s="72">
        <v>123</v>
      </c>
      <c r="AB59" t="s" s="72">
        <v>124</v>
      </c>
      <c r="AC59" t="s" s="72">
        <v>124</v>
      </c>
      <c r="AD59" t="s" s="75">
        <v>125</v>
      </c>
      <c r="AE59" s="67"/>
    </row>
    <row r="60" ht="15" customHeight="1">
      <c r="A60" t="s" s="86">
        <v>30</v>
      </c>
      <c r="B60" s="76">
        <v>60.1</v>
      </c>
      <c r="C60" t="b" s="77">
        <v>0</v>
      </c>
      <c r="D60" s="78"/>
      <c r="E60" t="s" s="79">
        <v>769</v>
      </c>
      <c r="F60" t="s" s="79">
        <v>193</v>
      </c>
      <c r="G60" s="80">
        <v>20</v>
      </c>
      <c r="H60" t="s" s="79">
        <v>118</v>
      </c>
      <c r="I60" t="s" s="79">
        <v>119</v>
      </c>
      <c r="J60" s="80">
        <v>24</v>
      </c>
      <c r="K60" t="s" s="79">
        <v>770</v>
      </c>
      <c r="L60" t="s" s="79">
        <v>121</v>
      </c>
      <c r="M60" s="78"/>
      <c r="N60" s="78"/>
      <c r="O60" s="78"/>
      <c r="P60" s="80">
        <v>2</v>
      </c>
      <c r="Q60" s="81">
        <v>5.5</v>
      </c>
      <c r="R60" s="81">
        <v>5.5</v>
      </c>
      <c r="S60" s="80">
        <v>0</v>
      </c>
      <c r="T60" s="80">
        <v>0</v>
      </c>
      <c r="U60" t="s" s="79">
        <v>122</v>
      </c>
      <c r="V60" s="80">
        <v>36</v>
      </c>
      <c r="W60" s="81">
        <v>6</v>
      </c>
      <c r="X60" s="81">
        <v>6.04</v>
      </c>
      <c r="Y60" s="80">
        <v>1</v>
      </c>
      <c r="Z60" s="80">
        <v>1</v>
      </c>
      <c r="AA60" t="s" s="79">
        <v>123</v>
      </c>
      <c r="AB60" t="s" s="79">
        <v>124</v>
      </c>
      <c r="AC60" t="s" s="79">
        <v>124</v>
      </c>
      <c r="AD60" t="s" s="82">
        <v>125</v>
      </c>
      <c r="AE60" s="67"/>
    </row>
    <row r="61" ht="15" customHeight="1">
      <c r="A61" t="s" s="86">
        <v>30</v>
      </c>
      <c r="B61" s="69">
        <v>59.4</v>
      </c>
      <c r="C61" t="b" s="70">
        <v>0</v>
      </c>
      <c r="D61" s="71"/>
      <c r="E61" t="s" s="72">
        <v>771</v>
      </c>
      <c r="F61" t="s" s="72">
        <v>127</v>
      </c>
      <c r="G61" s="73">
        <v>29</v>
      </c>
      <c r="H61" t="s" s="72">
        <v>175</v>
      </c>
      <c r="I61" t="s" s="72">
        <v>200</v>
      </c>
      <c r="J61" s="73">
        <v>31</v>
      </c>
      <c r="K61" t="s" s="72">
        <v>395</v>
      </c>
      <c r="L61" t="s" s="72">
        <v>121</v>
      </c>
      <c r="M61" s="71"/>
      <c r="N61" s="71"/>
      <c r="O61" s="71"/>
      <c r="P61" s="73">
        <v>2</v>
      </c>
      <c r="Q61" s="74">
        <v>5.75</v>
      </c>
      <c r="R61" s="74">
        <v>5.75</v>
      </c>
      <c r="S61" s="73">
        <v>0</v>
      </c>
      <c r="T61" s="73">
        <v>0</v>
      </c>
      <c r="U61" t="s" s="72">
        <v>122</v>
      </c>
      <c r="V61" s="73">
        <v>32</v>
      </c>
      <c r="W61" s="74">
        <v>5.94</v>
      </c>
      <c r="X61" s="74">
        <v>6.27</v>
      </c>
      <c r="Y61" s="73">
        <v>3</v>
      </c>
      <c r="Z61" s="73">
        <v>3</v>
      </c>
      <c r="AA61" t="s" s="72">
        <v>123</v>
      </c>
      <c r="AB61" t="s" s="72">
        <v>124</v>
      </c>
      <c r="AC61" t="s" s="72">
        <v>124</v>
      </c>
      <c r="AD61" t="s" s="75">
        <v>125</v>
      </c>
      <c r="AE61" s="67"/>
    </row>
    <row r="62" ht="15" customHeight="1">
      <c r="A62" t="s" s="86">
        <v>30</v>
      </c>
      <c r="B62" s="76">
        <v>59.1</v>
      </c>
      <c r="C62" t="b" s="77">
        <v>0</v>
      </c>
      <c r="D62" s="78"/>
      <c r="E62" t="s" s="79">
        <v>772</v>
      </c>
      <c r="F62" t="s" s="79">
        <v>172</v>
      </c>
      <c r="G62" s="80">
        <v>31</v>
      </c>
      <c r="H62" t="s" s="79">
        <v>175</v>
      </c>
      <c r="I62" t="s" s="79">
        <v>773</v>
      </c>
      <c r="J62" s="80">
        <v>24</v>
      </c>
      <c r="K62" t="s" s="79">
        <v>774</v>
      </c>
      <c r="L62" t="s" s="79">
        <v>121</v>
      </c>
      <c r="M62" s="78"/>
      <c r="N62" s="78"/>
      <c r="O62" t="s" s="88">
        <v>268</v>
      </c>
      <c r="P62" s="80">
        <v>0</v>
      </c>
      <c r="Q62" s="81">
        <v>0</v>
      </c>
      <c r="R62" s="81">
        <v>0</v>
      </c>
      <c r="S62" s="80">
        <v>0</v>
      </c>
      <c r="T62" s="80">
        <v>0</v>
      </c>
      <c r="U62" t="s" s="79">
        <v>122</v>
      </c>
      <c r="V62" s="80">
        <v>35</v>
      </c>
      <c r="W62" s="81">
        <v>6.19</v>
      </c>
      <c r="X62" s="81">
        <v>6.63</v>
      </c>
      <c r="Y62" s="80">
        <v>6</v>
      </c>
      <c r="Z62" s="80">
        <v>0</v>
      </c>
      <c r="AA62" t="s" s="79">
        <v>123</v>
      </c>
      <c r="AB62" t="s" s="79">
        <v>124</v>
      </c>
      <c r="AC62" t="s" s="79">
        <v>124</v>
      </c>
      <c r="AD62" t="s" s="82">
        <v>125</v>
      </c>
      <c r="AE62" s="67"/>
    </row>
    <row r="63" ht="15" customHeight="1">
      <c r="A63" t="s" s="86">
        <v>30</v>
      </c>
      <c r="B63" s="69">
        <v>58.9</v>
      </c>
      <c r="C63" t="b" s="70">
        <v>0</v>
      </c>
      <c r="D63" s="71"/>
      <c r="E63" t="s" s="72">
        <v>775</v>
      </c>
      <c r="F63" t="s" s="72">
        <v>156</v>
      </c>
      <c r="G63" s="73">
        <v>21</v>
      </c>
      <c r="H63" t="s" s="72">
        <v>118</v>
      </c>
      <c r="I63" t="s" s="72">
        <v>131</v>
      </c>
      <c r="J63" s="73">
        <v>25</v>
      </c>
      <c r="K63" t="s" s="72">
        <v>206</v>
      </c>
      <c r="L63" t="s" s="72">
        <v>121</v>
      </c>
      <c r="M63" s="71"/>
      <c r="N63" s="71"/>
      <c r="O63" s="71"/>
      <c r="P63" s="73">
        <v>3</v>
      </c>
      <c r="Q63" s="74">
        <v>5.83</v>
      </c>
      <c r="R63" s="74">
        <v>5.83</v>
      </c>
      <c r="S63" s="73">
        <v>0</v>
      </c>
      <c r="T63" s="73">
        <v>0</v>
      </c>
      <c r="U63" t="s" s="72">
        <v>122</v>
      </c>
      <c r="V63" s="73">
        <v>36</v>
      </c>
      <c r="W63" s="74">
        <v>6</v>
      </c>
      <c r="X63" s="74">
        <v>6.01</v>
      </c>
      <c r="Y63" s="73">
        <v>1</v>
      </c>
      <c r="Z63" s="73">
        <v>0</v>
      </c>
      <c r="AA63" t="s" s="72">
        <v>123</v>
      </c>
      <c r="AB63" t="s" s="72">
        <v>124</v>
      </c>
      <c r="AC63" t="s" s="72">
        <v>124</v>
      </c>
      <c r="AD63" t="s" s="75">
        <v>125</v>
      </c>
      <c r="AE63" s="67"/>
    </row>
    <row r="64" ht="15" customHeight="1">
      <c r="A64" t="s" s="86">
        <v>30</v>
      </c>
      <c r="B64" s="76">
        <v>58.6</v>
      </c>
      <c r="C64" t="b" s="77">
        <v>0</v>
      </c>
      <c r="D64" t="s" s="85">
        <v>178</v>
      </c>
      <c r="E64" t="s" s="79">
        <v>776</v>
      </c>
      <c r="F64" t="s" s="79">
        <v>156</v>
      </c>
      <c r="G64" s="80">
        <v>20</v>
      </c>
      <c r="H64" t="s" s="79">
        <v>118</v>
      </c>
      <c r="I64" t="s" s="79">
        <v>777</v>
      </c>
      <c r="J64" s="80">
        <v>23</v>
      </c>
      <c r="K64" t="s" s="79">
        <v>128</v>
      </c>
      <c r="L64" t="s" s="79">
        <v>154</v>
      </c>
      <c r="M64" s="78"/>
      <c r="N64" t="s" s="79">
        <v>655</v>
      </c>
      <c r="O64" s="78"/>
      <c r="P64" s="80">
        <v>3</v>
      </c>
      <c r="Q64" s="81">
        <v>5.83</v>
      </c>
      <c r="R64" s="81">
        <v>5.83</v>
      </c>
      <c r="S64" s="80">
        <v>0</v>
      </c>
      <c r="T64" s="80">
        <v>0</v>
      </c>
      <c r="U64" t="s" s="79">
        <v>122</v>
      </c>
      <c r="V64" s="80">
        <v>17</v>
      </c>
      <c r="W64" s="81">
        <v>6</v>
      </c>
      <c r="X64" s="81">
        <v>6.24</v>
      </c>
      <c r="Y64" s="80">
        <v>1</v>
      </c>
      <c r="Z64" s="80">
        <v>2</v>
      </c>
      <c r="AA64" t="s" s="79">
        <v>123</v>
      </c>
      <c r="AB64" t="s" s="79">
        <v>124</v>
      </c>
      <c r="AC64" t="s" s="79">
        <v>124</v>
      </c>
      <c r="AD64" t="s" s="82">
        <v>125</v>
      </c>
      <c r="AE64" s="67"/>
    </row>
    <row r="65" ht="15" customHeight="1">
      <c r="A65" t="s" s="86">
        <v>30</v>
      </c>
      <c r="B65" s="69">
        <v>58.2</v>
      </c>
      <c r="C65" t="b" s="70">
        <v>0</v>
      </c>
      <c r="D65" s="71"/>
      <c r="E65" t="s" s="72">
        <v>778</v>
      </c>
      <c r="F65" t="s" s="72">
        <v>130</v>
      </c>
      <c r="G65" s="73">
        <v>29</v>
      </c>
      <c r="H65" t="s" s="72">
        <v>175</v>
      </c>
      <c r="I65" t="s" s="72">
        <v>175</v>
      </c>
      <c r="J65" s="73">
        <v>30</v>
      </c>
      <c r="K65" t="s" s="72">
        <v>344</v>
      </c>
      <c r="L65" t="s" s="72">
        <v>121</v>
      </c>
      <c r="M65" s="71"/>
      <c r="N65" s="71"/>
      <c r="O65" s="71"/>
      <c r="P65" s="73">
        <v>2</v>
      </c>
      <c r="Q65" s="74">
        <v>5.5</v>
      </c>
      <c r="R65" s="74">
        <v>5.25</v>
      </c>
      <c r="S65" s="73">
        <v>0</v>
      </c>
      <c r="T65" s="73">
        <v>0</v>
      </c>
      <c r="U65" t="s" s="72">
        <v>122</v>
      </c>
      <c r="V65" s="73">
        <v>22</v>
      </c>
      <c r="W65" s="74">
        <v>6.07</v>
      </c>
      <c r="X65" s="74">
        <v>6.48</v>
      </c>
      <c r="Y65" s="73">
        <v>3</v>
      </c>
      <c r="Z65" s="73">
        <v>1</v>
      </c>
      <c r="AA65" t="s" s="72">
        <v>123</v>
      </c>
      <c r="AB65" t="s" s="72">
        <v>124</v>
      </c>
      <c r="AC65" t="s" s="72">
        <v>124</v>
      </c>
      <c r="AD65" t="s" s="75">
        <v>125</v>
      </c>
      <c r="AE65" s="67"/>
    </row>
    <row r="66" ht="15" customHeight="1">
      <c r="A66" t="s" s="86">
        <v>30</v>
      </c>
      <c r="B66" s="76">
        <v>57.4</v>
      </c>
      <c r="C66" t="b" s="77">
        <v>0</v>
      </c>
      <c r="D66" s="78"/>
      <c r="E66" t="s" s="79">
        <v>779</v>
      </c>
      <c r="F66" t="s" s="79">
        <v>172</v>
      </c>
      <c r="G66" s="80">
        <v>28</v>
      </c>
      <c r="H66" t="s" s="79">
        <v>780</v>
      </c>
      <c r="I66" t="s" s="79">
        <v>781</v>
      </c>
      <c r="J66" s="80">
        <v>22</v>
      </c>
      <c r="K66" t="s" s="79">
        <v>782</v>
      </c>
      <c r="L66" t="s" s="79">
        <v>154</v>
      </c>
      <c r="M66" s="78"/>
      <c r="N66" s="78"/>
      <c r="O66" s="78"/>
      <c r="P66" s="80">
        <v>2</v>
      </c>
      <c r="Q66" s="81">
        <v>6.5</v>
      </c>
      <c r="R66" s="81">
        <v>7.75</v>
      </c>
      <c r="S66" s="80">
        <v>1</v>
      </c>
      <c r="T66" s="80">
        <v>0</v>
      </c>
      <c r="U66" t="s" s="79">
        <v>122</v>
      </c>
      <c r="V66" s="80">
        <v>21</v>
      </c>
      <c r="W66" s="81">
        <v>6.05</v>
      </c>
      <c r="X66" s="81">
        <v>6.43</v>
      </c>
      <c r="Y66" s="80">
        <v>2</v>
      </c>
      <c r="Z66" s="80">
        <v>4</v>
      </c>
      <c r="AA66" t="s" s="79">
        <v>123</v>
      </c>
      <c r="AB66" t="s" s="79">
        <v>124</v>
      </c>
      <c r="AC66" t="s" s="79">
        <v>124</v>
      </c>
      <c r="AD66" t="s" s="82">
        <v>125</v>
      </c>
      <c r="AE66" s="67"/>
    </row>
    <row r="67" ht="15" customHeight="1">
      <c r="A67" t="s" s="86">
        <v>30</v>
      </c>
      <c r="B67" s="69">
        <v>57.4</v>
      </c>
      <c r="C67" t="b" s="70">
        <v>0</v>
      </c>
      <c r="D67" s="71"/>
      <c r="E67" t="s" s="72">
        <v>783</v>
      </c>
      <c r="F67" t="s" s="72">
        <v>144</v>
      </c>
      <c r="G67" s="73">
        <v>21</v>
      </c>
      <c r="H67" t="s" s="72">
        <v>118</v>
      </c>
      <c r="I67" t="s" s="72">
        <v>118</v>
      </c>
      <c r="J67" s="73">
        <v>27</v>
      </c>
      <c r="K67" t="s" s="72">
        <v>484</v>
      </c>
      <c r="L67" t="s" s="72">
        <v>121</v>
      </c>
      <c r="M67" s="71"/>
      <c r="N67" s="71"/>
      <c r="O67" s="71"/>
      <c r="P67" s="73">
        <v>2</v>
      </c>
      <c r="Q67" s="74">
        <v>6.25</v>
      </c>
      <c r="R67" s="74">
        <v>6.25</v>
      </c>
      <c r="S67" s="73">
        <v>0</v>
      </c>
      <c r="T67" s="73">
        <v>0</v>
      </c>
      <c r="U67" t="s" s="72">
        <v>122</v>
      </c>
      <c r="V67" s="73">
        <v>23</v>
      </c>
      <c r="W67" s="74">
        <v>5.87</v>
      </c>
      <c r="X67" s="74">
        <v>5.85</v>
      </c>
      <c r="Y67" s="73">
        <v>1</v>
      </c>
      <c r="Z67" s="73">
        <v>0</v>
      </c>
      <c r="AA67" t="s" s="72">
        <v>123</v>
      </c>
      <c r="AB67" t="s" s="72">
        <v>124</v>
      </c>
      <c r="AC67" t="s" s="72">
        <v>124</v>
      </c>
      <c r="AD67" t="s" s="75">
        <v>125</v>
      </c>
      <c r="AE67" s="67"/>
    </row>
    <row r="68" ht="15" customHeight="1">
      <c r="A68" t="s" s="86">
        <v>30</v>
      </c>
      <c r="B68" s="76">
        <v>56.9</v>
      </c>
      <c r="C68" t="b" s="77">
        <v>0</v>
      </c>
      <c r="D68" s="78"/>
      <c r="E68" t="s" s="79">
        <v>784</v>
      </c>
      <c r="F68" t="s" s="79">
        <v>147</v>
      </c>
      <c r="G68" s="80">
        <v>20</v>
      </c>
      <c r="H68" t="s" s="79">
        <v>118</v>
      </c>
      <c r="I68" t="s" s="79">
        <v>748</v>
      </c>
      <c r="J68" s="80">
        <v>24</v>
      </c>
      <c r="K68" t="s" s="79">
        <v>785</v>
      </c>
      <c r="L68" t="s" s="79">
        <v>121</v>
      </c>
      <c r="M68" s="78"/>
      <c r="N68" t="s" s="79">
        <v>655</v>
      </c>
      <c r="O68" s="78"/>
      <c r="P68" s="80">
        <v>2</v>
      </c>
      <c r="Q68" s="81">
        <v>5.75</v>
      </c>
      <c r="R68" s="81">
        <v>5.75</v>
      </c>
      <c r="S68" s="80">
        <v>0</v>
      </c>
      <c r="T68" s="80">
        <v>0</v>
      </c>
      <c r="U68" t="s" s="79">
        <v>122</v>
      </c>
      <c r="V68" s="80">
        <v>18</v>
      </c>
      <c r="W68" s="81">
        <v>5.97</v>
      </c>
      <c r="X68" s="81">
        <v>6.33</v>
      </c>
      <c r="Y68" s="80">
        <v>2</v>
      </c>
      <c r="Z68" s="80">
        <v>1</v>
      </c>
      <c r="AA68" t="s" s="79">
        <v>123</v>
      </c>
      <c r="AB68" t="s" s="79">
        <v>124</v>
      </c>
      <c r="AC68" t="s" s="79">
        <v>124</v>
      </c>
      <c r="AD68" t="s" s="82">
        <v>125</v>
      </c>
      <c r="AE68" s="67"/>
    </row>
    <row r="69" ht="15" customHeight="1">
      <c r="A69" t="s" s="86">
        <v>30</v>
      </c>
      <c r="B69" s="69">
        <v>56.2</v>
      </c>
      <c r="C69" t="b" s="70">
        <v>0</v>
      </c>
      <c r="D69" s="71"/>
      <c r="E69" t="s" s="72">
        <v>786</v>
      </c>
      <c r="F69" t="s" s="72">
        <v>147</v>
      </c>
      <c r="G69" s="73">
        <v>20</v>
      </c>
      <c r="H69" t="s" s="72">
        <v>118</v>
      </c>
      <c r="I69" t="s" s="72">
        <v>118</v>
      </c>
      <c r="J69" s="73">
        <v>26</v>
      </c>
      <c r="K69" t="s" s="72">
        <v>636</v>
      </c>
      <c r="L69" t="s" s="72">
        <v>121</v>
      </c>
      <c r="M69" s="71"/>
      <c r="N69" s="71"/>
      <c r="O69" s="71"/>
      <c r="P69" s="73">
        <v>2</v>
      </c>
      <c r="Q69" s="74">
        <v>6</v>
      </c>
      <c r="R69" s="74">
        <v>6.5</v>
      </c>
      <c r="S69" s="73">
        <v>0</v>
      </c>
      <c r="T69" s="73">
        <v>1</v>
      </c>
      <c r="U69" t="s" s="72">
        <v>122</v>
      </c>
      <c r="V69" s="73">
        <v>38</v>
      </c>
      <c r="W69" s="74">
        <v>5.89</v>
      </c>
      <c r="X69" s="74">
        <v>5.95</v>
      </c>
      <c r="Y69" s="73">
        <v>1</v>
      </c>
      <c r="Z69" s="73">
        <v>1</v>
      </c>
      <c r="AA69" t="s" s="72">
        <v>123</v>
      </c>
      <c r="AB69" t="s" s="72">
        <v>124</v>
      </c>
      <c r="AC69" t="s" s="72">
        <v>124</v>
      </c>
      <c r="AD69" t="s" s="75">
        <v>125</v>
      </c>
      <c r="AE69" s="67"/>
    </row>
    <row r="70" ht="15" customHeight="1">
      <c r="A70" t="s" s="86">
        <v>30</v>
      </c>
      <c r="B70" s="76">
        <v>56</v>
      </c>
      <c r="C70" t="b" s="77">
        <v>0</v>
      </c>
      <c r="D70" s="78"/>
      <c r="E70" t="s" s="79">
        <v>787</v>
      </c>
      <c r="F70" t="s" s="79">
        <v>168</v>
      </c>
      <c r="G70" s="80">
        <v>18</v>
      </c>
      <c r="H70" t="s" s="79">
        <v>118</v>
      </c>
      <c r="I70" t="s" s="79">
        <v>119</v>
      </c>
      <c r="J70" s="80">
        <v>30</v>
      </c>
      <c r="K70" t="s" s="79">
        <v>788</v>
      </c>
      <c r="L70" t="s" s="79">
        <v>121</v>
      </c>
      <c r="M70" s="78"/>
      <c r="N70" s="78"/>
      <c r="O70" s="78"/>
      <c r="P70" s="80">
        <v>2</v>
      </c>
      <c r="Q70" s="81">
        <v>6</v>
      </c>
      <c r="R70" s="81">
        <v>6.5</v>
      </c>
      <c r="S70" s="80">
        <v>0</v>
      </c>
      <c r="T70" s="80">
        <v>1</v>
      </c>
      <c r="U70" t="s" s="79">
        <v>122</v>
      </c>
      <c r="V70" s="80">
        <v>33</v>
      </c>
      <c r="W70" s="81">
        <v>6.03</v>
      </c>
      <c r="X70" s="81">
        <v>6.27</v>
      </c>
      <c r="Y70" s="80">
        <v>3</v>
      </c>
      <c r="Z70" s="80">
        <v>1</v>
      </c>
      <c r="AA70" t="s" s="79">
        <v>123</v>
      </c>
      <c r="AB70" t="s" s="79">
        <v>124</v>
      </c>
      <c r="AC70" t="s" s="79">
        <v>124</v>
      </c>
      <c r="AD70" t="s" s="82">
        <v>125</v>
      </c>
      <c r="AE70" s="67"/>
    </row>
    <row r="71" ht="15" customHeight="1">
      <c r="A71" t="s" s="86">
        <v>30</v>
      </c>
      <c r="B71" s="69">
        <v>55.8</v>
      </c>
      <c r="C71" t="b" s="70">
        <v>0</v>
      </c>
      <c r="D71" s="71"/>
      <c r="E71" t="s" s="72">
        <v>789</v>
      </c>
      <c r="F71" t="s" s="72">
        <v>138</v>
      </c>
      <c r="G71" s="73">
        <v>29</v>
      </c>
      <c r="H71" t="s" s="72">
        <v>175</v>
      </c>
      <c r="I71" t="s" s="72">
        <v>175</v>
      </c>
      <c r="J71" s="73">
        <v>28</v>
      </c>
      <c r="K71" t="s" s="72">
        <v>157</v>
      </c>
      <c r="L71" t="s" s="72">
        <v>154</v>
      </c>
      <c r="M71" s="71"/>
      <c r="N71" s="71"/>
      <c r="O71" s="71"/>
      <c r="P71" s="73">
        <v>1</v>
      </c>
      <c r="Q71" s="74">
        <v>7</v>
      </c>
      <c r="R71" s="74">
        <v>10</v>
      </c>
      <c r="S71" s="73">
        <v>1</v>
      </c>
      <c r="T71" s="73">
        <v>0</v>
      </c>
      <c r="U71" t="s" s="72">
        <v>122</v>
      </c>
      <c r="V71" s="73">
        <v>30</v>
      </c>
      <c r="W71" s="74">
        <v>5.72</v>
      </c>
      <c r="X71" s="74">
        <v>5.63</v>
      </c>
      <c r="Y71" s="73">
        <v>0</v>
      </c>
      <c r="Z71" s="73">
        <v>0</v>
      </c>
      <c r="AA71" t="s" s="72">
        <v>123</v>
      </c>
      <c r="AB71" t="s" s="72">
        <v>124</v>
      </c>
      <c r="AC71" t="s" s="72">
        <v>124</v>
      </c>
      <c r="AD71" t="s" s="75">
        <v>125</v>
      </c>
      <c r="AE71" s="67"/>
    </row>
    <row r="72" ht="15" customHeight="1">
      <c r="A72" t="s" s="86">
        <v>30</v>
      </c>
      <c r="B72" s="76">
        <v>55.5</v>
      </c>
      <c r="C72" t="b" s="77">
        <v>0</v>
      </c>
      <c r="D72" s="78"/>
      <c r="E72" t="s" s="79">
        <v>790</v>
      </c>
      <c r="F72" t="s" s="79">
        <v>127</v>
      </c>
      <c r="G72" s="80">
        <v>25</v>
      </c>
      <c r="H72" t="s" s="79">
        <v>175</v>
      </c>
      <c r="I72" t="s" s="79">
        <v>200</v>
      </c>
      <c r="J72" s="80">
        <v>24</v>
      </c>
      <c r="K72" t="s" s="79">
        <v>145</v>
      </c>
      <c r="L72" t="s" s="79">
        <v>121</v>
      </c>
      <c r="M72" s="78"/>
      <c r="N72" s="78"/>
      <c r="O72" s="78"/>
      <c r="P72" s="80">
        <v>2</v>
      </c>
      <c r="Q72" s="81">
        <v>6</v>
      </c>
      <c r="R72" s="81">
        <v>6.5</v>
      </c>
      <c r="S72" s="80">
        <v>0</v>
      </c>
      <c r="T72" s="80">
        <v>1</v>
      </c>
      <c r="U72" t="s" s="79">
        <v>122</v>
      </c>
      <c r="V72" s="80">
        <v>31</v>
      </c>
      <c r="W72" s="81">
        <v>6.08</v>
      </c>
      <c r="X72" s="81">
        <v>6.39</v>
      </c>
      <c r="Y72" s="80">
        <v>2</v>
      </c>
      <c r="Z72" s="80">
        <v>5</v>
      </c>
      <c r="AA72" t="s" s="79">
        <v>123</v>
      </c>
      <c r="AB72" t="s" s="79">
        <v>124</v>
      </c>
      <c r="AC72" t="s" s="79">
        <v>124</v>
      </c>
      <c r="AD72" t="s" s="82">
        <v>125</v>
      </c>
      <c r="AE72" s="67"/>
    </row>
    <row r="73" ht="15" customHeight="1">
      <c r="A73" t="s" s="86">
        <v>30</v>
      </c>
      <c r="B73" s="69">
        <v>55.2</v>
      </c>
      <c r="C73" t="b" s="70">
        <v>0</v>
      </c>
      <c r="D73" t="s" s="84">
        <v>161</v>
      </c>
      <c r="E73" t="s" s="72">
        <v>791</v>
      </c>
      <c r="F73" t="s" s="72">
        <v>153</v>
      </c>
      <c r="G73" s="73">
        <v>27</v>
      </c>
      <c r="H73" t="s" s="72">
        <v>792</v>
      </c>
      <c r="I73" t="s" s="72">
        <v>793</v>
      </c>
      <c r="J73" s="73">
        <v>23</v>
      </c>
      <c r="K73" t="s" s="72">
        <v>128</v>
      </c>
      <c r="L73" t="s" s="72">
        <v>154</v>
      </c>
      <c r="M73" s="71"/>
      <c r="N73" s="71"/>
      <c r="O73" s="71"/>
      <c r="P73" s="73">
        <v>1</v>
      </c>
      <c r="Q73" s="74">
        <v>7.5</v>
      </c>
      <c r="R73" s="74">
        <v>11.5</v>
      </c>
      <c r="S73" s="73">
        <v>1</v>
      </c>
      <c r="T73" s="73">
        <v>1</v>
      </c>
      <c r="U73" t="s" s="72">
        <v>122</v>
      </c>
      <c r="V73" s="73">
        <v>9</v>
      </c>
      <c r="W73" s="74">
        <v>6.11</v>
      </c>
      <c r="X73" s="74">
        <v>6.33</v>
      </c>
      <c r="Y73" s="73">
        <v>1</v>
      </c>
      <c r="Z73" s="73">
        <v>0</v>
      </c>
      <c r="AA73" t="s" s="72">
        <v>123</v>
      </c>
      <c r="AB73" t="s" s="72">
        <v>124</v>
      </c>
      <c r="AC73" t="s" s="72">
        <v>124</v>
      </c>
      <c r="AD73" t="s" s="75">
        <v>125</v>
      </c>
      <c r="AE73" s="67"/>
    </row>
    <row r="74" ht="15" customHeight="1">
      <c r="A74" t="s" s="86">
        <v>30</v>
      </c>
      <c r="B74" s="76">
        <v>54.9</v>
      </c>
      <c r="C74" t="b" s="77">
        <v>0</v>
      </c>
      <c r="D74" t="s" s="85">
        <v>191</v>
      </c>
      <c r="E74" t="s" s="79">
        <v>794</v>
      </c>
      <c r="F74" t="s" s="79">
        <v>183</v>
      </c>
      <c r="G74" s="80">
        <v>16</v>
      </c>
      <c r="H74" t="s" s="79">
        <v>118</v>
      </c>
      <c r="I74" t="s" s="79">
        <v>795</v>
      </c>
      <c r="J74" s="80">
        <v>24</v>
      </c>
      <c r="K74" t="s" s="79">
        <v>239</v>
      </c>
      <c r="L74" t="s" s="79">
        <v>121</v>
      </c>
      <c r="M74" t="s" s="79">
        <v>655</v>
      </c>
      <c r="N74" t="s" s="79">
        <v>655</v>
      </c>
      <c r="O74" s="78"/>
      <c r="P74" s="80">
        <v>2</v>
      </c>
      <c r="Q74" s="81">
        <v>6.25</v>
      </c>
      <c r="R74" s="81">
        <v>6.25</v>
      </c>
      <c r="S74" s="80">
        <v>0</v>
      </c>
      <c r="T74" s="80">
        <v>0</v>
      </c>
      <c r="U74" t="s" s="79">
        <v>122</v>
      </c>
      <c r="V74" s="78"/>
      <c r="W74" s="78"/>
      <c r="X74" s="78"/>
      <c r="Y74" s="78"/>
      <c r="Z74" s="78"/>
      <c r="AA74" s="78"/>
      <c r="AB74" t="s" s="79">
        <v>124</v>
      </c>
      <c r="AC74" t="s" s="79">
        <v>124</v>
      </c>
      <c r="AD74" t="s" s="82">
        <v>125</v>
      </c>
      <c r="AE74" s="67"/>
    </row>
    <row r="75" ht="15" customHeight="1">
      <c r="A75" t="s" s="86">
        <v>30</v>
      </c>
      <c r="B75" s="69">
        <v>54.9</v>
      </c>
      <c r="C75" t="b" s="70">
        <v>0</v>
      </c>
      <c r="D75" s="71"/>
      <c r="E75" t="s" s="72">
        <v>796</v>
      </c>
      <c r="F75" t="s" s="72">
        <v>144</v>
      </c>
      <c r="G75" s="73">
        <v>25</v>
      </c>
      <c r="H75" t="s" s="72">
        <v>175</v>
      </c>
      <c r="I75" t="s" s="72">
        <v>175</v>
      </c>
      <c r="J75" s="73">
        <v>27</v>
      </c>
      <c r="K75" t="s" s="72">
        <v>206</v>
      </c>
      <c r="L75" t="s" s="72">
        <v>154</v>
      </c>
      <c r="M75" s="71"/>
      <c r="N75" s="71"/>
      <c r="O75" s="71"/>
      <c r="P75" s="73">
        <v>2</v>
      </c>
      <c r="Q75" s="74">
        <v>5.75</v>
      </c>
      <c r="R75" s="74">
        <v>5.5</v>
      </c>
      <c r="S75" s="73">
        <v>0</v>
      </c>
      <c r="T75" s="73">
        <v>0</v>
      </c>
      <c r="U75" t="s" s="72">
        <v>122</v>
      </c>
      <c r="V75" s="73">
        <v>22</v>
      </c>
      <c r="W75" s="74">
        <v>5.91</v>
      </c>
      <c r="X75" s="74">
        <v>6.61</v>
      </c>
      <c r="Y75" s="73">
        <v>5</v>
      </c>
      <c r="Z75" s="73">
        <v>1</v>
      </c>
      <c r="AA75" t="s" s="72">
        <v>123</v>
      </c>
      <c r="AB75" t="s" s="72">
        <v>124</v>
      </c>
      <c r="AC75" t="s" s="72">
        <v>124</v>
      </c>
      <c r="AD75" t="s" s="75">
        <v>125</v>
      </c>
      <c r="AE75" s="67"/>
    </row>
    <row r="76" ht="15" customHeight="1">
      <c r="A76" t="s" s="86">
        <v>30</v>
      </c>
      <c r="B76" s="76">
        <v>54.2</v>
      </c>
      <c r="C76" t="b" s="77">
        <v>0</v>
      </c>
      <c r="D76" s="78"/>
      <c r="E76" t="s" s="79">
        <v>797</v>
      </c>
      <c r="F76" t="s" s="79">
        <v>156</v>
      </c>
      <c r="G76" s="80">
        <v>25</v>
      </c>
      <c r="H76" t="s" s="79">
        <v>175</v>
      </c>
      <c r="I76" t="s" s="79">
        <v>175</v>
      </c>
      <c r="J76" s="80">
        <v>35</v>
      </c>
      <c r="K76" t="s" s="79">
        <v>277</v>
      </c>
      <c r="L76" t="s" s="79">
        <v>154</v>
      </c>
      <c r="M76" s="78"/>
      <c r="N76" s="78"/>
      <c r="O76" s="78"/>
      <c r="P76" s="80">
        <v>3</v>
      </c>
      <c r="Q76" s="81">
        <v>6</v>
      </c>
      <c r="R76" s="81">
        <v>6</v>
      </c>
      <c r="S76" s="80">
        <v>0</v>
      </c>
      <c r="T76" s="80">
        <v>0</v>
      </c>
      <c r="U76" t="s" s="79">
        <v>122</v>
      </c>
      <c r="V76" s="80">
        <v>19</v>
      </c>
      <c r="W76" s="81">
        <v>6.16</v>
      </c>
      <c r="X76" s="81">
        <v>6.66</v>
      </c>
      <c r="Y76" s="80">
        <v>3</v>
      </c>
      <c r="Z76" s="80">
        <v>1</v>
      </c>
      <c r="AA76" t="s" s="79">
        <v>291</v>
      </c>
      <c r="AB76" t="s" s="79">
        <v>124</v>
      </c>
      <c r="AC76" t="s" s="79">
        <v>124</v>
      </c>
      <c r="AD76" t="s" s="82">
        <v>125</v>
      </c>
      <c r="AE76" s="67"/>
    </row>
    <row r="77" ht="15" customHeight="1">
      <c r="A77" t="s" s="86">
        <v>30</v>
      </c>
      <c r="B77" s="69">
        <v>54</v>
      </c>
      <c r="C77" t="b" s="70">
        <v>0</v>
      </c>
      <c r="D77" s="71"/>
      <c r="E77" t="s" s="72">
        <v>798</v>
      </c>
      <c r="F77" t="s" s="72">
        <v>138</v>
      </c>
      <c r="G77" s="73">
        <v>34</v>
      </c>
      <c r="H77" t="s" s="72">
        <v>175</v>
      </c>
      <c r="I77" t="s" s="72">
        <v>799</v>
      </c>
      <c r="J77" s="73">
        <v>25</v>
      </c>
      <c r="K77" t="s" s="72">
        <v>800</v>
      </c>
      <c r="L77" t="s" s="72">
        <v>121</v>
      </c>
      <c r="M77" s="71"/>
      <c r="N77" s="71"/>
      <c r="O77" t="s" s="88">
        <v>801</v>
      </c>
      <c r="P77" s="73">
        <v>0</v>
      </c>
      <c r="Q77" s="74">
        <v>0</v>
      </c>
      <c r="R77" s="74">
        <v>0</v>
      </c>
      <c r="S77" s="73">
        <v>0</v>
      </c>
      <c r="T77" s="73">
        <v>0</v>
      </c>
      <c r="U77" t="s" s="72">
        <v>122</v>
      </c>
      <c r="V77" s="73">
        <v>35</v>
      </c>
      <c r="W77" s="74">
        <v>6.03</v>
      </c>
      <c r="X77" s="74">
        <v>6.31</v>
      </c>
      <c r="Y77" s="73">
        <v>3</v>
      </c>
      <c r="Z77" s="73">
        <v>2</v>
      </c>
      <c r="AA77" t="s" s="72">
        <v>123</v>
      </c>
      <c r="AB77" t="s" s="72">
        <v>124</v>
      </c>
      <c r="AC77" t="s" s="72">
        <v>124</v>
      </c>
      <c r="AD77" t="s" s="75">
        <v>125</v>
      </c>
      <c r="AE77" s="67"/>
    </row>
    <row r="78" ht="15" customHeight="1">
      <c r="A78" t="s" s="86">
        <v>30</v>
      </c>
      <c r="B78" s="76">
        <v>54</v>
      </c>
      <c r="C78" t="b" s="77">
        <v>0</v>
      </c>
      <c r="D78" s="78"/>
      <c r="E78" t="s" s="79">
        <v>802</v>
      </c>
      <c r="F78" t="s" s="79">
        <v>134</v>
      </c>
      <c r="G78" s="80">
        <v>25</v>
      </c>
      <c r="H78" t="s" s="79">
        <v>175</v>
      </c>
      <c r="I78" t="s" s="79">
        <v>175</v>
      </c>
      <c r="J78" s="80">
        <v>24</v>
      </c>
      <c r="K78" t="s" s="79">
        <v>277</v>
      </c>
      <c r="L78" t="s" s="79">
        <v>121</v>
      </c>
      <c r="M78" s="78"/>
      <c r="N78" s="78"/>
      <c r="O78" s="78"/>
      <c r="P78" s="80">
        <v>2</v>
      </c>
      <c r="Q78" s="81">
        <v>6</v>
      </c>
      <c r="R78" s="81">
        <v>6</v>
      </c>
      <c r="S78" s="80">
        <v>0</v>
      </c>
      <c r="T78" s="80">
        <v>0</v>
      </c>
      <c r="U78" t="s" s="79">
        <v>122</v>
      </c>
      <c r="V78" s="80">
        <v>27</v>
      </c>
      <c r="W78" s="81">
        <v>5.87</v>
      </c>
      <c r="X78" s="81">
        <v>6.04</v>
      </c>
      <c r="Y78" s="80">
        <v>1</v>
      </c>
      <c r="Z78" s="80">
        <v>2</v>
      </c>
      <c r="AA78" t="s" s="79">
        <v>123</v>
      </c>
      <c r="AB78" t="s" s="79">
        <v>124</v>
      </c>
      <c r="AC78" t="s" s="79">
        <v>124</v>
      </c>
      <c r="AD78" t="s" s="82">
        <v>125</v>
      </c>
      <c r="AE78" s="67"/>
    </row>
    <row r="79" ht="15" customHeight="1">
      <c r="A79" t="s" s="86">
        <v>30</v>
      </c>
      <c r="B79" s="69">
        <v>53.8</v>
      </c>
      <c r="C79" t="b" s="70">
        <v>0</v>
      </c>
      <c r="D79" s="71"/>
      <c r="E79" t="s" s="72">
        <v>803</v>
      </c>
      <c r="F79" t="s" s="72">
        <v>144</v>
      </c>
      <c r="G79" s="73">
        <v>20</v>
      </c>
      <c r="H79" t="s" s="72">
        <v>804</v>
      </c>
      <c r="I79" t="s" s="72">
        <v>804</v>
      </c>
      <c r="J79" s="73">
        <v>27</v>
      </c>
      <c r="K79" t="s" s="72">
        <v>128</v>
      </c>
      <c r="L79" t="s" s="72">
        <v>328</v>
      </c>
      <c r="M79" s="71"/>
      <c r="N79" s="71"/>
      <c r="O79" s="71"/>
      <c r="P79" s="73">
        <v>1</v>
      </c>
      <c r="Q79" s="74">
        <v>6</v>
      </c>
      <c r="R79" s="74">
        <v>6</v>
      </c>
      <c r="S79" s="73">
        <v>0</v>
      </c>
      <c r="T79" s="73">
        <v>0</v>
      </c>
      <c r="U79" t="s" s="72">
        <v>122</v>
      </c>
      <c r="V79" s="73">
        <v>23</v>
      </c>
      <c r="W79" s="74">
        <v>5.87</v>
      </c>
      <c r="X79" s="74">
        <v>6.22</v>
      </c>
      <c r="Y79" s="73">
        <v>3</v>
      </c>
      <c r="Z79" s="73">
        <v>1</v>
      </c>
      <c r="AA79" t="s" s="72">
        <v>123</v>
      </c>
      <c r="AB79" t="s" s="72">
        <v>124</v>
      </c>
      <c r="AC79" t="s" s="72">
        <v>124</v>
      </c>
      <c r="AD79" t="s" s="75">
        <v>125</v>
      </c>
      <c r="AE79" s="67"/>
    </row>
    <row r="80" ht="15" customHeight="1">
      <c r="A80" t="s" s="86">
        <v>30</v>
      </c>
      <c r="B80" s="76">
        <v>53</v>
      </c>
      <c r="C80" t="b" s="77">
        <v>0</v>
      </c>
      <c r="D80" t="s" s="85">
        <v>161</v>
      </c>
      <c r="E80" t="s" s="79">
        <v>805</v>
      </c>
      <c r="F80" t="s" s="79">
        <v>183</v>
      </c>
      <c r="G80" s="80">
        <v>18</v>
      </c>
      <c r="H80" t="s" s="79">
        <v>118</v>
      </c>
      <c r="I80" t="s" s="79">
        <v>432</v>
      </c>
      <c r="J80" s="80">
        <v>29</v>
      </c>
      <c r="K80" t="s" s="79">
        <v>395</v>
      </c>
      <c r="L80" t="s" s="79">
        <v>154</v>
      </c>
      <c r="M80" s="78"/>
      <c r="N80" s="78"/>
      <c r="O80" s="78"/>
      <c r="P80" s="80">
        <v>2</v>
      </c>
      <c r="Q80" s="81">
        <v>5.5</v>
      </c>
      <c r="R80" s="81">
        <v>5.5</v>
      </c>
      <c r="S80" s="80">
        <v>0</v>
      </c>
      <c r="T80" s="80">
        <v>0</v>
      </c>
      <c r="U80" t="s" s="79">
        <v>122</v>
      </c>
      <c r="V80" s="80">
        <v>23</v>
      </c>
      <c r="W80" s="81">
        <v>5.98</v>
      </c>
      <c r="X80" s="81">
        <v>6.33</v>
      </c>
      <c r="Y80" s="80">
        <v>2</v>
      </c>
      <c r="Z80" s="80">
        <v>3</v>
      </c>
      <c r="AA80" t="s" s="79">
        <v>123</v>
      </c>
      <c r="AB80" t="s" s="79">
        <v>124</v>
      </c>
      <c r="AC80" t="s" s="79">
        <v>124</v>
      </c>
      <c r="AD80" t="s" s="82">
        <v>125</v>
      </c>
      <c r="AE80" s="67"/>
    </row>
    <row r="81" ht="15" customHeight="1">
      <c r="A81" t="s" s="86">
        <v>30</v>
      </c>
      <c r="B81" s="69">
        <v>52.8</v>
      </c>
      <c r="C81" t="b" s="70">
        <v>0</v>
      </c>
      <c r="D81" s="71"/>
      <c r="E81" t="s" s="72">
        <v>806</v>
      </c>
      <c r="F81" t="s" s="72">
        <v>117</v>
      </c>
      <c r="G81" s="73">
        <v>26</v>
      </c>
      <c r="H81" t="s" s="72">
        <v>175</v>
      </c>
      <c r="I81" t="s" s="72">
        <v>200</v>
      </c>
      <c r="J81" s="73">
        <v>35</v>
      </c>
      <c r="K81" t="s" s="72">
        <v>157</v>
      </c>
      <c r="L81" t="s" s="72">
        <v>121</v>
      </c>
      <c r="M81" s="71"/>
      <c r="N81" s="71"/>
      <c r="O81" s="71"/>
      <c r="P81" s="73">
        <v>0</v>
      </c>
      <c r="Q81" s="74">
        <v>0</v>
      </c>
      <c r="R81" s="74">
        <v>0</v>
      </c>
      <c r="S81" s="73">
        <v>0</v>
      </c>
      <c r="T81" s="73">
        <v>0</v>
      </c>
      <c r="U81" t="s" s="72">
        <v>122</v>
      </c>
      <c r="V81" s="73">
        <v>34</v>
      </c>
      <c r="W81" s="74">
        <v>5.97</v>
      </c>
      <c r="X81" s="74">
        <v>6</v>
      </c>
      <c r="Y81" s="73">
        <v>1</v>
      </c>
      <c r="Z81" s="73">
        <v>2</v>
      </c>
      <c r="AA81" t="s" s="72">
        <v>123</v>
      </c>
      <c r="AB81" t="s" s="72">
        <v>124</v>
      </c>
      <c r="AC81" t="s" s="72">
        <v>124</v>
      </c>
      <c r="AD81" t="s" s="75">
        <v>125</v>
      </c>
      <c r="AE81" s="67"/>
    </row>
    <row r="82" ht="15" customHeight="1">
      <c r="A82" t="s" s="86">
        <v>30</v>
      </c>
      <c r="B82" s="76">
        <v>52</v>
      </c>
      <c r="C82" t="b" s="77">
        <v>0</v>
      </c>
      <c r="D82" s="78"/>
      <c r="E82" t="s" s="79">
        <v>807</v>
      </c>
      <c r="F82" t="s" s="79">
        <v>147</v>
      </c>
      <c r="G82" s="80">
        <v>17</v>
      </c>
      <c r="H82" t="s" s="79">
        <v>118</v>
      </c>
      <c r="I82" t="s" s="79">
        <v>683</v>
      </c>
      <c r="J82" s="80">
        <v>23</v>
      </c>
      <c r="K82" t="s" s="79">
        <v>128</v>
      </c>
      <c r="L82" t="s" s="79">
        <v>121</v>
      </c>
      <c r="M82" s="78"/>
      <c r="N82" t="s" s="79">
        <v>272</v>
      </c>
      <c r="O82" s="78"/>
      <c r="P82" s="80">
        <v>2</v>
      </c>
      <c r="Q82" s="81">
        <v>5.5</v>
      </c>
      <c r="R82" s="81">
        <v>5.25</v>
      </c>
      <c r="S82" s="80">
        <v>0</v>
      </c>
      <c r="T82" s="80">
        <v>0</v>
      </c>
      <c r="U82" t="s" s="79">
        <v>122</v>
      </c>
      <c r="V82" s="80">
        <v>12</v>
      </c>
      <c r="W82" s="81">
        <v>5.79</v>
      </c>
      <c r="X82" s="81">
        <v>5.75</v>
      </c>
      <c r="Y82" s="80">
        <v>0</v>
      </c>
      <c r="Z82" s="80">
        <v>0</v>
      </c>
      <c r="AA82" t="s" s="79">
        <v>123</v>
      </c>
      <c r="AB82" t="s" s="79">
        <v>124</v>
      </c>
      <c r="AC82" t="s" s="79">
        <v>124</v>
      </c>
      <c r="AD82" t="s" s="82">
        <v>125</v>
      </c>
      <c r="AE82" s="67"/>
    </row>
    <row r="83" ht="15" customHeight="1">
      <c r="A83" t="s" s="86">
        <v>30</v>
      </c>
      <c r="B83" s="69">
        <v>51.8</v>
      </c>
      <c r="C83" t="b" s="70">
        <v>0</v>
      </c>
      <c r="D83" s="71"/>
      <c r="E83" t="s" s="72">
        <v>808</v>
      </c>
      <c r="F83" t="s" s="72">
        <v>127</v>
      </c>
      <c r="G83" s="73">
        <v>24</v>
      </c>
      <c r="H83" t="s" s="72">
        <v>809</v>
      </c>
      <c r="I83" t="s" s="72">
        <v>809</v>
      </c>
      <c r="J83" s="73">
        <v>26</v>
      </c>
      <c r="K83" t="s" s="72">
        <v>810</v>
      </c>
      <c r="L83" t="s" s="72">
        <v>121</v>
      </c>
      <c r="M83" s="71"/>
      <c r="N83" s="71"/>
      <c r="O83" s="71"/>
      <c r="P83" s="73">
        <v>1</v>
      </c>
      <c r="Q83" s="74">
        <v>5.5</v>
      </c>
      <c r="R83" s="74">
        <v>5.5</v>
      </c>
      <c r="S83" s="73">
        <v>0</v>
      </c>
      <c r="T83" s="73">
        <v>0</v>
      </c>
      <c r="U83" t="s" s="72">
        <v>122</v>
      </c>
      <c r="V83" s="73">
        <v>31</v>
      </c>
      <c r="W83" s="74">
        <v>5.84</v>
      </c>
      <c r="X83" s="74">
        <v>5.98</v>
      </c>
      <c r="Y83" s="73">
        <v>1</v>
      </c>
      <c r="Z83" s="73">
        <v>3</v>
      </c>
      <c r="AA83" t="s" s="72">
        <v>123</v>
      </c>
      <c r="AB83" t="s" s="72">
        <v>124</v>
      </c>
      <c r="AC83" t="s" s="72">
        <v>124</v>
      </c>
      <c r="AD83" t="s" s="75">
        <v>125</v>
      </c>
      <c r="AE83" s="67"/>
    </row>
    <row r="84" ht="15" customHeight="1">
      <c r="A84" t="s" s="86">
        <v>30</v>
      </c>
      <c r="B84" s="76">
        <v>51.8</v>
      </c>
      <c r="C84" t="b" s="77">
        <v>0</v>
      </c>
      <c r="D84" s="78"/>
      <c r="E84" t="s" s="79">
        <v>811</v>
      </c>
      <c r="F84" t="s" s="79">
        <v>193</v>
      </c>
      <c r="G84" s="80">
        <v>20</v>
      </c>
      <c r="H84" t="s" s="79">
        <v>164</v>
      </c>
      <c r="I84" t="s" s="79">
        <v>164</v>
      </c>
      <c r="J84" s="80">
        <v>23</v>
      </c>
      <c r="K84" t="s" s="79">
        <v>128</v>
      </c>
      <c r="L84" t="s" s="79">
        <v>121</v>
      </c>
      <c r="M84" s="78"/>
      <c r="N84" s="78"/>
      <c r="O84" s="78"/>
      <c r="P84" s="80">
        <v>0</v>
      </c>
      <c r="Q84" s="81">
        <v>0</v>
      </c>
      <c r="R84" s="81">
        <v>0</v>
      </c>
      <c r="S84" s="80">
        <v>0</v>
      </c>
      <c r="T84" s="80">
        <v>0</v>
      </c>
      <c r="U84" t="s" s="79">
        <v>122</v>
      </c>
      <c r="V84" s="80">
        <v>22</v>
      </c>
      <c r="W84" s="81">
        <v>5.75</v>
      </c>
      <c r="X84" s="81">
        <v>6</v>
      </c>
      <c r="Y84" s="80">
        <v>2</v>
      </c>
      <c r="Z84" s="80">
        <v>0</v>
      </c>
      <c r="AA84" t="s" s="79">
        <v>123</v>
      </c>
      <c r="AB84" t="s" s="79">
        <v>124</v>
      </c>
      <c r="AC84" t="s" s="79">
        <v>124</v>
      </c>
      <c r="AD84" t="s" s="82">
        <v>125</v>
      </c>
      <c r="AE84" s="67"/>
    </row>
    <row r="85" ht="15" customHeight="1">
      <c r="A85" t="s" s="86">
        <v>30</v>
      </c>
      <c r="B85" s="69">
        <v>51.7</v>
      </c>
      <c r="C85" t="b" s="70">
        <v>0</v>
      </c>
      <c r="D85" s="71"/>
      <c r="E85" t="s" s="72">
        <v>812</v>
      </c>
      <c r="F85" t="s" s="72">
        <v>163</v>
      </c>
      <c r="G85" s="73">
        <v>23</v>
      </c>
      <c r="H85" t="s" s="72">
        <v>175</v>
      </c>
      <c r="I85" t="s" s="72">
        <v>813</v>
      </c>
      <c r="J85" s="73">
        <v>22</v>
      </c>
      <c r="K85" t="s" s="72">
        <v>814</v>
      </c>
      <c r="L85" t="s" s="72">
        <v>154</v>
      </c>
      <c r="M85" s="71"/>
      <c r="N85" t="s" s="72">
        <v>311</v>
      </c>
      <c r="O85" s="71"/>
      <c r="P85" s="73">
        <v>2</v>
      </c>
      <c r="Q85" s="74">
        <v>5.25</v>
      </c>
      <c r="R85" s="74">
        <v>5.5</v>
      </c>
      <c r="S85" s="73">
        <v>0</v>
      </c>
      <c r="T85" s="73">
        <v>1</v>
      </c>
      <c r="U85" t="s" s="72">
        <v>122</v>
      </c>
      <c r="V85" s="73">
        <v>28</v>
      </c>
      <c r="W85" s="74">
        <v>5.82</v>
      </c>
      <c r="X85" s="74">
        <v>5.77</v>
      </c>
      <c r="Y85" s="73">
        <v>0</v>
      </c>
      <c r="Z85" s="73">
        <v>1</v>
      </c>
      <c r="AA85" t="s" s="72">
        <v>123</v>
      </c>
      <c r="AB85" t="s" s="72">
        <v>124</v>
      </c>
      <c r="AC85" t="s" s="72">
        <v>124</v>
      </c>
      <c r="AD85" t="s" s="75">
        <v>125</v>
      </c>
      <c r="AE85" s="67"/>
    </row>
    <row r="86" ht="15" customHeight="1">
      <c r="A86" t="s" s="86">
        <v>30</v>
      </c>
      <c r="B86" s="76">
        <v>51.3</v>
      </c>
      <c r="C86" t="b" s="77">
        <v>0</v>
      </c>
      <c r="D86" s="78"/>
      <c r="E86" t="s" s="79">
        <v>815</v>
      </c>
      <c r="F86" t="s" s="79">
        <v>163</v>
      </c>
      <c r="G86" s="80">
        <v>27</v>
      </c>
      <c r="H86" t="s" s="79">
        <v>175</v>
      </c>
      <c r="I86" t="s" s="79">
        <v>816</v>
      </c>
      <c r="J86" s="80">
        <v>23</v>
      </c>
      <c r="K86" t="s" s="79">
        <v>128</v>
      </c>
      <c r="L86" t="s" s="79">
        <v>121</v>
      </c>
      <c r="M86" s="78"/>
      <c r="N86" s="78"/>
      <c r="O86" t="s" s="88">
        <v>268</v>
      </c>
      <c r="P86" s="80">
        <v>1</v>
      </c>
      <c r="Q86" s="81">
        <v>5</v>
      </c>
      <c r="R86" s="81">
        <v>5</v>
      </c>
      <c r="S86" s="80">
        <v>0</v>
      </c>
      <c r="T86" s="80">
        <v>0</v>
      </c>
      <c r="U86" t="s" s="79">
        <v>122</v>
      </c>
      <c r="V86" s="80">
        <v>32</v>
      </c>
      <c r="W86" s="81">
        <v>6.03</v>
      </c>
      <c r="X86" s="81">
        <v>6.52</v>
      </c>
      <c r="Y86" s="80">
        <v>6</v>
      </c>
      <c r="Z86" s="80">
        <v>0</v>
      </c>
      <c r="AA86" t="s" s="79">
        <v>123</v>
      </c>
      <c r="AB86" t="s" s="79">
        <v>124</v>
      </c>
      <c r="AC86" t="s" s="79">
        <v>124</v>
      </c>
      <c r="AD86" t="s" s="82">
        <v>125</v>
      </c>
      <c r="AE86" s="67"/>
    </row>
    <row r="87" ht="15" customHeight="1">
      <c r="A87" t="s" s="86">
        <v>30</v>
      </c>
      <c r="B87" s="69">
        <v>51.2</v>
      </c>
      <c r="C87" t="b" s="70">
        <v>0</v>
      </c>
      <c r="D87" s="71"/>
      <c r="E87" t="s" s="72">
        <v>817</v>
      </c>
      <c r="F87" t="s" s="72">
        <v>159</v>
      </c>
      <c r="G87" s="73">
        <v>23</v>
      </c>
      <c r="H87" t="s" s="72">
        <v>175</v>
      </c>
      <c r="I87" t="s" s="72">
        <v>175</v>
      </c>
      <c r="J87" s="73">
        <v>28</v>
      </c>
      <c r="K87" t="s" s="72">
        <v>145</v>
      </c>
      <c r="L87" t="s" s="72">
        <v>121</v>
      </c>
      <c r="M87" s="71"/>
      <c r="N87" s="71"/>
      <c r="O87" s="71"/>
      <c r="P87" s="73">
        <v>2</v>
      </c>
      <c r="Q87" s="74">
        <v>6.25</v>
      </c>
      <c r="R87" s="74">
        <v>7.5</v>
      </c>
      <c r="S87" s="73">
        <v>1</v>
      </c>
      <c r="T87" s="73">
        <v>0</v>
      </c>
      <c r="U87" t="s" s="72">
        <v>122</v>
      </c>
      <c r="V87" s="73">
        <v>31</v>
      </c>
      <c r="W87" s="74">
        <v>5.84</v>
      </c>
      <c r="X87" s="74">
        <v>5.9</v>
      </c>
      <c r="Y87" s="73">
        <v>1</v>
      </c>
      <c r="Z87" s="73">
        <v>0</v>
      </c>
      <c r="AA87" t="s" s="72">
        <v>123</v>
      </c>
      <c r="AB87" t="s" s="72">
        <v>124</v>
      </c>
      <c r="AC87" t="s" s="72">
        <v>124</v>
      </c>
      <c r="AD87" t="s" s="75">
        <v>125</v>
      </c>
      <c r="AE87" s="67"/>
    </row>
    <row r="88" ht="15" customHeight="1">
      <c r="A88" t="s" s="86">
        <v>30</v>
      </c>
      <c r="B88" s="76">
        <v>50.3</v>
      </c>
      <c r="C88" t="b" s="77">
        <v>0</v>
      </c>
      <c r="D88" t="s" s="85">
        <v>191</v>
      </c>
      <c r="E88" t="s" s="79">
        <v>818</v>
      </c>
      <c r="F88" t="s" s="79">
        <v>183</v>
      </c>
      <c r="G88" s="80">
        <v>17</v>
      </c>
      <c r="H88" t="s" s="79">
        <v>118</v>
      </c>
      <c r="I88" t="s" s="79">
        <v>745</v>
      </c>
      <c r="J88" s="80">
        <v>29</v>
      </c>
      <c r="K88" t="s" s="79">
        <v>136</v>
      </c>
      <c r="L88" t="s" s="79">
        <v>154</v>
      </c>
      <c r="M88" s="78"/>
      <c r="N88" t="s" s="79">
        <v>311</v>
      </c>
      <c r="O88" s="78"/>
      <c r="P88" s="80">
        <v>2</v>
      </c>
      <c r="Q88" s="81">
        <v>5.75</v>
      </c>
      <c r="R88" s="81">
        <v>5.5</v>
      </c>
      <c r="S88" s="80">
        <v>0</v>
      </c>
      <c r="T88" s="80">
        <v>0</v>
      </c>
      <c r="U88" t="s" s="79">
        <v>122</v>
      </c>
      <c r="V88" s="78"/>
      <c r="W88" s="78"/>
      <c r="X88" s="78"/>
      <c r="Y88" s="78"/>
      <c r="Z88" s="78"/>
      <c r="AA88" s="78"/>
      <c r="AB88" t="s" s="79">
        <v>124</v>
      </c>
      <c r="AC88" t="s" s="79">
        <v>124</v>
      </c>
      <c r="AD88" t="s" s="82">
        <v>125</v>
      </c>
      <c r="AE88" s="67"/>
    </row>
    <row r="89" ht="15" customHeight="1">
      <c r="A89" t="s" s="86">
        <v>30</v>
      </c>
      <c r="B89" s="69">
        <v>50.1</v>
      </c>
      <c r="C89" t="b" s="70">
        <v>0</v>
      </c>
      <c r="D89" s="71"/>
      <c r="E89" t="s" s="72">
        <v>819</v>
      </c>
      <c r="F89" t="s" s="72">
        <v>141</v>
      </c>
      <c r="G89" s="73">
        <v>23</v>
      </c>
      <c r="H89" t="s" s="72">
        <v>175</v>
      </c>
      <c r="I89" t="s" s="72">
        <v>175</v>
      </c>
      <c r="J89" s="73">
        <v>25</v>
      </c>
      <c r="K89" t="s" s="72">
        <v>128</v>
      </c>
      <c r="L89" t="s" s="72">
        <v>121</v>
      </c>
      <c r="M89" s="71"/>
      <c r="N89" s="71"/>
      <c r="O89" s="71"/>
      <c r="P89" s="73">
        <v>1</v>
      </c>
      <c r="Q89" s="74">
        <v>6</v>
      </c>
      <c r="R89" s="74">
        <v>6</v>
      </c>
      <c r="S89" s="73">
        <v>0</v>
      </c>
      <c r="T89" s="73">
        <v>0</v>
      </c>
      <c r="U89" t="s" s="72">
        <v>122</v>
      </c>
      <c r="V89" s="73">
        <v>29</v>
      </c>
      <c r="W89" s="74">
        <v>5.98</v>
      </c>
      <c r="X89" s="74">
        <v>6.16</v>
      </c>
      <c r="Y89" s="73">
        <v>1</v>
      </c>
      <c r="Z89" s="73">
        <v>3</v>
      </c>
      <c r="AA89" t="s" s="72">
        <v>123</v>
      </c>
      <c r="AB89" t="s" s="72">
        <v>124</v>
      </c>
      <c r="AC89" t="s" s="72">
        <v>124</v>
      </c>
      <c r="AD89" t="s" s="75">
        <v>125</v>
      </c>
      <c r="AE89" s="67"/>
    </row>
    <row r="90" ht="15" customHeight="1">
      <c r="A90" t="s" s="86">
        <v>30</v>
      </c>
      <c r="B90" s="76">
        <v>50</v>
      </c>
      <c r="C90" t="b" s="77">
        <v>0</v>
      </c>
      <c r="D90" s="78"/>
      <c r="E90" t="s" s="79">
        <v>820</v>
      </c>
      <c r="F90" t="s" s="79">
        <v>168</v>
      </c>
      <c r="G90" s="80">
        <v>21</v>
      </c>
      <c r="H90" t="s" s="79">
        <v>175</v>
      </c>
      <c r="I90" t="s" s="79">
        <v>821</v>
      </c>
      <c r="J90" s="80">
        <v>22</v>
      </c>
      <c r="K90" t="s" s="79">
        <v>822</v>
      </c>
      <c r="L90" t="s" s="79">
        <v>121</v>
      </c>
      <c r="M90" s="78"/>
      <c r="N90" t="s" s="79">
        <v>272</v>
      </c>
      <c r="O90" s="78"/>
      <c r="P90" s="80">
        <v>0</v>
      </c>
      <c r="Q90" s="81">
        <v>0</v>
      </c>
      <c r="R90" s="81">
        <v>0</v>
      </c>
      <c r="S90" s="80">
        <v>0</v>
      </c>
      <c r="T90" s="80">
        <v>0</v>
      </c>
      <c r="U90" t="s" s="79">
        <v>122</v>
      </c>
      <c r="V90" s="80">
        <v>12</v>
      </c>
      <c r="W90" s="81">
        <v>6.25</v>
      </c>
      <c r="X90" s="81">
        <v>7</v>
      </c>
      <c r="Y90" s="80">
        <v>2</v>
      </c>
      <c r="Z90" s="80">
        <v>3</v>
      </c>
      <c r="AA90" t="s" s="79">
        <v>123</v>
      </c>
      <c r="AB90" t="s" s="79">
        <v>124</v>
      </c>
      <c r="AC90" t="s" s="79">
        <v>124</v>
      </c>
      <c r="AD90" t="s" s="82">
        <v>125</v>
      </c>
      <c r="AE90" s="67"/>
    </row>
    <row r="91" ht="15" customHeight="1">
      <c r="A91" t="s" s="86">
        <v>30</v>
      </c>
      <c r="B91" s="69">
        <v>49.8</v>
      </c>
      <c r="C91" t="b" s="70">
        <v>0</v>
      </c>
      <c r="D91" s="71"/>
      <c r="E91" t="s" s="72">
        <v>823</v>
      </c>
      <c r="F91" t="s" s="72">
        <v>138</v>
      </c>
      <c r="G91" s="73">
        <v>31</v>
      </c>
      <c r="H91" t="s" s="72">
        <v>175</v>
      </c>
      <c r="I91" t="s" s="72">
        <v>569</v>
      </c>
      <c r="J91" s="73">
        <v>23</v>
      </c>
      <c r="K91" t="s" s="72">
        <v>190</v>
      </c>
      <c r="L91" t="s" s="72">
        <v>121</v>
      </c>
      <c r="M91" s="71"/>
      <c r="N91" s="71"/>
      <c r="O91" t="s" s="88">
        <v>268</v>
      </c>
      <c r="P91" s="73">
        <v>0</v>
      </c>
      <c r="Q91" s="74">
        <v>0</v>
      </c>
      <c r="R91" s="74">
        <v>0</v>
      </c>
      <c r="S91" s="73">
        <v>0</v>
      </c>
      <c r="T91" s="73">
        <v>0</v>
      </c>
      <c r="U91" t="s" s="72">
        <v>122</v>
      </c>
      <c r="V91" s="71"/>
      <c r="W91" s="71"/>
      <c r="X91" s="71"/>
      <c r="Y91" s="71"/>
      <c r="Z91" s="71"/>
      <c r="AA91" s="71"/>
      <c r="AB91" t="s" s="72">
        <v>124</v>
      </c>
      <c r="AC91" t="s" s="72">
        <v>124</v>
      </c>
      <c r="AD91" t="s" s="75">
        <v>125</v>
      </c>
      <c r="AE91" s="67"/>
    </row>
    <row r="92" ht="15" customHeight="1">
      <c r="A92" t="s" s="86">
        <v>30</v>
      </c>
      <c r="B92" s="76">
        <v>49.5</v>
      </c>
      <c r="C92" t="b" s="77">
        <v>0</v>
      </c>
      <c r="D92" t="s" s="85">
        <v>178</v>
      </c>
      <c r="E92" t="s" s="79">
        <v>824</v>
      </c>
      <c r="F92" t="s" s="79">
        <v>170</v>
      </c>
      <c r="G92" s="80">
        <v>18</v>
      </c>
      <c r="H92" t="s" s="79">
        <v>825</v>
      </c>
      <c r="I92" t="s" s="79">
        <v>826</v>
      </c>
      <c r="J92" s="80">
        <v>20</v>
      </c>
      <c r="K92" t="s" s="79">
        <v>466</v>
      </c>
      <c r="L92" t="s" s="79">
        <v>121</v>
      </c>
      <c r="M92" s="78"/>
      <c r="N92" s="78"/>
      <c r="O92" s="78"/>
      <c r="P92" s="80">
        <v>2</v>
      </c>
      <c r="Q92" s="81">
        <v>5.5</v>
      </c>
      <c r="R92" s="81">
        <v>5.5</v>
      </c>
      <c r="S92" s="80">
        <v>0</v>
      </c>
      <c r="T92" s="80">
        <v>0</v>
      </c>
      <c r="U92" t="s" s="79">
        <v>122</v>
      </c>
      <c r="V92" s="78"/>
      <c r="W92" s="78"/>
      <c r="X92" s="78"/>
      <c r="Y92" s="78"/>
      <c r="Z92" s="78"/>
      <c r="AA92" s="78"/>
      <c r="AB92" t="s" s="79">
        <v>124</v>
      </c>
      <c r="AC92" t="s" s="79">
        <v>124</v>
      </c>
      <c r="AD92" t="s" s="82">
        <v>125</v>
      </c>
      <c r="AE92" s="67"/>
    </row>
    <row r="93" ht="15" customHeight="1">
      <c r="A93" t="s" s="86">
        <v>30</v>
      </c>
      <c r="B93" s="69">
        <v>49.1</v>
      </c>
      <c r="C93" t="b" s="70">
        <v>0</v>
      </c>
      <c r="D93" s="71"/>
      <c r="E93" t="s" s="72">
        <v>827</v>
      </c>
      <c r="F93" t="s" s="72">
        <v>156</v>
      </c>
      <c r="G93" s="73">
        <v>17</v>
      </c>
      <c r="H93" t="s" s="72">
        <v>118</v>
      </c>
      <c r="I93" t="s" s="72">
        <v>118</v>
      </c>
      <c r="J93" s="73">
        <v>24</v>
      </c>
      <c r="K93" t="s" s="72">
        <v>727</v>
      </c>
      <c r="L93" t="s" s="72">
        <v>154</v>
      </c>
      <c r="M93" s="71"/>
      <c r="N93" s="71"/>
      <c r="O93" s="71"/>
      <c r="P93" s="73">
        <v>3</v>
      </c>
      <c r="Q93" s="74">
        <v>5.5</v>
      </c>
      <c r="R93" s="74">
        <v>5.5</v>
      </c>
      <c r="S93" s="73">
        <v>0</v>
      </c>
      <c r="T93" s="73">
        <v>0</v>
      </c>
      <c r="U93" t="s" s="72">
        <v>122</v>
      </c>
      <c r="V93" s="73">
        <v>35</v>
      </c>
      <c r="W93" s="74">
        <v>5.8</v>
      </c>
      <c r="X93" s="74">
        <v>5.87</v>
      </c>
      <c r="Y93" s="73">
        <v>1</v>
      </c>
      <c r="Z93" s="73">
        <v>1</v>
      </c>
      <c r="AA93" t="s" s="72">
        <v>123</v>
      </c>
      <c r="AB93" t="s" s="72">
        <v>124</v>
      </c>
      <c r="AC93" t="s" s="72">
        <v>124</v>
      </c>
      <c r="AD93" t="s" s="75">
        <v>125</v>
      </c>
      <c r="AE93" s="67"/>
    </row>
    <row r="94" ht="15" customHeight="1">
      <c r="A94" t="s" s="86">
        <v>30</v>
      </c>
      <c r="B94" s="76">
        <v>48.7</v>
      </c>
      <c r="C94" t="b" s="77">
        <v>0</v>
      </c>
      <c r="D94" s="78"/>
      <c r="E94" t="s" s="79">
        <v>828</v>
      </c>
      <c r="F94" t="s" s="79">
        <v>130</v>
      </c>
      <c r="G94" s="80">
        <v>26</v>
      </c>
      <c r="H94" t="s" s="79">
        <v>175</v>
      </c>
      <c r="I94" t="s" s="79">
        <v>493</v>
      </c>
      <c r="J94" s="80">
        <v>22</v>
      </c>
      <c r="K94" t="s" s="79">
        <v>829</v>
      </c>
      <c r="L94" t="s" s="79">
        <v>154</v>
      </c>
      <c r="M94" s="78"/>
      <c r="N94" s="78"/>
      <c r="O94" s="78"/>
      <c r="P94" s="80">
        <v>0</v>
      </c>
      <c r="Q94" s="81">
        <v>0</v>
      </c>
      <c r="R94" s="81">
        <v>0</v>
      </c>
      <c r="S94" s="80">
        <v>0</v>
      </c>
      <c r="T94" s="80">
        <v>0</v>
      </c>
      <c r="U94" t="s" s="79">
        <v>122</v>
      </c>
      <c r="V94" s="78"/>
      <c r="W94" s="78"/>
      <c r="X94" s="78"/>
      <c r="Y94" s="78"/>
      <c r="Z94" s="78"/>
      <c r="AA94" s="78"/>
      <c r="AB94" t="s" s="79">
        <v>124</v>
      </c>
      <c r="AC94" t="s" s="79">
        <v>124</v>
      </c>
      <c r="AD94" t="s" s="82">
        <v>125</v>
      </c>
      <c r="AE94" s="67"/>
    </row>
    <row r="95" ht="15" customHeight="1">
      <c r="A95" t="s" s="86">
        <v>30</v>
      </c>
      <c r="B95" s="69">
        <v>48.6</v>
      </c>
      <c r="C95" t="b" s="70">
        <v>0</v>
      </c>
      <c r="D95" t="s" s="84">
        <v>161</v>
      </c>
      <c r="E95" t="s" s="72">
        <v>830</v>
      </c>
      <c r="F95" t="s" s="72">
        <v>138</v>
      </c>
      <c r="G95" s="73">
        <v>22</v>
      </c>
      <c r="H95" t="s" s="72">
        <v>175</v>
      </c>
      <c r="I95" t="s" s="72">
        <v>408</v>
      </c>
      <c r="J95" s="73">
        <v>28</v>
      </c>
      <c r="K95" t="s" s="72">
        <v>277</v>
      </c>
      <c r="L95" t="s" s="72">
        <v>121</v>
      </c>
      <c r="M95" s="71"/>
      <c r="N95" s="71"/>
      <c r="O95" s="71"/>
      <c r="P95" s="73">
        <v>2</v>
      </c>
      <c r="Q95" s="74">
        <v>5.75</v>
      </c>
      <c r="R95" s="74">
        <v>5.75</v>
      </c>
      <c r="S95" s="73">
        <v>0</v>
      </c>
      <c r="T95" s="73">
        <v>0</v>
      </c>
      <c r="U95" t="s" s="72">
        <v>122</v>
      </c>
      <c r="V95" s="73">
        <v>0</v>
      </c>
      <c r="W95" s="74">
        <v>0</v>
      </c>
      <c r="X95" s="74">
        <v>0</v>
      </c>
      <c r="Y95" s="73">
        <v>0</v>
      </c>
      <c r="Z95" s="73">
        <v>0</v>
      </c>
      <c r="AA95" t="s" s="72">
        <v>123</v>
      </c>
      <c r="AB95" t="s" s="72">
        <v>124</v>
      </c>
      <c r="AC95" t="s" s="72">
        <v>124</v>
      </c>
      <c r="AD95" t="s" s="75">
        <v>125</v>
      </c>
      <c r="AE95" s="67"/>
    </row>
    <row r="96" ht="15" customHeight="1">
      <c r="A96" t="s" s="86">
        <v>30</v>
      </c>
      <c r="B96" s="76">
        <v>47.4</v>
      </c>
      <c r="C96" t="b" s="77">
        <v>0</v>
      </c>
      <c r="D96" t="s" s="85">
        <v>161</v>
      </c>
      <c r="E96" t="s" s="79">
        <v>831</v>
      </c>
      <c r="F96" t="s" s="79">
        <v>134</v>
      </c>
      <c r="G96" s="80">
        <v>21</v>
      </c>
      <c r="H96" t="s" s="79">
        <v>175</v>
      </c>
      <c r="I96" t="s" s="79">
        <v>218</v>
      </c>
      <c r="J96" s="80">
        <v>23</v>
      </c>
      <c r="K96" t="s" s="79">
        <v>609</v>
      </c>
      <c r="L96" t="s" s="79">
        <v>154</v>
      </c>
      <c r="M96" s="78"/>
      <c r="N96" s="78"/>
      <c r="O96" s="78"/>
      <c r="P96" s="80">
        <v>1</v>
      </c>
      <c r="Q96" s="81">
        <v>7</v>
      </c>
      <c r="R96" s="81">
        <v>9</v>
      </c>
      <c r="S96" s="80">
        <v>0</v>
      </c>
      <c r="T96" s="80">
        <v>2</v>
      </c>
      <c r="U96" t="s" s="79">
        <v>122</v>
      </c>
      <c r="V96" s="80">
        <v>11</v>
      </c>
      <c r="W96" s="81">
        <v>6.14</v>
      </c>
      <c r="X96" s="81">
        <v>6.41</v>
      </c>
      <c r="Y96" s="80">
        <v>1</v>
      </c>
      <c r="Z96" s="80">
        <v>0</v>
      </c>
      <c r="AA96" t="s" s="79">
        <v>123</v>
      </c>
      <c r="AB96" t="s" s="79">
        <v>124</v>
      </c>
      <c r="AC96" t="s" s="79">
        <v>124</v>
      </c>
      <c r="AD96" t="s" s="82">
        <v>125</v>
      </c>
      <c r="AE96" s="67"/>
    </row>
    <row r="97" ht="15" customHeight="1">
      <c r="A97" t="s" s="86">
        <v>30</v>
      </c>
      <c r="B97" s="69">
        <v>47.4</v>
      </c>
      <c r="C97" t="b" s="70">
        <v>0</v>
      </c>
      <c r="D97" t="s" s="84">
        <v>161</v>
      </c>
      <c r="E97" t="s" s="72">
        <v>832</v>
      </c>
      <c r="F97" t="s" s="72">
        <v>180</v>
      </c>
      <c r="G97" s="73">
        <v>19</v>
      </c>
      <c r="H97" t="s" s="72">
        <v>164</v>
      </c>
      <c r="I97" t="s" s="72">
        <v>833</v>
      </c>
      <c r="J97" s="73">
        <v>26</v>
      </c>
      <c r="K97" t="s" s="72">
        <v>236</v>
      </c>
      <c r="L97" t="s" s="72">
        <v>121</v>
      </c>
      <c r="M97" s="71"/>
      <c r="N97" t="s" s="72">
        <v>272</v>
      </c>
      <c r="O97" t="s" s="88">
        <v>834</v>
      </c>
      <c r="P97" s="73">
        <v>2</v>
      </c>
      <c r="Q97" s="74">
        <v>5.75</v>
      </c>
      <c r="R97" s="74">
        <v>5.5</v>
      </c>
      <c r="S97" s="73">
        <v>0</v>
      </c>
      <c r="T97" s="73">
        <v>0</v>
      </c>
      <c r="U97" t="s" s="72">
        <v>122</v>
      </c>
      <c r="V97" s="71"/>
      <c r="W97" s="71"/>
      <c r="X97" s="71"/>
      <c r="Y97" s="71"/>
      <c r="Z97" s="71"/>
      <c r="AA97" s="71"/>
      <c r="AB97" t="s" s="72">
        <v>124</v>
      </c>
      <c r="AC97" t="s" s="72">
        <v>124</v>
      </c>
      <c r="AD97" t="s" s="75">
        <v>125</v>
      </c>
      <c r="AE97" s="67"/>
    </row>
    <row r="98" ht="15" customHeight="1">
      <c r="A98" t="s" s="86">
        <v>30</v>
      </c>
      <c r="B98" s="76">
        <v>47</v>
      </c>
      <c r="C98" t="b" s="77">
        <v>0</v>
      </c>
      <c r="D98" t="s" s="85">
        <v>191</v>
      </c>
      <c r="E98" t="s" s="79">
        <v>835</v>
      </c>
      <c r="F98" t="s" s="79">
        <v>187</v>
      </c>
      <c r="G98" s="80">
        <v>20</v>
      </c>
      <c r="H98" t="s" s="79">
        <v>175</v>
      </c>
      <c r="I98" t="s" s="79">
        <v>836</v>
      </c>
      <c r="J98" s="80">
        <v>27</v>
      </c>
      <c r="K98" t="s" s="79">
        <v>128</v>
      </c>
      <c r="L98" t="s" s="79">
        <v>154</v>
      </c>
      <c r="M98" s="78"/>
      <c r="N98" t="s" s="79">
        <v>272</v>
      </c>
      <c r="O98" s="78"/>
      <c r="P98" s="80">
        <v>2</v>
      </c>
      <c r="Q98" s="81">
        <v>5.75</v>
      </c>
      <c r="R98" s="81">
        <v>7.25</v>
      </c>
      <c r="S98" s="80">
        <v>1</v>
      </c>
      <c r="T98" s="80">
        <v>0</v>
      </c>
      <c r="U98" t="s" s="79">
        <v>122</v>
      </c>
      <c r="V98" s="78"/>
      <c r="W98" s="78"/>
      <c r="X98" s="78"/>
      <c r="Y98" s="78"/>
      <c r="Z98" s="78"/>
      <c r="AA98" s="78"/>
      <c r="AB98" t="s" s="79">
        <v>124</v>
      </c>
      <c r="AC98" t="s" s="79">
        <v>124</v>
      </c>
      <c r="AD98" t="s" s="82">
        <v>125</v>
      </c>
      <c r="AE98" s="67"/>
    </row>
    <row r="99" ht="15" customHeight="1">
      <c r="A99" t="s" s="86">
        <v>30</v>
      </c>
      <c r="B99" s="69">
        <v>46.6</v>
      </c>
      <c r="C99" t="b" s="70">
        <v>0</v>
      </c>
      <c r="D99" t="s" s="84">
        <v>161</v>
      </c>
      <c r="E99" t="s" s="72">
        <v>837</v>
      </c>
      <c r="F99" t="s" s="72">
        <v>187</v>
      </c>
      <c r="G99" s="73">
        <v>16</v>
      </c>
      <c r="H99" t="s" s="72">
        <v>164</v>
      </c>
      <c r="I99" t="s" s="72">
        <v>838</v>
      </c>
      <c r="J99" s="73">
        <v>28</v>
      </c>
      <c r="K99" t="s" s="72">
        <v>437</v>
      </c>
      <c r="L99" t="s" s="72">
        <v>121</v>
      </c>
      <c r="M99" s="71"/>
      <c r="N99" s="71"/>
      <c r="O99" s="71"/>
      <c r="P99" s="73">
        <v>1</v>
      </c>
      <c r="Q99" s="74">
        <v>6</v>
      </c>
      <c r="R99" s="74">
        <v>6</v>
      </c>
      <c r="S99" s="73">
        <v>0</v>
      </c>
      <c r="T99" s="73">
        <v>0</v>
      </c>
      <c r="U99" t="s" s="72">
        <v>122</v>
      </c>
      <c r="V99" s="73">
        <v>26</v>
      </c>
      <c r="W99" s="74">
        <v>5.92</v>
      </c>
      <c r="X99" s="74">
        <v>6.1</v>
      </c>
      <c r="Y99" s="73">
        <v>2</v>
      </c>
      <c r="Z99" s="73">
        <v>0</v>
      </c>
      <c r="AA99" t="s" s="72">
        <v>123</v>
      </c>
      <c r="AB99" t="s" s="72">
        <v>124</v>
      </c>
      <c r="AC99" t="s" s="72">
        <v>124</v>
      </c>
      <c r="AD99" t="s" s="75">
        <v>125</v>
      </c>
      <c r="AE99" s="67"/>
    </row>
    <row r="100" ht="15" customHeight="1">
      <c r="A100" t="s" s="86">
        <v>30</v>
      </c>
      <c r="B100" s="76">
        <v>46.5</v>
      </c>
      <c r="C100" t="b" s="77">
        <v>0</v>
      </c>
      <c r="D100" s="78"/>
      <c r="E100" t="s" s="79">
        <v>839</v>
      </c>
      <c r="F100" t="s" s="79">
        <v>147</v>
      </c>
      <c r="G100" s="80">
        <v>21</v>
      </c>
      <c r="H100" t="s" s="79">
        <v>175</v>
      </c>
      <c r="I100" t="s" s="79">
        <v>175</v>
      </c>
      <c r="J100" s="80">
        <v>24</v>
      </c>
      <c r="K100" t="s" s="79">
        <v>840</v>
      </c>
      <c r="L100" t="s" s="79">
        <v>121</v>
      </c>
      <c r="M100" s="78"/>
      <c r="N100" s="78"/>
      <c r="O100" s="78"/>
      <c r="P100" s="80">
        <v>1</v>
      </c>
      <c r="Q100" s="81">
        <v>6</v>
      </c>
      <c r="R100" s="81">
        <v>6</v>
      </c>
      <c r="S100" s="80">
        <v>0</v>
      </c>
      <c r="T100" s="80">
        <v>0</v>
      </c>
      <c r="U100" t="s" s="79">
        <v>122</v>
      </c>
      <c r="V100" s="80">
        <v>24</v>
      </c>
      <c r="W100" s="81">
        <v>5.92</v>
      </c>
      <c r="X100" s="81">
        <v>6.15</v>
      </c>
      <c r="Y100" s="80">
        <v>2</v>
      </c>
      <c r="Z100" s="80">
        <v>1</v>
      </c>
      <c r="AA100" t="s" s="79">
        <v>123</v>
      </c>
      <c r="AB100" t="s" s="79">
        <v>124</v>
      </c>
      <c r="AC100" t="s" s="79">
        <v>124</v>
      </c>
      <c r="AD100" t="s" s="82">
        <v>125</v>
      </c>
      <c r="AE100" s="67"/>
    </row>
    <row r="101" ht="15" customHeight="1">
      <c r="A101" t="s" s="86">
        <v>30</v>
      </c>
      <c r="B101" s="69">
        <v>46.4</v>
      </c>
      <c r="C101" t="b" s="70">
        <v>0</v>
      </c>
      <c r="D101" s="71"/>
      <c r="E101" t="s" s="72">
        <v>841</v>
      </c>
      <c r="F101" t="s" s="72">
        <v>168</v>
      </c>
      <c r="G101" s="73">
        <v>19</v>
      </c>
      <c r="H101" t="s" s="72">
        <v>164</v>
      </c>
      <c r="I101" t="s" s="72">
        <v>401</v>
      </c>
      <c r="J101" s="73">
        <v>27</v>
      </c>
      <c r="K101" t="s" s="72">
        <v>842</v>
      </c>
      <c r="L101" t="s" s="72">
        <v>121</v>
      </c>
      <c r="M101" s="71"/>
      <c r="N101" s="71"/>
      <c r="O101" s="71"/>
      <c r="P101" s="73">
        <v>0</v>
      </c>
      <c r="Q101" s="74">
        <v>0</v>
      </c>
      <c r="R101" s="74">
        <v>0</v>
      </c>
      <c r="S101" s="73">
        <v>0</v>
      </c>
      <c r="T101" s="73">
        <v>0</v>
      </c>
      <c r="U101" t="s" s="72">
        <v>122</v>
      </c>
      <c r="V101" s="71"/>
      <c r="W101" s="71"/>
      <c r="X101" s="71"/>
      <c r="Y101" s="71"/>
      <c r="Z101" s="71"/>
      <c r="AA101" s="71"/>
      <c r="AB101" t="s" s="72">
        <v>124</v>
      </c>
      <c r="AC101" t="s" s="72">
        <v>124</v>
      </c>
      <c r="AD101" t="s" s="75">
        <v>125</v>
      </c>
      <c r="AE101" s="67"/>
    </row>
    <row r="102" ht="15" customHeight="1">
      <c r="A102" t="s" s="86">
        <v>30</v>
      </c>
      <c r="B102" s="76">
        <v>44.9</v>
      </c>
      <c r="C102" t="b" s="77">
        <v>0</v>
      </c>
      <c r="D102" s="78"/>
      <c r="E102" t="s" s="79">
        <v>843</v>
      </c>
      <c r="F102" t="s" s="79">
        <v>141</v>
      </c>
      <c r="G102" s="80">
        <v>21</v>
      </c>
      <c r="H102" t="s" s="79">
        <v>844</v>
      </c>
      <c r="I102" t="s" s="79">
        <v>845</v>
      </c>
      <c r="J102" s="80">
        <v>31</v>
      </c>
      <c r="K102" t="s" s="79">
        <v>136</v>
      </c>
      <c r="L102" t="s" s="79">
        <v>121</v>
      </c>
      <c r="M102" s="78"/>
      <c r="N102" s="78"/>
      <c r="O102" s="78"/>
      <c r="P102" s="80">
        <v>2</v>
      </c>
      <c r="Q102" s="81">
        <v>6.75</v>
      </c>
      <c r="R102" s="81">
        <v>6.75</v>
      </c>
      <c r="S102" s="80">
        <v>0</v>
      </c>
      <c r="T102" s="80">
        <v>0</v>
      </c>
      <c r="U102" t="s" s="79">
        <v>122</v>
      </c>
      <c r="V102" s="78"/>
      <c r="W102" s="78"/>
      <c r="X102" s="78"/>
      <c r="Y102" s="78"/>
      <c r="Z102" s="78"/>
      <c r="AA102" s="78"/>
      <c r="AB102" t="s" s="79">
        <v>124</v>
      </c>
      <c r="AC102" t="s" s="79">
        <v>124</v>
      </c>
      <c r="AD102" t="s" s="82">
        <v>125</v>
      </c>
      <c r="AE102" s="67"/>
    </row>
    <row r="103" ht="15" customHeight="1">
      <c r="A103" t="s" s="86">
        <v>30</v>
      </c>
      <c r="B103" s="69">
        <v>44.9</v>
      </c>
      <c r="C103" t="b" s="70">
        <v>0</v>
      </c>
      <c r="D103" s="71"/>
      <c r="E103" t="s" s="72">
        <v>846</v>
      </c>
      <c r="F103" t="s" s="72">
        <v>170</v>
      </c>
      <c r="G103" s="73">
        <v>20</v>
      </c>
      <c r="H103" t="s" s="72">
        <v>175</v>
      </c>
      <c r="I103" t="s" s="72">
        <v>175</v>
      </c>
      <c r="J103" s="73">
        <v>26</v>
      </c>
      <c r="K103" t="s" s="72">
        <v>128</v>
      </c>
      <c r="L103" t="s" s="72">
        <v>154</v>
      </c>
      <c r="M103" s="71"/>
      <c r="N103" s="71"/>
      <c r="O103" s="71"/>
      <c r="P103" s="73">
        <v>2</v>
      </c>
      <c r="Q103" s="74">
        <v>5.25</v>
      </c>
      <c r="R103" s="74">
        <v>5.25</v>
      </c>
      <c r="S103" s="73">
        <v>0</v>
      </c>
      <c r="T103" s="73">
        <v>0</v>
      </c>
      <c r="U103" t="s" s="72">
        <v>122</v>
      </c>
      <c r="V103" s="73">
        <v>19</v>
      </c>
      <c r="W103" s="74">
        <v>5.95</v>
      </c>
      <c r="X103" s="74">
        <v>6.26</v>
      </c>
      <c r="Y103" s="73">
        <v>2</v>
      </c>
      <c r="Z103" s="73">
        <v>1</v>
      </c>
      <c r="AA103" t="s" s="72">
        <v>123</v>
      </c>
      <c r="AB103" t="s" s="72">
        <v>124</v>
      </c>
      <c r="AC103" t="s" s="72">
        <v>124</v>
      </c>
      <c r="AD103" t="s" s="75">
        <v>125</v>
      </c>
      <c r="AE103" s="67"/>
    </row>
    <row r="104" ht="15" customHeight="1">
      <c r="A104" t="s" s="86">
        <v>30</v>
      </c>
      <c r="B104" s="76">
        <v>44.9</v>
      </c>
      <c r="C104" t="b" s="77">
        <v>0</v>
      </c>
      <c r="D104" s="78"/>
      <c r="E104" t="s" s="79">
        <v>847</v>
      </c>
      <c r="F104" t="s" s="79">
        <v>144</v>
      </c>
      <c r="G104" s="80">
        <v>23</v>
      </c>
      <c r="H104" t="s" s="79">
        <v>175</v>
      </c>
      <c r="I104" t="s" s="79">
        <v>493</v>
      </c>
      <c r="J104" s="80">
        <v>22</v>
      </c>
      <c r="K104" t="s" s="79">
        <v>435</v>
      </c>
      <c r="L104" t="s" s="79">
        <v>121</v>
      </c>
      <c r="M104" s="78"/>
      <c r="N104" s="78"/>
      <c r="O104" s="78"/>
      <c r="P104" s="80">
        <v>0</v>
      </c>
      <c r="Q104" s="81">
        <v>0</v>
      </c>
      <c r="R104" s="81">
        <v>0</v>
      </c>
      <c r="S104" s="80">
        <v>0</v>
      </c>
      <c r="T104" s="80">
        <v>0</v>
      </c>
      <c r="U104" t="s" s="79">
        <v>122</v>
      </c>
      <c r="V104" s="78"/>
      <c r="W104" s="78"/>
      <c r="X104" s="78"/>
      <c r="Y104" s="78"/>
      <c r="Z104" s="78"/>
      <c r="AA104" s="78"/>
      <c r="AB104" t="s" s="79">
        <v>124</v>
      </c>
      <c r="AC104" t="s" s="79">
        <v>124</v>
      </c>
      <c r="AD104" t="s" s="82">
        <v>125</v>
      </c>
      <c r="AE104" s="67"/>
    </row>
    <row r="105" ht="15" customHeight="1">
      <c r="A105" t="s" s="87">
        <v>32</v>
      </c>
      <c r="B105" s="69">
        <v>44.7</v>
      </c>
      <c r="C105" t="b" s="70">
        <v>0</v>
      </c>
      <c r="D105" s="71"/>
      <c r="E105" t="s" s="72">
        <v>848</v>
      </c>
      <c r="F105" t="s" s="72">
        <v>130</v>
      </c>
      <c r="G105" s="73">
        <v>16</v>
      </c>
      <c r="H105" t="s" s="72">
        <v>118</v>
      </c>
      <c r="I105" t="s" s="72">
        <v>118</v>
      </c>
      <c r="J105" s="73">
        <v>24</v>
      </c>
      <c r="K105" t="s" s="72">
        <v>849</v>
      </c>
      <c r="L105" t="s" s="72">
        <v>154</v>
      </c>
      <c r="M105" s="71"/>
      <c r="N105" s="71"/>
      <c r="O105" s="71"/>
      <c r="P105" s="73">
        <v>2</v>
      </c>
      <c r="Q105" s="74">
        <v>6</v>
      </c>
      <c r="R105" s="74">
        <v>6</v>
      </c>
      <c r="S105" s="73">
        <v>0</v>
      </c>
      <c r="T105" s="73">
        <v>0</v>
      </c>
      <c r="U105" t="s" s="72">
        <v>122</v>
      </c>
      <c r="V105" s="73">
        <v>12</v>
      </c>
      <c r="W105" s="74">
        <v>5.67</v>
      </c>
      <c r="X105" s="74">
        <v>5.75</v>
      </c>
      <c r="Y105" s="73">
        <v>0</v>
      </c>
      <c r="Z105" s="73">
        <v>1</v>
      </c>
      <c r="AA105" t="s" s="72">
        <v>123</v>
      </c>
      <c r="AB105" t="s" s="72">
        <v>124</v>
      </c>
      <c r="AC105" t="s" s="72">
        <v>124</v>
      </c>
      <c r="AD105" t="s" s="75">
        <v>125</v>
      </c>
      <c r="AE105" s="67"/>
    </row>
    <row r="106" ht="15" customHeight="1">
      <c r="A106" t="s" s="87">
        <v>32</v>
      </c>
      <c r="B106" s="76">
        <v>44.1</v>
      </c>
      <c r="C106" t="b" s="77">
        <v>0</v>
      </c>
      <c r="D106" t="s" s="85">
        <v>161</v>
      </c>
      <c r="E106" t="s" s="79">
        <v>850</v>
      </c>
      <c r="F106" t="s" s="79">
        <v>170</v>
      </c>
      <c r="G106" s="80">
        <v>15</v>
      </c>
      <c r="H106" t="s" s="79">
        <v>118</v>
      </c>
      <c r="I106" t="s" s="79">
        <v>308</v>
      </c>
      <c r="J106" s="80">
        <v>22</v>
      </c>
      <c r="K106" t="s" s="79">
        <v>851</v>
      </c>
      <c r="L106" t="s" s="79">
        <v>328</v>
      </c>
      <c r="M106" s="78"/>
      <c r="N106" s="78"/>
      <c r="O106" s="78"/>
      <c r="P106" s="80">
        <v>2</v>
      </c>
      <c r="Q106" s="81">
        <v>5</v>
      </c>
      <c r="R106" s="81">
        <v>5</v>
      </c>
      <c r="S106" s="80">
        <v>0</v>
      </c>
      <c r="T106" s="80">
        <v>0</v>
      </c>
      <c r="U106" t="s" s="79">
        <v>122</v>
      </c>
      <c r="V106" s="80">
        <v>30</v>
      </c>
      <c r="W106" s="81">
        <v>5.72</v>
      </c>
      <c r="X106" s="81">
        <v>5.98</v>
      </c>
      <c r="Y106" s="80">
        <v>3</v>
      </c>
      <c r="Z106" s="80">
        <v>0</v>
      </c>
      <c r="AA106" t="s" s="79">
        <v>123</v>
      </c>
      <c r="AB106" t="s" s="79">
        <v>124</v>
      </c>
      <c r="AC106" t="s" s="79">
        <v>124</v>
      </c>
      <c r="AD106" t="s" s="82">
        <v>125</v>
      </c>
      <c r="AE106" s="67"/>
    </row>
    <row r="107" ht="15" customHeight="1">
      <c r="A107" t="s" s="87">
        <v>32</v>
      </c>
      <c r="B107" s="69">
        <v>43.6</v>
      </c>
      <c r="C107" t="b" s="70">
        <v>0</v>
      </c>
      <c r="D107" s="71"/>
      <c r="E107" t="s" s="72">
        <v>852</v>
      </c>
      <c r="F107" t="s" s="72">
        <v>163</v>
      </c>
      <c r="G107" s="73">
        <v>22</v>
      </c>
      <c r="H107" t="s" s="72">
        <v>175</v>
      </c>
      <c r="I107" t="s" s="72">
        <v>445</v>
      </c>
      <c r="J107" s="73">
        <v>27</v>
      </c>
      <c r="K107" t="s" s="72">
        <v>325</v>
      </c>
      <c r="L107" t="s" s="72">
        <v>154</v>
      </c>
      <c r="M107" s="71"/>
      <c r="N107" s="71"/>
      <c r="O107" s="71"/>
      <c r="P107" s="73">
        <v>0</v>
      </c>
      <c r="Q107" s="74">
        <v>0</v>
      </c>
      <c r="R107" s="74">
        <v>0</v>
      </c>
      <c r="S107" s="73">
        <v>0</v>
      </c>
      <c r="T107" s="73">
        <v>0</v>
      </c>
      <c r="U107" t="s" s="72">
        <v>122</v>
      </c>
      <c r="V107" s="71"/>
      <c r="W107" s="71"/>
      <c r="X107" s="71"/>
      <c r="Y107" s="71"/>
      <c r="Z107" s="71"/>
      <c r="AA107" s="71"/>
      <c r="AB107" t="s" s="72">
        <v>124</v>
      </c>
      <c r="AC107" t="s" s="72">
        <v>124</v>
      </c>
      <c r="AD107" t="s" s="75">
        <v>125</v>
      </c>
      <c r="AE107" s="67"/>
    </row>
    <row r="108" ht="15" customHeight="1">
      <c r="A108" t="s" s="87">
        <v>32</v>
      </c>
      <c r="B108" s="76">
        <v>42.6</v>
      </c>
      <c r="C108" t="b" s="77">
        <v>0</v>
      </c>
      <c r="D108" t="s" s="85">
        <v>161</v>
      </c>
      <c r="E108" t="s" s="79">
        <v>853</v>
      </c>
      <c r="F108" t="s" s="79">
        <v>159</v>
      </c>
      <c r="G108" s="80">
        <v>15</v>
      </c>
      <c r="H108" t="s" s="79">
        <v>118</v>
      </c>
      <c r="I108" t="s" s="79">
        <v>308</v>
      </c>
      <c r="J108" s="80">
        <v>20</v>
      </c>
      <c r="K108" t="s" s="79">
        <v>484</v>
      </c>
      <c r="L108" t="s" s="79">
        <v>121</v>
      </c>
      <c r="M108" s="78"/>
      <c r="N108" s="78"/>
      <c r="O108" s="78"/>
      <c r="P108" s="80">
        <v>2</v>
      </c>
      <c r="Q108" s="81">
        <v>6</v>
      </c>
      <c r="R108" s="81">
        <v>6</v>
      </c>
      <c r="S108" s="80">
        <v>0</v>
      </c>
      <c r="T108" s="80">
        <v>0</v>
      </c>
      <c r="U108" t="s" s="79">
        <v>122</v>
      </c>
      <c r="V108" s="80">
        <v>19</v>
      </c>
      <c r="W108" s="81">
        <v>5.87</v>
      </c>
      <c r="X108" s="81">
        <v>5.89</v>
      </c>
      <c r="Y108" s="80">
        <v>0</v>
      </c>
      <c r="Z108" s="80">
        <v>2</v>
      </c>
      <c r="AA108" t="s" s="79">
        <v>123</v>
      </c>
      <c r="AB108" t="s" s="79">
        <v>124</v>
      </c>
      <c r="AC108" t="s" s="79">
        <v>124</v>
      </c>
      <c r="AD108" t="s" s="82">
        <v>125</v>
      </c>
      <c r="AE108" s="67"/>
    </row>
    <row r="109" ht="15" customHeight="1">
      <c r="A109" t="s" s="87">
        <v>32</v>
      </c>
      <c r="B109" s="69">
        <v>42.2</v>
      </c>
      <c r="C109" t="b" s="70">
        <v>0</v>
      </c>
      <c r="D109" t="s" s="84">
        <v>191</v>
      </c>
      <c r="E109" t="s" s="72">
        <v>854</v>
      </c>
      <c r="F109" t="s" s="72">
        <v>168</v>
      </c>
      <c r="G109" s="73">
        <v>19</v>
      </c>
      <c r="H109" t="s" s="72">
        <v>175</v>
      </c>
      <c r="I109" t="s" s="72">
        <v>855</v>
      </c>
      <c r="J109" s="73">
        <v>26</v>
      </c>
      <c r="K109" t="s" s="72">
        <v>856</v>
      </c>
      <c r="L109" t="s" s="72">
        <v>154</v>
      </c>
      <c r="M109" s="71"/>
      <c r="N109" t="s" s="72">
        <v>311</v>
      </c>
      <c r="O109" s="71"/>
      <c r="P109" s="73">
        <v>0</v>
      </c>
      <c r="Q109" s="74">
        <v>0</v>
      </c>
      <c r="R109" s="74">
        <v>0</v>
      </c>
      <c r="S109" s="73">
        <v>0</v>
      </c>
      <c r="T109" s="73">
        <v>0</v>
      </c>
      <c r="U109" t="s" s="72">
        <v>122</v>
      </c>
      <c r="V109" s="73">
        <v>17</v>
      </c>
      <c r="W109" s="74">
        <v>5.85</v>
      </c>
      <c r="X109" s="74">
        <v>6.26</v>
      </c>
      <c r="Y109" s="73">
        <v>2</v>
      </c>
      <c r="Z109" s="73">
        <v>1</v>
      </c>
      <c r="AA109" t="s" s="72">
        <v>123</v>
      </c>
      <c r="AB109" t="s" s="72">
        <v>124</v>
      </c>
      <c r="AC109" t="s" s="72">
        <v>124</v>
      </c>
      <c r="AD109" t="s" s="75">
        <v>125</v>
      </c>
      <c r="AE109" s="67"/>
    </row>
    <row r="110" ht="15" customHeight="1">
      <c r="A110" t="s" s="87">
        <v>32</v>
      </c>
      <c r="B110" s="76">
        <v>42.1</v>
      </c>
      <c r="C110" t="b" s="77">
        <v>0</v>
      </c>
      <c r="D110" s="78"/>
      <c r="E110" t="s" s="79">
        <v>857</v>
      </c>
      <c r="F110" t="s" s="79">
        <v>149</v>
      </c>
      <c r="G110" s="80">
        <v>21</v>
      </c>
      <c r="H110" t="s" s="79">
        <v>175</v>
      </c>
      <c r="I110" t="s" s="79">
        <v>749</v>
      </c>
      <c r="J110" s="80">
        <v>32</v>
      </c>
      <c r="K110" t="s" s="79">
        <v>128</v>
      </c>
      <c r="L110" t="s" s="79">
        <v>121</v>
      </c>
      <c r="M110" s="78"/>
      <c r="N110" t="s" s="79">
        <v>311</v>
      </c>
      <c r="O110" t="s" s="88">
        <v>268</v>
      </c>
      <c r="P110" s="80">
        <v>0</v>
      </c>
      <c r="Q110" s="81">
        <v>0</v>
      </c>
      <c r="R110" s="81">
        <v>0</v>
      </c>
      <c r="S110" s="80">
        <v>0</v>
      </c>
      <c r="T110" s="80">
        <v>0</v>
      </c>
      <c r="U110" t="s" s="79">
        <v>122</v>
      </c>
      <c r="V110" s="80">
        <v>27</v>
      </c>
      <c r="W110" s="81">
        <v>6</v>
      </c>
      <c r="X110" s="81">
        <v>6.33</v>
      </c>
      <c r="Y110" s="80">
        <v>3</v>
      </c>
      <c r="Z110" s="80">
        <v>3</v>
      </c>
      <c r="AA110" t="s" s="79">
        <v>750</v>
      </c>
      <c r="AB110" t="s" s="79">
        <v>124</v>
      </c>
      <c r="AC110" t="s" s="79">
        <v>124</v>
      </c>
      <c r="AD110" t="s" s="82">
        <v>125</v>
      </c>
      <c r="AE110" s="67"/>
    </row>
    <row r="111" ht="15" customHeight="1">
      <c r="A111" t="s" s="87">
        <v>32</v>
      </c>
      <c r="B111" s="69">
        <v>41.7</v>
      </c>
      <c r="C111" t="b" s="70">
        <v>0</v>
      </c>
      <c r="D111" s="71"/>
      <c r="E111" t="s" s="72">
        <v>858</v>
      </c>
      <c r="F111" t="s" s="72">
        <v>149</v>
      </c>
      <c r="G111" s="73">
        <v>16</v>
      </c>
      <c r="H111" t="s" s="72">
        <v>164</v>
      </c>
      <c r="I111" t="s" s="72">
        <v>859</v>
      </c>
      <c r="J111" s="73">
        <v>24</v>
      </c>
      <c r="K111" t="s" s="72">
        <v>128</v>
      </c>
      <c r="L111" t="s" s="72">
        <v>121</v>
      </c>
      <c r="M111" s="71"/>
      <c r="N111" t="s" s="72">
        <v>655</v>
      </c>
      <c r="O111" t="s" s="88">
        <v>268</v>
      </c>
      <c r="P111" s="73">
        <v>2</v>
      </c>
      <c r="Q111" s="74">
        <v>6.25</v>
      </c>
      <c r="R111" s="74">
        <v>6.25</v>
      </c>
      <c r="S111" s="73">
        <v>0</v>
      </c>
      <c r="T111" s="73">
        <v>0</v>
      </c>
      <c r="U111" t="s" s="72">
        <v>122</v>
      </c>
      <c r="V111" s="73">
        <v>11</v>
      </c>
      <c r="W111" s="74">
        <v>5.82</v>
      </c>
      <c r="X111" s="74">
        <v>5.73</v>
      </c>
      <c r="Y111" s="73">
        <v>0</v>
      </c>
      <c r="Z111" s="73">
        <v>1</v>
      </c>
      <c r="AA111" t="s" s="72">
        <v>123</v>
      </c>
      <c r="AB111" t="s" s="72">
        <v>124</v>
      </c>
      <c r="AC111" t="s" s="72">
        <v>124</v>
      </c>
      <c r="AD111" t="s" s="75">
        <v>125</v>
      </c>
      <c r="AE111" s="67"/>
    </row>
    <row r="112" ht="15" customHeight="1">
      <c r="A112" t="s" s="87">
        <v>32</v>
      </c>
      <c r="B112" s="76">
        <v>41.6</v>
      </c>
      <c r="C112" t="b" s="77">
        <v>0</v>
      </c>
      <c r="D112" t="s" s="85">
        <v>191</v>
      </c>
      <c r="E112" t="s" s="79">
        <v>860</v>
      </c>
      <c r="F112" t="s" s="79">
        <v>147</v>
      </c>
      <c r="G112" s="80">
        <v>14</v>
      </c>
      <c r="H112" t="s" s="79">
        <v>118</v>
      </c>
      <c r="I112" t="s" s="79">
        <v>139</v>
      </c>
      <c r="J112" s="80">
        <v>30</v>
      </c>
      <c r="K112" t="s" s="79">
        <v>304</v>
      </c>
      <c r="L112" t="s" s="79">
        <v>121</v>
      </c>
      <c r="M112" s="78"/>
      <c r="N112" s="78"/>
      <c r="O112" s="78"/>
      <c r="P112" s="80">
        <v>2</v>
      </c>
      <c r="Q112" s="81">
        <v>5.75</v>
      </c>
      <c r="R112" s="81">
        <v>5.75</v>
      </c>
      <c r="S112" s="80">
        <v>0</v>
      </c>
      <c r="T112" s="80">
        <v>0</v>
      </c>
      <c r="U112" t="s" s="79">
        <v>122</v>
      </c>
      <c r="V112" s="78"/>
      <c r="W112" s="78"/>
      <c r="X112" s="78"/>
      <c r="Y112" s="78"/>
      <c r="Z112" s="78"/>
      <c r="AA112" s="78"/>
      <c r="AB112" t="s" s="79">
        <v>124</v>
      </c>
      <c r="AC112" t="s" s="79">
        <v>124</v>
      </c>
      <c r="AD112" t="s" s="82">
        <v>125</v>
      </c>
      <c r="AE112" s="67"/>
    </row>
    <row r="113" ht="15" customHeight="1">
      <c r="A113" t="s" s="87">
        <v>32</v>
      </c>
      <c r="B113" s="69">
        <v>40.3</v>
      </c>
      <c r="C113" t="b" s="70">
        <v>0</v>
      </c>
      <c r="D113" s="71"/>
      <c r="E113" t="s" s="72">
        <v>861</v>
      </c>
      <c r="F113" t="s" s="72">
        <v>183</v>
      </c>
      <c r="G113" s="73">
        <v>15</v>
      </c>
      <c r="H113" t="s" s="72">
        <v>118</v>
      </c>
      <c r="I113" t="s" s="72">
        <v>150</v>
      </c>
      <c r="J113" s="73">
        <v>24</v>
      </c>
      <c r="K113" t="s" s="72">
        <v>142</v>
      </c>
      <c r="L113" t="s" s="72">
        <v>121</v>
      </c>
      <c r="M113" s="71"/>
      <c r="N113" s="71"/>
      <c r="O113" s="71"/>
      <c r="P113" s="73">
        <v>2</v>
      </c>
      <c r="Q113" s="74">
        <v>5.75</v>
      </c>
      <c r="R113" s="74">
        <v>5.75</v>
      </c>
      <c r="S113" s="73">
        <v>0</v>
      </c>
      <c r="T113" s="73">
        <v>0</v>
      </c>
      <c r="U113" t="s" s="72">
        <v>122</v>
      </c>
      <c r="V113" s="73">
        <v>0</v>
      </c>
      <c r="W113" s="74">
        <v>0</v>
      </c>
      <c r="X113" s="74">
        <v>0</v>
      </c>
      <c r="Y113" s="73">
        <v>0</v>
      </c>
      <c r="Z113" s="73">
        <v>0</v>
      </c>
      <c r="AA113" t="s" s="72">
        <v>123</v>
      </c>
      <c r="AB113" t="s" s="72">
        <v>124</v>
      </c>
      <c r="AC113" t="s" s="72">
        <v>124</v>
      </c>
      <c r="AD113" t="s" s="75">
        <v>125</v>
      </c>
      <c r="AE113" s="67"/>
    </row>
    <row r="114" ht="15" customHeight="1">
      <c r="A114" t="s" s="87">
        <v>32</v>
      </c>
      <c r="B114" s="76">
        <v>40.1</v>
      </c>
      <c r="C114" t="b" s="77">
        <v>0</v>
      </c>
      <c r="D114" t="s" s="85">
        <v>161</v>
      </c>
      <c r="E114" t="s" s="79">
        <v>862</v>
      </c>
      <c r="F114" t="s" s="79">
        <v>180</v>
      </c>
      <c r="G114" s="80">
        <v>13</v>
      </c>
      <c r="H114" t="s" s="79">
        <v>118</v>
      </c>
      <c r="I114" t="s" s="79">
        <v>432</v>
      </c>
      <c r="J114" s="80">
        <v>27</v>
      </c>
      <c r="K114" t="s" s="79">
        <v>128</v>
      </c>
      <c r="L114" t="s" s="79">
        <v>121</v>
      </c>
      <c r="M114" s="78"/>
      <c r="N114" s="78"/>
      <c r="O114" s="78"/>
      <c r="P114" s="80">
        <v>2</v>
      </c>
      <c r="Q114" s="81">
        <v>6</v>
      </c>
      <c r="R114" s="81">
        <v>6</v>
      </c>
      <c r="S114" s="80">
        <v>0</v>
      </c>
      <c r="T114" s="80">
        <v>0</v>
      </c>
      <c r="U114" t="s" s="79">
        <v>122</v>
      </c>
      <c r="V114" s="80">
        <v>30</v>
      </c>
      <c r="W114" s="81">
        <v>5.77</v>
      </c>
      <c r="X114" s="81">
        <v>5.8</v>
      </c>
      <c r="Y114" s="80">
        <v>0</v>
      </c>
      <c r="Z114" s="80">
        <v>2</v>
      </c>
      <c r="AA114" t="s" s="79">
        <v>123</v>
      </c>
      <c r="AB114" t="s" s="79">
        <v>124</v>
      </c>
      <c r="AC114" t="s" s="79">
        <v>124</v>
      </c>
      <c r="AD114" t="s" s="82">
        <v>125</v>
      </c>
      <c r="AE114" s="67"/>
    </row>
    <row r="115" ht="15" customHeight="1">
      <c r="A115" t="s" s="87">
        <v>32</v>
      </c>
      <c r="B115" s="69">
        <v>39.9</v>
      </c>
      <c r="C115" t="b" s="70">
        <v>0</v>
      </c>
      <c r="D115" t="s" s="84">
        <v>161</v>
      </c>
      <c r="E115" t="s" s="72">
        <v>863</v>
      </c>
      <c r="F115" t="s" s="72">
        <v>141</v>
      </c>
      <c r="G115" s="73">
        <v>19</v>
      </c>
      <c r="H115" t="s" s="72">
        <v>175</v>
      </c>
      <c r="I115" t="s" s="72">
        <v>490</v>
      </c>
      <c r="J115" s="73">
        <v>19</v>
      </c>
      <c r="K115" t="s" s="72">
        <v>128</v>
      </c>
      <c r="L115" t="s" s="72">
        <v>154</v>
      </c>
      <c r="M115" s="71"/>
      <c r="N115" s="71"/>
      <c r="O115" s="71"/>
      <c r="P115" s="73">
        <v>1</v>
      </c>
      <c r="Q115" s="74">
        <v>6</v>
      </c>
      <c r="R115" s="74">
        <v>6</v>
      </c>
      <c r="S115" s="73">
        <v>0</v>
      </c>
      <c r="T115" s="73">
        <v>0</v>
      </c>
      <c r="U115" t="s" s="72">
        <v>122</v>
      </c>
      <c r="V115" s="73">
        <v>0</v>
      </c>
      <c r="W115" s="74">
        <v>0</v>
      </c>
      <c r="X115" s="74">
        <v>0</v>
      </c>
      <c r="Y115" s="73">
        <v>0</v>
      </c>
      <c r="Z115" s="73">
        <v>0</v>
      </c>
      <c r="AA115" t="s" s="72">
        <v>123</v>
      </c>
      <c r="AB115" t="s" s="72">
        <v>124</v>
      </c>
      <c r="AC115" t="s" s="72">
        <v>124</v>
      </c>
      <c r="AD115" t="s" s="75">
        <v>125</v>
      </c>
      <c r="AE115" s="67"/>
    </row>
    <row r="116" ht="15" customHeight="1">
      <c r="A116" t="s" s="87">
        <v>32</v>
      </c>
      <c r="B116" s="76">
        <v>39.9</v>
      </c>
      <c r="C116" t="b" s="77">
        <v>0</v>
      </c>
      <c r="D116" s="78"/>
      <c r="E116" t="s" s="79">
        <v>864</v>
      </c>
      <c r="F116" t="s" s="79">
        <v>144</v>
      </c>
      <c r="G116" s="80">
        <v>19</v>
      </c>
      <c r="H116" t="s" s="79">
        <v>865</v>
      </c>
      <c r="I116" t="s" s="79">
        <v>865</v>
      </c>
      <c r="J116" s="80">
        <v>28</v>
      </c>
      <c r="K116" t="s" s="79">
        <v>395</v>
      </c>
      <c r="L116" t="s" s="79">
        <v>121</v>
      </c>
      <c r="M116" s="78"/>
      <c r="N116" s="78"/>
      <c r="O116" s="78"/>
      <c r="P116" s="80">
        <v>0</v>
      </c>
      <c r="Q116" s="81">
        <v>0</v>
      </c>
      <c r="R116" s="81">
        <v>0</v>
      </c>
      <c r="S116" s="80">
        <v>0</v>
      </c>
      <c r="T116" s="80">
        <v>0</v>
      </c>
      <c r="U116" t="s" s="79">
        <v>122</v>
      </c>
      <c r="V116" s="80">
        <v>28</v>
      </c>
      <c r="W116" s="81">
        <v>5.96</v>
      </c>
      <c r="X116" s="81">
        <v>6.16</v>
      </c>
      <c r="Y116" s="80">
        <v>2</v>
      </c>
      <c r="Z116" s="80">
        <v>0</v>
      </c>
      <c r="AA116" t="s" s="79">
        <v>123</v>
      </c>
      <c r="AB116" t="s" s="79">
        <v>124</v>
      </c>
      <c r="AC116" t="s" s="79">
        <v>124</v>
      </c>
      <c r="AD116" t="s" s="82">
        <v>125</v>
      </c>
      <c r="AE116" s="67"/>
    </row>
    <row r="117" ht="15" customHeight="1">
      <c r="A117" t="s" s="87">
        <v>32</v>
      </c>
      <c r="B117" s="69">
        <v>39</v>
      </c>
      <c r="C117" t="b" s="70">
        <v>0</v>
      </c>
      <c r="D117" t="s" s="84">
        <v>161</v>
      </c>
      <c r="E117" t="s" s="72">
        <v>866</v>
      </c>
      <c r="F117" t="s" s="72">
        <v>147</v>
      </c>
      <c r="G117" s="73">
        <v>13</v>
      </c>
      <c r="H117" t="s" s="72">
        <v>118</v>
      </c>
      <c r="I117" t="s" s="72">
        <v>867</v>
      </c>
      <c r="J117" s="73">
        <v>20</v>
      </c>
      <c r="K117" t="s" s="72">
        <v>868</v>
      </c>
      <c r="L117" t="s" s="72">
        <v>154</v>
      </c>
      <c r="M117" s="71"/>
      <c r="N117" s="71"/>
      <c r="O117" s="71"/>
      <c r="P117" s="73">
        <v>2</v>
      </c>
      <c r="Q117" s="74">
        <v>7</v>
      </c>
      <c r="R117" s="74">
        <v>8.5</v>
      </c>
      <c r="S117" s="73">
        <v>1</v>
      </c>
      <c r="T117" s="73">
        <v>0</v>
      </c>
      <c r="U117" t="s" s="72">
        <v>122</v>
      </c>
      <c r="V117" s="71"/>
      <c r="W117" s="71"/>
      <c r="X117" s="71"/>
      <c r="Y117" s="71"/>
      <c r="Z117" s="71"/>
      <c r="AA117" s="71"/>
      <c r="AB117" t="s" s="72">
        <v>124</v>
      </c>
      <c r="AC117" t="s" s="72">
        <v>124</v>
      </c>
      <c r="AD117" t="s" s="75">
        <v>125</v>
      </c>
      <c r="AE117" s="67"/>
    </row>
    <row r="118" ht="15" customHeight="1">
      <c r="A118" t="s" s="87">
        <v>32</v>
      </c>
      <c r="B118" s="76">
        <v>38.8</v>
      </c>
      <c r="C118" t="b" s="77">
        <v>0</v>
      </c>
      <c r="D118" t="s" s="85">
        <v>191</v>
      </c>
      <c r="E118" t="s" s="79">
        <v>869</v>
      </c>
      <c r="F118" t="s" s="79">
        <v>159</v>
      </c>
      <c r="G118" s="80">
        <v>17</v>
      </c>
      <c r="H118" t="s" s="79">
        <v>175</v>
      </c>
      <c r="I118" t="s" s="79">
        <v>836</v>
      </c>
      <c r="J118" s="80">
        <v>23</v>
      </c>
      <c r="K118" t="s" s="79">
        <v>136</v>
      </c>
      <c r="L118" t="s" s="79">
        <v>154</v>
      </c>
      <c r="M118" s="78"/>
      <c r="N118" t="s" s="79">
        <v>311</v>
      </c>
      <c r="O118" s="78"/>
      <c r="P118" s="80">
        <v>1</v>
      </c>
      <c r="Q118" s="81">
        <v>5.5</v>
      </c>
      <c r="R118" s="81">
        <v>5.5</v>
      </c>
      <c r="S118" s="80">
        <v>0</v>
      </c>
      <c r="T118" s="80">
        <v>0</v>
      </c>
      <c r="U118" t="s" s="79">
        <v>122</v>
      </c>
      <c r="V118" s="78"/>
      <c r="W118" s="78"/>
      <c r="X118" s="78"/>
      <c r="Y118" s="78"/>
      <c r="Z118" s="78"/>
      <c r="AA118" s="78"/>
      <c r="AB118" t="s" s="79">
        <v>124</v>
      </c>
      <c r="AC118" t="s" s="79">
        <v>124</v>
      </c>
      <c r="AD118" t="s" s="82">
        <v>125</v>
      </c>
      <c r="AE118" s="67"/>
    </row>
    <row r="119" ht="15" customHeight="1">
      <c r="A119" t="s" s="87">
        <v>32</v>
      </c>
      <c r="B119" s="69">
        <v>38</v>
      </c>
      <c r="C119" t="b" s="70">
        <v>0</v>
      </c>
      <c r="D119" t="s" s="84">
        <v>178</v>
      </c>
      <c r="E119" t="s" s="72">
        <v>870</v>
      </c>
      <c r="F119" t="s" s="72">
        <v>172</v>
      </c>
      <c r="G119" s="73">
        <v>12</v>
      </c>
      <c r="H119" t="s" s="72">
        <v>871</v>
      </c>
      <c r="I119" t="s" s="72">
        <v>872</v>
      </c>
      <c r="J119" s="73">
        <v>20</v>
      </c>
      <c r="K119" t="s" s="72">
        <v>873</v>
      </c>
      <c r="L119" t="s" s="72">
        <v>121</v>
      </c>
      <c r="M119" s="71"/>
      <c r="N119" t="s" s="72">
        <v>311</v>
      </c>
      <c r="O119" s="71"/>
      <c r="P119" s="73">
        <v>2</v>
      </c>
      <c r="Q119" s="74">
        <v>6</v>
      </c>
      <c r="R119" s="74">
        <v>6.5</v>
      </c>
      <c r="S119" s="73">
        <v>0</v>
      </c>
      <c r="T119" s="73">
        <v>1</v>
      </c>
      <c r="U119" t="s" s="72">
        <v>122</v>
      </c>
      <c r="V119" s="73">
        <v>4</v>
      </c>
      <c r="W119" s="74">
        <v>6.12</v>
      </c>
      <c r="X119" s="74">
        <v>6.88</v>
      </c>
      <c r="Y119" s="73">
        <v>1</v>
      </c>
      <c r="Z119" s="73">
        <v>0</v>
      </c>
      <c r="AA119" t="s" s="72">
        <v>123</v>
      </c>
      <c r="AB119" t="s" s="72">
        <v>124</v>
      </c>
      <c r="AC119" t="s" s="72">
        <v>124</v>
      </c>
      <c r="AD119" t="s" s="75">
        <v>125</v>
      </c>
      <c r="AE119" s="67"/>
    </row>
    <row r="120" ht="15" customHeight="1">
      <c r="A120" t="s" s="87">
        <v>32</v>
      </c>
      <c r="B120" s="76">
        <v>37.7</v>
      </c>
      <c r="C120" t="b" s="77">
        <v>0</v>
      </c>
      <c r="D120" s="78"/>
      <c r="E120" t="s" s="79">
        <v>874</v>
      </c>
      <c r="F120" t="s" s="79">
        <v>168</v>
      </c>
      <c r="G120" s="80">
        <v>14</v>
      </c>
      <c r="H120" t="s" s="79">
        <v>164</v>
      </c>
      <c r="I120" t="s" s="79">
        <v>164</v>
      </c>
      <c r="J120" s="80">
        <v>25</v>
      </c>
      <c r="K120" t="s" s="79">
        <v>184</v>
      </c>
      <c r="L120" t="s" s="79">
        <v>121</v>
      </c>
      <c r="M120" s="78"/>
      <c r="N120" s="78"/>
      <c r="O120" s="78"/>
      <c r="P120" s="80">
        <v>1</v>
      </c>
      <c r="Q120" s="81">
        <v>6</v>
      </c>
      <c r="R120" s="81">
        <v>5.5</v>
      </c>
      <c r="S120" s="80">
        <v>0</v>
      </c>
      <c r="T120" s="80">
        <v>0</v>
      </c>
      <c r="U120" t="s" s="79">
        <v>122</v>
      </c>
      <c r="V120" s="80">
        <v>8</v>
      </c>
      <c r="W120" s="81">
        <v>6</v>
      </c>
      <c r="X120" s="81">
        <v>5.88</v>
      </c>
      <c r="Y120" s="80">
        <v>0</v>
      </c>
      <c r="Z120" s="80">
        <v>0</v>
      </c>
      <c r="AA120" t="s" s="79">
        <v>123</v>
      </c>
      <c r="AB120" t="s" s="79">
        <v>124</v>
      </c>
      <c r="AC120" t="s" s="79">
        <v>124</v>
      </c>
      <c r="AD120" t="s" s="82">
        <v>125</v>
      </c>
      <c r="AE120" s="67"/>
    </row>
    <row r="121" ht="15" customHeight="1">
      <c r="A121" t="s" s="87">
        <v>32</v>
      </c>
      <c r="B121" s="69">
        <v>37.7</v>
      </c>
      <c r="C121" t="b" s="70">
        <v>0</v>
      </c>
      <c r="D121" s="71"/>
      <c r="E121" t="s" s="72">
        <v>875</v>
      </c>
      <c r="F121" t="s" s="72">
        <v>180</v>
      </c>
      <c r="G121" s="73">
        <v>17</v>
      </c>
      <c r="H121" t="s" s="72">
        <v>175</v>
      </c>
      <c r="I121" t="s" s="72">
        <v>175</v>
      </c>
      <c r="J121" s="73">
        <v>25</v>
      </c>
      <c r="K121" t="s" s="72">
        <v>128</v>
      </c>
      <c r="L121" t="s" s="72">
        <v>121</v>
      </c>
      <c r="M121" s="71"/>
      <c r="N121" s="71"/>
      <c r="O121" s="71"/>
      <c r="P121" s="73">
        <v>2</v>
      </c>
      <c r="Q121" s="74">
        <v>6.25</v>
      </c>
      <c r="R121" s="74">
        <v>6.25</v>
      </c>
      <c r="S121" s="73">
        <v>0</v>
      </c>
      <c r="T121" s="73">
        <v>0</v>
      </c>
      <c r="U121" t="s" s="72">
        <v>122</v>
      </c>
      <c r="V121" s="73">
        <v>22</v>
      </c>
      <c r="W121" s="74">
        <v>5.93</v>
      </c>
      <c r="X121" s="74">
        <v>5.86</v>
      </c>
      <c r="Y121" s="73">
        <v>0</v>
      </c>
      <c r="Z121" s="73">
        <v>1</v>
      </c>
      <c r="AA121" t="s" s="72">
        <v>123</v>
      </c>
      <c r="AB121" t="s" s="72">
        <v>124</v>
      </c>
      <c r="AC121" t="s" s="72">
        <v>124</v>
      </c>
      <c r="AD121" t="s" s="75">
        <v>125</v>
      </c>
      <c r="AE121" s="67"/>
    </row>
    <row r="122" ht="15" customHeight="1">
      <c r="A122" t="s" s="87">
        <v>32</v>
      </c>
      <c r="B122" s="76">
        <v>37.5</v>
      </c>
      <c r="C122" t="b" s="77">
        <v>0</v>
      </c>
      <c r="D122" s="78"/>
      <c r="E122" t="s" s="79">
        <v>876</v>
      </c>
      <c r="F122" t="s" s="79">
        <v>156</v>
      </c>
      <c r="G122" s="80">
        <v>18</v>
      </c>
      <c r="H122" t="s" s="79">
        <v>877</v>
      </c>
      <c r="I122" t="s" s="79">
        <v>878</v>
      </c>
      <c r="J122" s="80">
        <v>29</v>
      </c>
      <c r="K122" t="s" s="79">
        <v>879</v>
      </c>
      <c r="L122" t="s" s="79">
        <v>121</v>
      </c>
      <c r="M122" s="78"/>
      <c r="N122" s="78"/>
      <c r="O122" s="78"/>
      <c r="P122" s="80">
        <v>3</v>
      </c>
      <c r="Q122" s="81">
        <v>5.67</v>
      </c>
      <c r="R122" s="81">
        <v>5.5</v>
      </c>
      <c r="S122" s="80">
        <v>0</v>
      </c>
      <c r="T122" s="80">
        <v>0</v>
      </c>
      <c r="U122" t="s" s="79">
        <v>122</v>
      </c>
      <c r="V122" s="78"/>
      <c r="W122" s="78"/>
      <c r="X122" s="78"/>
      <c r="Y122" s="78"/>
      <c r="Z122" s="78"/>
      <c r="AA122" s="78"/>
      <c r="AB122" t="s" s="79">
        <v>124</v>
      </c>
      <c r="AC122" t="s" s="79">
        <v>124</v>
      </c>
      <c r="AD122" t="s" s="82">
        <v>125</v>
      </c>
      <c r="AE122" s="67"/>
    </row>
    <row r="123" ht="15" customHeight="1">
      <c r="A123" t="s" s="87">
        <v>32</v>
      </c>
      <c r="B123" s="69">
        <v>37.4</v>
      </c>
      <c r="C123" t="b" s="70">
        <v>0</v>
      </c>
      <c r="D123" s="71"/>
      <c r="E123" t="s" s="72">
        <v>880</v>
      </c>
      <c r="F123" t="s" s="72">
        <v>138</v>
      </c>
      <c r="G123" s="73">
        <v>20</v>
      </c>
      <c r="H123" t="s" s="72">
        <v>175</v>
      </c>
      <c r="I123" t="s" s="72">
        <v>266</v>
      </c>
      <c r="J123" s="73">
        <v>27</v>
      </c>
      <c r="K123" t="s" s="72">
        <v>881</v>
      </c>
      <c r="L123" t="s" s="72">
        <v>154</v>
      </c>
      <c r="M123" s="71"/>
      <c r="N123" s="71"/>
      <c r="O123" t="s" s="88">
        <v>268</v>
      </c>
      <c r="P123" s="73">
        <v>1</v>
      </c>
      <c r="Q123" s="74">
        <v>5.5</v>
      </c>
      <c r="R123" s="74">
        <v>5.5</v>
      </c>
      <c r="S123" s="73">
        <v>0</v>
      </c>
      <c r="T123" s="73">
        <v>0</v>
      </c>
      <c r="U123" t="s" s="72">
        <v>122</v>
      </c>
      <c r="V123" s="73">
        <v>12</v>
      </c>
      <c r="W123" s="74">
        <v>6.04</v>
      </c>
      <c r="X123" s="74">
        <v>6.04</v>
      </c>
      <c r="Y123" s="73">
        <v>0</v>
      </c>
      <c r="Z123" s="73">
        <v>0</v>
      </c>
      <c r="AA123" t="s" s="72">
        <v>123</v>
      </c>
      <c r="AB123" t="s" s="72">
        <v>124</v>
      </c>
      <c r="AC123" t="s" s="72">
        <v>124</v>
      </c>
      <c r="AD123" t="s" s="75">
        <v>125</v>
      </c>
      <c r="AE123" s="67"/>
    </row>
    <row r="124" ht="15" customHeight="1">
      <c r="A124" t="s" s="87">
        <v>32</v>
      </c>
      <c r="B124" s="76">
        <v>36.6</v>
      </c>
      <c r="C124" t="b" s="77">
        <v>0</v>
      </c>
      <c r="D124" t="s" s="85">
        <v>161</v>
      </c>
      <c r="E124" t="s" s="79">
        <v>882</v>
      </c>
      <c r="F124" t="s" s="79">
        <v>180</v>
      </c>
      <c r="G124" s="80">
        <v>14</v>
      </c>
      <c r="H124" t="s" s="79">
        <v>164</v>
      </c>
      <c r="I124" t="s" s="79">
        <v>165</v>
      </c>
      <c r="J124" s="80">
        <v>31</v>
      </c>
      <c r="K124" t="s" s="79">
        <v>236</v>
      </c>
      <c r="L124" t="s" s="79">
        <v>121</v>
      </c>
      <c r="M124" s="78"/>
      <c r="N124" s="78"/>
      <c r="O124" s="78"/>
      <c r="P124" s="80">
        <v>0</v>
      </c>
      <c r="Q124" s="81">
        <v>0</v>
      </c>
      <c r="R124" s="81">
        <v>0</v>
      </c>
      <c r="S124" s="80">
        <v>0</v>
      </c>
      <c r="T124" s="80">
        <v>0</v>
      </c>
      <c r="U124" t="s" s="79">
        <v>122</v>
      </c>
      <c r="V124" s="78"/>
      <c r="W124" s="78"/>
      <c r="X124" s="78"/>
      <c r="Y124" s="78"/>
      <c r="Z124" s="78"/>
      <c r="AA124" s="78"/>
      <c r="AB124" t="s" s="79">
        <v>124</v>
      </c>
      <c r="AC124" t="s" s="79">
        <v>124</v>
      </c>
      <c r="AD124" t="s" s="82">
        <v>125</v>
      </c>
      <c r="AE124" s="67"/>
    </row>
    <row r="125" ht="15" customHeight="1">
      <c r="A125" t="s" s="87">
        <v>32</v>
      </c>
      <c r="B125" s="69">
        <v>36.5</v>
      </c>
      <c r="C125" t="b" s="70">
        <v>0</v>
      </c>
      <c r="D125" t="s" s="84">
        <v>191</v>
      </c>
      <c r="E125" t="s" s="72">
        <v>883</v>
      </c>
      <c r="F125" t="s" s="72">
        <v>134</v>
      </c>
      <c r="G125" s="73">
        <v>18</v>
      </c>
      <c r="H125" t="s" s="72">
        <v>175</v>
      </c>
      <c r="I125" t="s" s="72">
        <v>490</v>
      </c>
      <c r="J125" s="73">
        <v>21</v>
      </c>
      <c r="K125" t="s" s="72">
        <v>884</v>
      </c>
      <c r="L125" t="s" s="72">
        <v>121</v>
      </c>
      <c r="M125" s="71"/>
      <c r="N125" s="71"/>
      <c r="O125" s="71"/>
      <c r="P125" s="73">
        <v>0</v>
      </c>
      <c r="Q125" s="74">
        <v>0</v>
      </c>
      <c r="R125" s="74">
        <v>0</v>
      </c>
      <c r="S125" s="73">
        <v>0</v>
      </c>
      <c r="T125" s="73">
        <v>0</v>
      </c>
      <c r="U125" t="s" s="72">
        <v>122</v>
      </c>
      <c r="V125" s="71"/>
      <c r="W125" s="71"/>
      <c r="X125" s="71"/>
      <c r="Y125" s="71"/>
      <c r="Z125" s="71"/>
      <c r="AA125" s="71"/>
      <c r="AB125" t="s" s="72">
        <v>124</v>
      </c>
      <c r="AC125" t="s" s="72">
        <v>124</v>
      </c>
      <c r="AD125" t="s" s="75">
        <v>125</v>
      </c>
      <c r="AE125" s="67"/>
    </row>
    <row r="126" ht="15" customHeight="1">
      <c r="A126" t="s" s="87">
        <v>32</v>
      </c>
      <c r="B126" s="76">
        <v>36.4</v>
      </c>
      <c r="C126" t="b" s="77">
        <v>0</v>
      </c>
      <c r="D126" s="78"/>
      <c r="E126" t="s" s="79">
        <v>885</v>
      </c>
      <c r="F126" t="s" s="79">
        <v>163</v>
      </c>
      <c r="G126" s="80">
        <v>17</v>
      </c>
      <c r="H126" t="s" s="79">
        <v>175</v>
      </c>
      <c r="I126" t="s" s="79">
        <v>203</v>
      </c>
      <c r="J126" s="80">
        <v>22</v>
      </c>
      <c r="K126" t="s" s="79">
        <v>412</v>
      </c>
      <c r="L126" t="s" s="79">
        <v>121</v>
      </c>
      <c r="M126" s="78"/>
      <c r="N126" s="78"/>
      <c r="O126" s="78"/>
      <c r="P126" s="80">
        <v>1</v>
      </c>
      <c r="Q126" s="81">
        <v>5.5</v>
      </c>
      <c r="R126" s="81">
        <v>5.5</v>
      </c>
      <c r="S126" s="80">
        <v>0</v>
      </c>
      <c r="T126" s="80">
        <v>0</v>
      </c>
      <c r="U126" t="s" s="79">
        <v>122</v>
      </c>
      <c r="V126" s="80">
        <v>18</v>
      </c>
      <c r="W126" s="81">
        <v>5.92</v>
      </c>
      <c r="X126" s="81">
        <v>6.08</v>
      </c>
      <c r="Y126" s="80">
        <v>1</v>
      </c>
      <c r="Z126" s="80">
        <v>2</v>
      </c>
      <c r="AA126" t="s" s="79">
        <v>123</v>
      </c>
      <c r="AB126" t="s" s="79">
        <v>124</v>
      </c>
      <c r="AC126" t="s" s="79">
        <v>124</v>
      </c>
      <c r="AD126" t="s" s="82">
        <v>125</v>
      </c>
      <c r="AE126" s="67"/>
    </row>
    <row r="127" ht="15" customHeight="1">
      <c r="A127" t="s" s="87">
        <v>32</v>
      </c>
      <c r="B127" s="69">
        <v>36.1</v>
      </c>
      <c r="C127" t="b" s="70">
        <v>0</v>
      </c>
      <c r="D127" s="71"/>
      <c r="E127" t="s" s="72">
        <v>886</v>
      </c>
      <c r="F127" t="s" s="72">
        <v>183</v>
      </c>
      <c r="G127" s="73">
        <v>17</v>
      </c>
      <c r="H127" t="s" s="72">
        <v>175</v>
      </c>
      <c r="I127" t="s" s="72">
        <v>175</v>
      </c>
      <c r="J127" s="73">
        <v>25</v>
      </c>
      <c r="K127" t="s" s="72">
        <v>298</v>
      </c>
      <c r="L127" t="s" s="72">
        <v>121</v>
      </c>
      <c r="M127" s="71"/>
      <c r="N127" s="71"/>
      <c r="O127" s="71"/>
      <c r="P127" s="73">
        <v>1</v>
      </c>
      <c r="Q127" s="74">
        <v>5.5</v>
      </c>
      <c r="R127" s="74">
        <v>5.5</v>
      </c>
      <c r="S127" s="73">
        <v>0</v>
      </c>
      <c r="T127" s="73">
        <v>0</v>
      </c>
      <c r="U127" t="s" s="72">
        <v>122</v>
      </c>
      <c r="V127" s="73">
        <v>24</v>
      </c>
      <c r="W127" s="74">
        <v>5.6</v>
      </c>
      <c r="X127" s="74">
        <v>5.58</v>
      </c>
      <c r="Y127" s="73">
        <v>0</v>
      </c>
      <c r="Z127" s="73">
        <v>1</v>
      </c>
      <c r="AA127" t="s" s="72">
        <v>123</v>
      </c>
      <c r="AB127" t="s" s="72">
        <v>124</v>
      </c>
      <c r="AC127" t="s" s="72">
        <v>124</v>
      </c>
      <c r="AD127" t="s" s="75">
        <v>125</v>
      </c>
      <c r="AE127" s="67"/>
    </row>
    <row r="128" ht="15" customHeight="1">
      <c r="A128" t="s" s="87">
        <v>32</v>
      </c>
      <c r="B128" s="76">
        <v>35</v>
      </c>
      <c r="C128" t="b" s="77">
        <v>0</v>
      </c>
      <c r="D128" t="s" s="85">
        <v>178</v>
      </c>
      <c r="E128" t="s" s="79">
        <v>887</v>
      </c>
      <c r="F128" t="s" s="79">
        <v>163</v>
      </c>
      <c r="G128" s="80">
        <v>12</v>
      </c>
      <c r="H128" t="s" s="79">
        <v>118</v>
      </c>
      <c r="I128" t="s" s="79">
        <v>468</v>
      </c>
      <c r="J128" s="80">
        <v>23</v>
      </c>
      <c r="K128" t="s" s="79">
        <v>416</v>
      </c>
      <c r="L128" t="s" s="79">
        <v>121</v>
      </c>
      <c r="M128" s="78"/>
      <c r="N128" s="78"/>
      <c r="O128" s="78"/>
      <c r="P128" s="80">
        <v>2</v>
      </c>
      <c r="Q128" s="81">
        <v>6</v>
      </c>
      <c r="R128" s="81">
        <v>6</v>
      </c>
      <c r="S128" s="80">
        <v>0</v>
      </c>
      <c r="T128" s="80">
        <v>0</v>
      </c>
      <c r="U128" t="s" s="79">
        <v>122</v>
      </c>
      <c r="V128" s="78"/>
      <c r="W128" s="78"/>
      <c r="X128" s="78"/>
      <c r="Y128" s="78"/>
      <c r="Z128" s="78"/>
      <c r="AA128" s="78"/>
      <c r="AB128" t="s" s="79">
        <v>124</v>
      </c>
      <c r="AC128" t="s" s="79">
        <v>124</v>
      </c>
      <c r="AD128" t="s" s="82">
        <v>125</v>
      </c>
      <c r="AE128" s="67"/>
    </row>
    <row r="129" ht="15" customHeight="1">
      <c r="A129" t="s" s="87">
        <v>32</v>
      </c>
      <c r="B129" s="69">
        <v>33.4</v>
      </c>
      <c r="C129" t="b" s="70">
        <v>0</v>
      </c>
      <c r="D129" t="s" s="84">
        <v>191</v>
      </c>
      <c r="E129" t="s" s="72">
        <v>210</v>
      </c>
      <c r="F129" t="s" s="72">
        <v>187</v>
      </c>
      <c r="G129" s="73">
        <v>19</v>
      </c>
      <c r="H129" t="s" s="72">
        <v>175</v>
      </c>
      <c r="I129" t="s" s="72">
        <v>888</v>
      </c>
      <c r="J129" s="73">
        <v>29</v>
      </c>
      <c r="K129" t="s" s="72">
        <v>128</v>
      </c>
      <c r="L129" t="s" s="72">
        <v>154</v>
      </c>
      <c r="M129" s="71"/>
      <c r="N129" t="s" s="72">
        <v>655</v>
      </c>
      <c r="O129" t="s" s="88">
        <v>889</v>
      </c>
      <c r="P129" s="73">
        <v>0</v>
      </c>
      <c r="Q129" s="74">
        <v>0</v>
      </c>
      <c r="R129" s="74">
        <v>0</v>
      </c>
      <c r="S129" s="73">
        <v>0</v>
      </c>
      <c r="T129" s="73">
        <v>0</v>
      </c>
      <c r="U129" t="s" s="72">
        <v>122</v>
      </c>
      <c r="V129" s="71"/>
      <c r="W129" s="71"/>
      <c r="X129" s="71"/>
      <c r="Y129" s="71"/>
      <c r="Z129" s="71"/>
      <c r="AA129" s="71"/>
      <c r="AB129" t="s" s="72">
        <v>124</v>
      </c>
      <c r="AC129" t="s" s="72">
        <v>124</v>
      </c>
      <c r="AD129" t="s" s="75">
        <v>125</v>
      </c>
      <c r="AE129" s="67"/>
    </row>
    <row r="130" ht="15" customHeight="1">
      <c r="A130" t="s" s="87">
        <v>32</v>
      </c>
      <c r="B130" s="76">
        <v>32.6</v>
      </c>
      <c r="C130" t="b" s="77">
        <v>0</v>
      </c>
      <c r="D130" s="78"/>
      <c r="E130" t="s" s="79">
        <v>890</v>
      </c>
      <c r="F130" t="s" s="79">
        <v>193</v>
      </c>
      <c r="G130" s="80">
        <v>15</v>
      </c>
      <c r="H130" t="s" s="79">
        <v>891</v>
      </c>
      <c r="I130" t="s" s="79">
        <v>892</v>
      </c>
      <c r="J130" s="80">
        <v>22</v>
      </c>
      <c r="K130" t="s" s="79">
        <v>316</v>
      </c>
      <c r="L130" t="s" s="79">
        <v>121</v>
      </c>
      <c r="M130" s="78"/>
      <c r="N130" s="78"/>
      <c r="O130" s="78"/>
      <c r="P130" s="80">
        <v>2</v>
      </c>
      <c r="Q130" s="81">
        <v>6</v>
      </c>
      <c r="R130" s="81">
        <v>6</v>
      </c>
      <c r="S130" s="80">
        <v>0</v>
      </c>
      <c r="T130" s="80">
        <v>0</v>
      </c>
      <c r="U130" t="s" s="79">
        <v>122</v>
      </c>
      <c r="V130" s="80">
        <v>21</v>
      </c>
      <c r="W130" s="81">
        <v>5.67</v>
      </c>
      <c r="X130" s="81">
        <v>5.69</v>
      </c>
      <c r="Y130" s="80">
        <v>1</v>
      </c>
      <c r="Z130" s="80">
        <v>0</v>
      </c>
      <c r="AA130" t="s" s="79">
        <v>123</v>
      </c>
      <c r="AB130" t="s" s="79">
        <v>124</v>
      </c>
      <c r="AC130" t="s" s="79">
        <v>124</v>
      </c>
      <c r="AD130" t="s" s="82">
        <v>125</v>
      </c>
      <c r="AE130" s="67"/>
    </row>
    <row r="131" ht="15" customHeight="1">
      <c r="A131" t="s" s="87">
        <v>32</v>
      </c>
      <c r="B131" s="69">
        <v>32.5</v>
      </c>
      <c r="C131" t="b" s="70">
        <v>0</v>
      </c>
      <c r="D131" t="s" s="84">
        <v>191</v>
      </c>
      <c r="E131" t="s" s="72">
        <v>893</v>
      </c>
      <c r="F131" t="s" s="72">
        <v>163</v>
      </c>
      <c r="G131" s="73">
        <v>15</v>
      </c>
      <c r="H131" t="s" s="72">
        <v>175</v>
      </c>
      <c r="I131" t="s" s="72">
        <v>855</v>
      </c>
      <c r="J131" s="73">
        <v>23</v>
      </c>
      <c r="K131" t="s" s="72">
        <v>128</v>
      </c>
      <c r="L131" t="s" s="72">
        <v>154</v>
      </c>
      <c r="M131" s="71"/>
      <c r="N131" t="s" s="72">
        <v>272</v>
      </c>
      <c r="O131" s="71"/>
      <c r="P131" s="73">
        <v>0</v>
      </c>
      <c r="Q131" s="74">
        <v>0</v>
      </c>
      <c r="R131" s="74">
        <v>0</v>
      </c>
      <c r="S131" s="73">
        <v>0</v>
      </c>
      <c r="T131" s="73">
        <v>0</v>
      </c>
      <c r="U131" t="s" s="72">
        <v>122</v>
      </c>
      <c r="V131" s="73">
        <v>18</v>
      </c>
      <c r="W131" s="74">
        <v>5.72</v>
      </c>
      <c r="X131" s="74">
        <v>5.83</v>
      </c>
      <c r="Y131" s="73">
        <v>1</v>
      </c>
      <c r="Z131" s="73">
        <v>0</v>
      </c>
      <c r="AA131" t="s" s="72">
        <v>123</v>
      </c>
      <c r="AB131" t="s" s="72">
        <v>124</v>
      </c>
      <c r="AC131" t="s" s="72">
        <v>124</v>
      </c>
      <c r="AD131" t="s" s="75">
        <v>125</v>
      </c>
      <c r="AE131" s="67"/>
    </row>
    <row r="132" ht="15" customHeight="1">
      <c r="A132" t="s" s="87">
        <v>32</v>
      </c>
      <c r="B132" s="76">
        <v>32.5</v>
      </c>
      <c r="C132" t="b" s="77">
        <v>0</v>
      </c>
      <c r="D132" s="78"/>
      <c r="E132" t="s" s="79">
        <v>894</v>
      </c>
      <c r="F132" t="s" s="79">
        <v>130</v>
      </c>
      <c r="G132" s="80">
        <v>15</v>
      </c>
      <c r="H132" t="s" s="79">
        <v>175</v>
      </c>
      <c r="I132" t="s" s="79">
        <v>175</v>
      </c>
      <c r="J132" s="80">
        <v>23</v>
      </c>
      <c r="K132" t="s" s="79">
        <v>895</v>
      </c>
      <c r="L132" t="s" s="79">
        <v>121</v>
      </c>
      <c r="M132" s="78"/>
      <c r="N132" s="78"/>
      <c r="O132" s="78"/>
      <c r="P132" s="80">
        <v>2</v>
      </c>
      <c r="Q132" s="81">
        <v>6.25</v>
      </c>
      <c r="R132" s="81">
        <v>6.25</v>
      </c>
      <c r="S132" s="80">
        <v>0</v>
      </c>
      <c r="T132" s="80">
        <v>0</v>
      </c>
      <c r="U132" t="s" s="79">
        <v>122</v>
      </c>
      <c r="V132" s="80">
        <v>16</v>
      </c>
      <c r="W132" s="81">
        <v>5.94</v>
      </c>
      <c r="X132" s="81">
        <v>6.09</v>
      </c>
      <c r="Y132" s="80">
        <v>1</v>
      </c>
      <c r="Z132" s="80">
        <v>0</v>
      </c>
      <c r="AA132" t="s" s="79">
        <v>123</v>
      </c>
      <c r="AB132" t="s" s="79">
        <v>124</v>
      </c>
      <c r="AC132" t="s" s="79">
        <v>124</v>
      </c>
      <c r="AD132" t="s" s="82">
        <v>125</v>
      </c>
      <c r="AE132" s="67"/>
    </row>
    <row r="133" ht="15" customHeight="1">
      <c r="A133" t="s" s="87">
        <v>32</v>
      </c>
      <c r="B133" s="69">
        <v>32.4</v>
      </c>
      <c r="C133" t="b" s="70">
        <v>0</v>
      </c>
      <c r="D133" t="s" s="84">
        <v>161</v>
      </c>
      <c r="E133" t="s" s="72">
        <v>896</v>
      </c>
      <c r="F133" t="s" s="72">
        <v>172</v>
      </c>
      <c r="G133" s="73">
        <v>11</v>
      </c>
      <c r="H133" t="s" s="72">
        <v>118</v>
      </c>
      <c r="I133" t="s" s="72">
        <v>308</v>
      </c>
      <c r="J133" s="73">
        <v>18</v>
      </c>
      <c r="K133" t="s" s="72">
        <v>897</v>
      </c>
      <c r="L133" t="s" s="72">
        <v>121</v>
      </c>
      <c r="M133" s="71"/>
      <c r="N133" s="71"/>
      <c r="O133" s="71"/>
      <c r="P133" s="73">
        <v>2</v>
      </c>
      <c r="Q133" s="74">
        <v>6.25</v>
      </c>
      <c r="R133" s="74">
        <v>6.25</v>
      </c>
      <c r="S133" s="73">
        <v>0</v>
      </c>
      <c r="T133" s="73">
        <v>0</v>
      </c>
      <c r="U133" t="s" s="72">
        <v>122</v>
      </c>
      <c r="V133" s="73">
        <v>3</v>
      </c>
      <c r="W133" s="74">
        <v>6.17</v>
      </c>
      <c r="X133" s="74">
        <v>6.17</v>
      </c>
      <c r="Y133" s="73">
        <v>0</v>
      </c>
      <c r="Z133" s="73">
        <v>0</v>
      </c>
      <c r="AA133" t="s" s="72">
        <v>123</v>
      </c>
      <c r="AB133" t="s" s="72">
        <v>124</v>
      </c>
      <c r="AC133" t="s" s="72">
        <v>124</v>
      </c>
      <c r="AD133" t="s" s="75">
        <v>125</v>
      </c>
      <c r="AE133" s="67"/>
    </row>
    <row r="134" ht="15" customHeight="1">
      <c r="A134" t="s" s="87">
        <v>32</v>
      </c>
      <c r="B134" s="76">
        <v>32.4</v>
      </c>
      <c r="C134" t="b" s="77">
        <v>0</v>
      </c>
      <c r="D134" s="78"/>
      <c r="E134" t="s" s="79">
        <v>898</v>
      </c>
      <c r="F134" t="s" s="79">
        <v>172</v>
      </c>
      <c r="G134" s="80">
        <v>16</v>
      </c>
      <c r="H134" t="s" s="79">
        <v>175</v>
      </c>
      <c r="I134" t="s" s="79">
        <v>203</v>
      </c>
      <c r="J134" s="80">
        <v>21</v>
      </c>
      <c r="K134" t="s" s="79">
        <v>128</v>
      </c>
      <c r="L134" t="s" s="79">
        <v>121</v>
      </c>
      <c r="M134" s="78"/>
      <c r="N134" s="78"/>
      <c r="O134" s="78"/>
      <c r="P134" s="80">
        <v>0</v>
      </c>
      <c r="Q134" s="81">
        <v>0</v>
      </c>
      <c r="R134" s="81">
        <v>0</v>
      </c>
      <c r="S134" s="80">
        <v>0</v>
      </c>
      <c r="T134" s="80">
        <v>0</v>
      </c>
      <c r="U134" t="s" s="79">
        <v>122</v>
      </c>
      <c r="V134" s="80">
        <v>22</v>
      </c>
      <c r="W134" s="81">
        <v>5.91</v>
      </c>
      <c r="X134" s="81">
        <v>5.89</v>
      </c>
      <c r="Y134" s="80">
        <v>0</v>
      </c>
      <c r="Z134" s="80">
        <v>1</v>
      </c>
      <c r="AA134" t="s" s="79">
        <v>123</v>
      </c>
      <c r="AB134" t="s" s="79">
        <v>124</v>
      </c>
      <c r="AC134" t="s" s="79">
        <v>124</v>
      </c>
      <c r="AD134" t="s" s="82">
        <v>125</v>
      </c>
      <c r="AE134" s="67"/>
    </row>
    <row r="135" ht="15" customHeight="1">
      <c r="A135" t="s" s="87">
        <v>32</v>
      </c>
      <c r="B135" s="69">
        <v>31.2</v>
      </c>
      <c r="C135" t="b" s="70">
        <v>0</v>
      </c>
      <c r="D135" s="71"/>
      <c r="E135" t="s" s="72">
        <v>899</v>
      </c>
      <c r="F135" t="s" s="72">
        <v>149</v>
      </c>
      <c r="G135" s="73">
        <v>17</v>
      </c>
      <c r="H135" t="s" s="72">
        <v>175</v>
      </c>
      <c r="I135" t="s" s="72">
        <v>266</v>
      </c>
      <c r="J135" s="73">
        <v>25</v>
      </c>
      <c r="K135" t="s" s="72">
        <v>900</v>
      </c>
      <c r="L135" t="s" s="72">
        <v>121</v>
      </c>
      <c r="M135" s="71"/>
      <c r="N135" s="71"/>
      <c r="O135" t="s" s="88">
        <v>380</v>
      </c>
      <c r="P135" s="73">
        <v>1</v>
      </c>
      <c r="Q135" s="74">
        <v>5.5</v>
      </c>
      <c r="R135" s="74">
        <v>5.5</v>
      </c>
      <c r="S135" s="73">
        <v>0</v>
      </c>
      <c r="T135" s="73">
        <v>0</v>
      </c>
      <c r="U135" t="s" s="72">
        <v>122</v>
      </c>
      <c r="V135" s="73">
        <v>21</v>
      </c>
      <c r="W135" s="74">
        <v>5.71</v>
      </c>
      <c r="X135" s="74">
        <v>5.86</v>
      </c>
      <c r="Y135" s="73">
        <v>1</v>
      </c>
      <c r="Z135" s="73">
        <v>0</v>
      </c>
      <c r="AA135" t="s" s="72">
        <v>123</v>
      </c>
      <c r="AB135" t="s" s="72">
        <v>124</v>
      </c>
      <c r="AC135" t="s" s="72">
        <v>124</v>
      </c>
      <c r="AD135" t="s" s="75">
        <v>125</v>
      </c>
      <c r="AE135" s="67"/>
    </row>
    <row r="136" ht="15" customHeight="1">
      <c r="A136" t="s" s="87">
        <v>32</v>
      </c>
      <c r="B136" s="76">
        <v>30.7</v>
      </c>
      <c r="C136" t="b" s="77">
        <v>0</v>
      </c>
      <c r="D136" s="78"/>
      <c r="E136" t="s" s="79">
        <v>901</v>
      </c>
      <c r="F136" t="s" s="79">
        <v>149</v>
      </c>
      <c r="G136" s="80">
        <v>15</v>
      </c>
      <c r="H136" t="s" s="79">
        <v>175</v>
      </c>
      <c r="I136" t="s" s="79">
        <v>203</v>
      </c>
      <c r="J136" s="80">
        <v>22</v>
      </c>
      <c r="K136" t="s" s="79">
        <v>902</v>
      </c>
      <c r="L136" t="s" s="79">
        <v>121</v>
      </c>
      <c r="M136" s="78"/>
      <c r="N136" s="78"/>
      <c r="O136" s="78"/>
      <c r="P136" s="80">
        <v>1</v>
      </c>
      <c r="Q136" s="81">
        <v>6</v>
      </c>
      <c r="R136" s="81">
        <v>6</v>
      </c>
      <c r="S136" s="80">
        <v>0</v>
      </c>
      <c r="T136" s="80">
        <v>0</v>
      </c>
      <c r="U136" t="s" s="79">
        <v>122</v>
      </c>
      <c r="V136" s="80">
        <v>11</v>
      </c>
      <c r="W136" s="81">
        <v>5.73</v>
      </c>
      <c r="X136" s="81">
        <v>5.77</v>
      </c>
      <c r="Y136" s="80">
        <v>0</v>
      </c>
      <c r="Z136" s="80">
        <v>2</v>
      </c>
      <c r="AA136" t="s" s="79">
        <v>123</v>
      </c>
      <c r="AB136" t="s" s="79">
        <v>124</v>
      </c>
      <c r="AC136" t="s" s="79">
        <v>124</v>
      </c>
      <c r="AD136" t="s" s="82">
        <v>125</v>
      </c>
      <c r="AE136" s="67"/>
    </row>
    <row r="137" ht="15" customHeight="1">
      <c r="A137" t="s" s="87">
        <v>32</v>
      </c>
      <c r="B137" s="69">
        <v>30.4</v>
      </c>
      <c r="C137" t="b" s="70">
        <v>0</v>
      </c>
      <c r="D137" t="s" s="84">
        <v>178</v>
      </c>
      <c r="E137" t="s" s="72">
        <v>903</v>
      </c>
      <c r="F137" t="s" s="72">
        <v>187</v>
      </c>
      <c r="G137" s="73">
        <v>9</v>
      </c>
      <c r="H137" t="s" s="72">
        <v>164</v>
      </c>
      <c r="I137" t="s" s="72">
        <v>371</v>
      </c>
      <c r="J137" s="73">
        <v>21</v>
      </c>
      <c r="K137" t="s" s="72">
        <v>738</v>
      </c>
      <c r="L137" t="s" s="72">
        <v>121</v>
      </c>
      <c r="M137" s="71"/>
      <c r="N137" s="71"/>
      <c r="O137" s="71"/>
      <c r="P137" s="73">
        <v>1</v>
      </c>
      <c r="Q137" s="74">
        <v>6.5</v>
      </c>
      <c r="R137" s="74">
        <v>7.5</v>
      </c>
      <c r="S137" s="73">
        <v>0</v>
      </c>
      <c r="T137" s="73">
        <v>1</v>
      </c>
      <c r="U137" t="s" s="72">
        <v>122</v>
      </c>
      <c r="V137" s="73">
        <v>24</v>
      </c>
      <c r="W137" s="74">
        <v>5.77</v>
      </c>
      <c r="X137" s="74">
        <v>5.77</v>
      </c>
      <c r="Y137" s="73">
        <v>0</v>
      </c>
      <c r="Z137" s="73">
        <v>1</v>
      </c>
      <c r="AA137" t="s" s="72">
        <v>123</v>
      </c>
      <c r="AB137" t="s" s="72">
        <v>124</v>
      </c>
      <c r="AC137" t="s" s="72">
        <v>124</v>
      </c>
      <c r="AD137" t="s" s="75">
        <v>125</v>
      </c>
      <c r="AE137" s="67"/>
    </row>
    <row r="138" ht="15" customHeight="1">
      <c r="A138" t="s" s="87">
        <v>32</v>
      </c>
      <c r="B138" s="76">
        <v>28.8</v>
      </c>
      <c r="C138" t="b" s="77">
        <v>0</v>
      </c>
      <c r="D138" s="78"/>
      <c r="E138" t="s" s="79">
        <v>904</v>
      </c>
      <c r="F138" t="s" s="79">
        <v>180</v>
      </c>
      <c r="G138" s="80">
        <v>15</v>
      </c>
      <c r="H138" t="s" s="79">
        <v>905</v>
      </c>
      <c r="I138" t="s" s="79">
        <v>906</v>
      </c>
      <c r="J138" s="80">
        <v>20</v>
      </c>
      <c r="K138" t="s" s="79">
        <v>128</v>
      </c>
      <c r="L138" t="s" s="79">
        <v>121</v>
      </c>
      <c r="M138" s="78"/>
      <c r="N138" s="78"/>
      <c r="O138" s="78"/>
      <c r="P138" s="80">
        <v>1</v>
      </c>
      <c r="Q138" s="81">
        <v>5.5</v>
      </c>
      <c r="R138" s="81">
        <v>5.5</v>
      </c>
      <c r="S138" s="80">
        <v>0</v>
      </c>
      <c r="T138" s="80">
        <v>0</v>
      </c>
      <c r="U138" t="s" s="79">
        <v>122</v>
      </c>
      <c r="V138" s="78"/>
      <c r="W138" s="78"/>
      <c r="X138" s="78"/>
      <c r="Y138" s="78"/>
      <c r="Z138" s="78"/>
      <c r="AA138" s="78"/>
      <c r="AB138" t="s" s="79">
        <v>124</v>
      </c>
      <c r="AC138" t="s" s="79">
        <v>124</v>
      </c>
      <c r="AD138" t="s" s="82">
        <v>125</v>
      </c>
      <c r="AE138" s="67"/>
    </row>
    <row r="139" ht="15" customHeight="1">
      <c r="A139" t="s" s="87">
        <v>32</v>
      </c>
      <c r="B139" s="69">
        <v>28.4</v>
      </c>
      <c r="C139" t="b" s="70">
        <v>0</v>
      </c>
      <c r="D139" s="71"/>
      <c r="E139" t="s" s="72">
        <v>907</v>
      </c>
      <c r="F139" t="s" s="72">
        <v>147</v>
      </c>
      <c r="G139" s="73">
        <v>13</v>
      </c>
      <c r="H139" t="s" s="72">
        <v>175</v>
      </c>
      <c r="I139" t="s" s="72">
        <v>758</v>
      </c>
      <c r="J139" s="73">
        <v>31</v>
      </c>
      <c r="K139" t="s" s="72">
        <v>128</v>
      </c>
      <c r="L139" t="s" s="72">
        <v>121</v>
      </c>
      <c r="M139" s="71"/>
      <c r="N139" t="s" s="72">
        <v>311</v>
      </c>
      <c r="O139" s="71"/>
      <c r="P139" s="73">
        <v>2</v>
      </c>
      <c r="Q139" s="74">
        <v>5.75</v>
      </c>
      <c r="R139" s="74">
        <v>5.5</v>
      </c>
      <c r="S139" s="73">
        <v>0</v>
      </c>
      <c r="T139" s="73">
        <v>0</v>
      </c>
      <c r="U139" t="s" s="72">
        <v>122</v>
      </c>
      <c r="V139" s="73">
        <v>20</v>
      </c>
      <c r="W139" s="74">
        <v>6.05</v>
      </c>
      <c r="X139" s="74">
        <v>6.02</v>
      </c>
      <c r="Y139" s="73">
        <v>0</v>
      </c>
      <c r="Z139" s="73">
        <v>1</v>
      </c>
      <c r="AA139" t="s" s="72">
        <v>123</v>
      </c>
      <c r="AB139" t="s" s="72">
        <v>124</v>
      </c>
      <c r="AC139" t="s" s="72">
        <v>124</v>
      </c>
      <c r="AD139" t="s" s="75">
        <v>125</v>
      </c>
      <c r="AE139" s="67"/>
    </row>
    <row r="140" ht="15" customHeight="1">
      <c r="A140" t="s" s="87">
        <v>32</v>
      </c>
      <c r="B140" s="76">
        <v>28</v>
      </c>
      <c r="C140" t="b" s="77">
        <v>0</v>
      </c>
      <c r="D140" t="s" s="85">
        <v>161</v>
      </c>
      <c r="E140" t="s" s="79">
        <v>908</v>
      </c>
      <c r="F140" t="s" s="79">
        <v>168</v>
      </c>
      <c r="G140" s="80">
        <v>8</v>
      </c>
      <c r="H140" t="s" s="79">
        <v>118</v>
      </c>
      <c r="I140" t="s" s="79">
        <v>308</v>
      </c>
      <c r="J140" s="80">
        <v>22</v>
      </c>
      <c r="K140" t="s" s="79">
        <v>909</v>
      </c>
      <c r="L140" t="s" s="79">
        <v>121</v>
      </c>
      <c r="M140" s="78"/>
      <c r="N140" s="78"/>
      <c r="O140" s="78"/>
      <c r="P140" s="80">
        <v>2</v>
      </c>
      <c r="Q140" s="81">
        <v>5.5</v>
      </c>
      <c r="R140" s="81">
        <v>5.25</v>
      </c>
      <c r="S140" s="80">
        <v>0</v>
      </c>
      <c r="T140" s="80">
        <v>0</v>
      </c>
      <c r="U140" t="s" s="79">
        <v>122</v>
      </c>
      <c r="V140" s="80">
        <v>13</v>
      </c>
      <c r="W140" s="81">
        <v>5.62</v>
      </c>
      <c r="X140" s="81">
        <v>5.58</v>
      </c>
      <c r="Y140" s="80">
        <v>0</v>
      </c>
      <c r="Z140" s="80">
        <v>0</v>
      </c>
      <c r="AA140" t="s" s="79">
        <v>123</v>
      </c>
      <c r="AB140" t="s" s="79">
        <v>124</v>
      </c>
      <c r="AC140" t="s" s="79">
        <v>124</v>
      </c>
      <c r="AD140" t="s" s="82">
        <v>125</v>
      </c>
      <c r="AE140" s="67"/>
    </row>
    <row r="141" ht="15" customHeight="1">
      <c r="A141" t="s" s="87">
        <v>32</v>
      </c>
      <c r="B141" s="69">
        <v>27.9</v>
      </c>
      <c r="C141" t="b" s="70">
        <v>0</v>
      </c>
      <c r="D141" s="71"/>
      <c r="E141" t="s" s="72">
        <v>910</v>
      </c>
      <c r="F141" t="s" s="72">
        <v>193</v>
      </c>
      <c r="G141" s="73">
        <v>16</v>
      </c>
      <c r="H141" t="s" s="72">
        <v>175</v>
      </c>
      <c r="I141" t="s" s="72">
        <v>266</v>
      </c>
      <c r="J141" s="73">
        <v>26</v>
      </c>
      <c r="K141" t="s" s="72">
        <v>128</v>
      </c>
      <c r="L141" t="s" s="72">
        <v>121</v>
      </c>
      <c r="M141" s="71"/>
      <c r="N141" s="71"/>
      <c r="O141" t="s" s="88">
        <v>268</v>
      </c>
      <c r="P141" s="73">
        <v>0</v>
      </c>
      <c r="Q141" s="74">
        <v>0</v>
      </c>
      <c r="R141" s="74">
        <v>0</v>
      </c>
      <c r="S141" s="73">
        <v>0</v>
      </c>
      <c r="T141" s="73">
        <v>0</v>
      </c>
      <c r="U141" t="s" s="72">
        <v>122</v>
      </c>
      <c r="V141" s="73">
        <v>23</v>
      </c>
      <c r="W141" s="74">
        <v>5.85</v>
      </c>
      <c r="X141" s="74">
        <v>5.98</v>
      </c>
      <c r="Y141" s="73">
        <v>0</v>
      </c>
      <c r="Z141" s="73">
        <v>4</v>
      </c>
      <c r="AA141" t="s" s="72">
        <v>123</v>
      </c>
      <c r="AB141" t="s" s="72">
        <v>124</v>
      </c>
      <c r="AC141" t="s" s="72">
        <v>124</v>
      </c>
      <c r="AD141" t="s" s="75">
        <v>125</v>
      </c>
      <c r="AE141" s="67"/>
    </row>
    <row r="142" ht="15" customHeight="1">
      <c r="A142" t="s" s="87">
        <v>32</v>
      </c>
      <c r="B142" s="76">
        <v>27.7</v>
      </c>
      <c r="C142" t="b" s="77">
        <v>0</v>
      </c>
      <c r="D142" s="78"/>
      <c r="E142" t="s" s="79">
        <v>911</v>
      </c>
      <c r="F142" t="s" s="79">
        <v>187</v>
      </c>
      <c r="G142" s="80">
        <v>14</v>
      </c>
      <c r="H142" t="s" s="79">
        <v>175</v>
      </c>
      <c r="I142" t="s" s="79">
        <v>175</v>
      </c>
      <c r="J142" s="80">
        <v>28</v>
      </c>
      <c r="K142" t="s" s="79">
        <v>912</v>
      </c>
      <c r="L142" t="s" s="79">
        <v>121</v>
      </c>
      <c r="M142" s="78"/>
      <c r="N142" s="78"/>
      <c r="O142" s="78"/>
      <c r="P142" s="80">
        <v>0</v>
      </c>
      <c r="Q142" s="81">
        <v>0</v>
      </c>
      <c r="R142" s="81">
        <v>0</v>
      </c>
      <c r="S142" s="80">
        <v>0</v>
      </c>
      <c r="T142" s="80">
        <v>0</v>
      </c>
      <c r="U142" t="s" s="79">
        <v>122</v>
      </c>
      <c r="V142" s="80">
        <v>30</v>
      </c>
      <c r="W142" s="81">
        <v>5.85</v>
      </c>
      <c r="X142" s="81">
        <v>5.85</v>
      </c>
      <c r="Y142" s="80">
        <v>1</v>
      </c>
      <c r="Z142" s="80">
        <v>0</v>
      </c>
      <c r="AA142" t="s" s="79">
        <v>123</v>
      </c>
      <c r="AB142" t="s" s="79">
        <v>124</v>
      </c>
      <c r="AC142" t="s" s="79">
        <v>124</v>
      </c>
      <c r="AD142" t="s" s="82">
        <v>125</v>
      </c>
      <c r="AE142" s="67"/>
    </row>
    <row r="143" ht="15" customHeight="1">
      <c r="A143" t="s" s="87">
        <v>32</v>
      </c>
      <c r="B143" s="69">
        <v>27</v>
      </c>
      <c r="C143" t="b" s="70">
        <v>0</v>
      </c>
      <c r="D143" t="s" s="84">
        <v>161</v>
      </c>
      <c r="E143" t="s" s="72">
        <v>913</v>
      </c>
      <c r="F143" t="s" s="72">
        <v>156</v>
      </c>
      <c r="G143" s="73">
        <v>13</v>
      </c>
      <c r="H143" t="s" s="72">
        <v>175</v>
      </c>
      <c r="I143" t="s" s="72">
        <v>490</v>
      </c>
      <c r="J143" s="73">
        <v>21</v>
      </c>
      <c r="K143" t="s" s="72">
        <v>914</v>
      </c>
      <c r="L143" t="s" s="72">
        <v>121</v>
      </c>
      <c r="M143" s="71"/>
      <c r="N143" s="71"/>
      <c r="O143" s="71"/>
      <c r="P143" s="73">
        <v>2</v>
      </c>
      <c r="Q143" s="74">
        <v>5.75</v>
      </c>
      <c r="R143" s="74">
        <v>5.75</v>
      </c>
      <c r="S143" s="73">
        <v>0</v>
      </c>
      <c r="T143" s="73">
        <v>0</v>
      </c>
      <c r="U143" t="s" s="72">
        <v>122</v>
      </c>
      <c r="V143" s="71"/>
      <c r="W143" s="71"/>
      <c r="X143" s="71"/>
      <c r="Y143" s="71"/>
      <c r="Z143" s="71"/>
      <c r="AA143" s="71"/>
      <c r="AB143" t="s" s="72">
        <v>124</v>
      </c>
      <c r="AC143" t="s" s="72">
        <v>124</v>
      </c>
      <c r="AD143" t="s" s="75">
        <v>125</v>
      </c>
      <c r="AE143" s="67"/>
    </row>
    <row r="144" ht="15" customHeight="1">
      <c r="A144" t="s" s="87">
        <v>32</v>
      </c>
      <c r="B144" s="76">
        <v>26.6</v>
      </c>
      <c r="C144" t="b" s="77">
        <v>0</v>
      </c>
      <c r="D144" t="s" s="85">
        <v>191</v>
      </c>
      <c r="E144" t="s" s="79">
        <v>915</v>
      </c>
      <c r="F144" t="s" s="79">
        <v>156</v>
      </c>
      <c r="G144" s="80">
        <v>14</v>
      </c>
      <c r="H144" t="s" s="79">
        <v>175</v>
      </c>
      <c r="I144" t="s" s="79">
        <v>408</v>
      </c>
      <c r="J144" s="80">
        <v>26</v>
      </c>
      <c r="K144" t="s" s="79">
        <v>466</v>
      </c>
      <c r="L144" t="s" s="79">
        <v>121</v>
      </c>
      <c r="M144" s="78"/>
      <c r="N144" s="78"/>
      <c r="O144" s="78"/>
      <c r="P144" s="80">
        <v>0</v>
      </c>
      <c r="Q144" s="81">
        <v>0</v>
      </c>
      <c r="R144" s="81">
        <v>0</v>
      </c>
      <c r="S144" s="80">
        <v>0</v>
      </c>
      <c r="T144" s="80">
        <v>0</v>
      </c>
      <c r="U144" t="s" s="79">
        <v>122</v>
      </c>
      <c r="V144" s="78"/>
      <c r="W144" s="78"/>
      <c r="X144" s="78"/>
      <c r="Y144" s="78"/>
      <c r="Z144" s="78"/>
      <c r="AA144" s="78"/>
      <c r="AB144" t="s" s="79">
        <v>124</v>
      </c>
      <c r="AC144" t="s" s="79">
        <v>124</v>
      </c>
      <c r="AD144" t="s" s="82">
        <v>125</v>
      </c>
      <c r="AE144" s="67"/>
    </row>
    <row r="145" ht="15" customHeight="1">
      <c r="A145" t="s" s="87">
        <v>32</v>
      </c>
      <c r="B145" s="69">
        <v>25.4</v>
      </c>
      <c r="C145" t="b" s="70">
        <v>0</v>
      </c>
      <c r="D145" s="71"/>
      <c r="E145" t="s" s="72">
        <v>916</v>
      </c>
      <c r="F145" t="s" s="72">
        <v>159</v>
      </c>
      <c r="G145" s="73">
        <v>13</v>
      </c>
      <c r="H145" t="s" s="72">
        <v>175</v>
      </c>
      <c r="I145" t="s" s="72">
        <v>175</v>
      </c>
      <c r="J145" s="73">
        <v>27</v>
      </c>
      <c r="K145" t="s" s="72">
        <v>136</v>
      </c>
      <c r="L145" t="s" s="72">
        <v>121</v>
      </c>
      <c r="M145" s="71"/>
      <c r="N145" s="71"/>
      <c r="O145" s="71"/>
      <c r="P145" s="73">
        <v>1</v>
      </c>
      <c r="Q145" s="74">
        <v>6</v>
      </c>
      <c r="R145" s="74">
        <v>6</v>
      </c>
      <c r="S145" s="73">
        <v>0</v>
      </c>
      <c r="T145" s="73">
        <v>0</v>
      </c>
      <c r="U145" t="s" s="72">
        <v>122</v>
      </c>
      <c r="V145" s="73">
        <v>13</v>
      </c>
      <c r="W145" s="74">
        <v>5.81</v>
      </c>
      <c r="X145" s="74">
        <v>5.77</v>
      </c>
      <c r="Y145" s="73">
        <v>0</v>
      </c>
      <c r="Z145" s="73">
        <v>0</v>
      </c>
      <c r="AA145" t="s" s="72">
        <v>123</v>
      </c>
      <c r="AB145" t="s" s="72">
        <v>124</v>
      </c>
      <c r="AC145" t="s" s="72">
        <v>124</v>
      </c>
      <c r="AD145" t="s" s="75">
        <v>125</v>
      </c>
      <c r="AE145" s="67"/>
    </row>
    <row r="146" ht="15" customHeight="1">
      <c r="A146" t="s" s="87">
        <v>32</v>
      </c>
      <c r="B146" s="76">
        <v>24.9</v>
      </c>
      <c r="C146" t="b" s="77">
        <v>0</v>
      </c>
      <c r="D146" s="78"/>
      <c r="E146" t="s" s="79">
        <v>917</v>
      </c>
      <c r="F146" t="s" s="79">
        <v>170</v>
      </c>
      <c r="G146" s="80">
        <v>13</v>
      </c>
      <c r="H146" t="s" s="79">
        <v>175</v>
      </c>
      <c r="I146" t="s" s="79">
        <v>175</v>
      </c>
      <c r="J146" s="80">
        <v>27</v>
      </c>
      <c r="K146" t="s" s="79">
        <v>128</v>
      </c>
      <c r="L146" t="s" s="79">
        <v>121</v>
      </c>
      <c r="M146" s="78"/>
      <c r="N146" s="78"/>
      <c r="O146" s="78"/>
      <c r="P146" s="78"/>
      <c r="Q146" s="78"/>
      <c r="R146" s="78"/>
      <c r="S146" s="78"/>
      <c r="T146" s="78"/>
      <c r="U146" s="78"/>
      <c r="V146" s="80">
        <v>21</v>
      </c>
      <c r="W146" s="81">
        <v>5.86</v>
      </c>
      <c r="X146" s="81">
        <v>6.07</v>
      </c>
      <c r="Y146" s="80">
        <v>1</v>
      </c>
      <c r="Z146" s="80">
        <v>2</v>
      </c>
      <c r="AA146" t="s" s="79">
        <v>123</v>
      </c>
      <c r="AB146" t="s" s="79">
        <v>125</v>
      </c>
      <c r="AC146" s="78"/>
      <c r="AD146" t="s" s="82">
        <v>125</v>
      </c>
      <c r="AE146" s="67"/>
    </row>
    <row r="147" ht="15" customHeight="1">
      <c r="A147" t="s" s="87">
        <v>32</v>
      </c>
      <c r="B147" s="69">
        <v>24.6</v>
      </c>
      <c r="C147" t="b" s="70">
        <v>0</v>
      </c>
      <c r="D147" s="71"/>
      <c r="E147" t="s" s="72">
        <v>918</v>
      </c>
      <c r="F147" t="s" s="72">
        <v>147</v>
      </c>
      <c r="G147" s="73">
        <v>14</v>
      </c>
      <c r="H147" t="s" s="72">
        <v>175</v>
      </c>
      <c r="I147" t="s" s="72">
        <v>445</v>
      </c>
      <c r="J147" s="73">
        <v>24</v>
      </c>
      <c r="K147" t="s" s="72">
        <v>128</v>
      </c>
      <c r="L147" t="s" s="72">
        <v>121</v>
      </c>
      <c r="M147" s="71"/>
      <c r="N147" s="71"/>
      <c r="O147" s="71"/>
      <c r="P147" s="73">
        <v>0</v>
      </c>
      <c r="Q147" s="74">
        <v>0</v>
      </c>
      <c r="R147" s="74">
        <v>0</v>
      </c>
      <c r="S147" s="73">
        <v>0</v>
      </c>
      <c r="T147" s="73">
        <v>0</v>
      </c>
      <c r="U147" t="s" s="72">
        <v>122</v>
      </c>
      <c r="V147" s="71"/>
      <c r="W147" s="71"/>
      <c r="X147" s="71"/>
      <c r="Y147" s="71"/>
      <c r="Z147" s="71"/>
      <c r="AA147" s="71"/>
      <c r="AB147" t="s" s="72">
        <v>124</v>
      </c>
      <c r="AC147" t="s" s="72">
        <v>124</v>
      </c>
      <c r="AD147" t="s" s="75">
        <v>125</v>
      </c>
      <c r="AE147" s="67"/>
    </row>
    <row r="148" ht="15" customHeight="1">
      <c r="A148" t="s" s="87">
        <v>32</v>
      </c>
      <c r="B148" s="76">
        <v>24.6</v>
      </c>
      <c r="C148" t="b" s="77">
        <v>0</v>
      </c>
      <c r="D148" s="78"/>
      <c r="E148" t="s" s="79">
        <v>919</v>
      </c>
      <c r="F148" t="s" s="79">
        <v>183</v>
      </c>
      <c r="G148" s="80">
        <v>14</v>
      </c>
      <c r="H148" t="s" s="79">
        <v>175</v>
      </c>
      <c r="I148" t="s" s="79">
        <v>493</v>
      </c>
      <c r="J148" s="80">
        <v>18</v>
      </c>
      <c r="K148" t="s" s="79">
        <v>136</v>
      </c>
      <c r="L148" t="s" s="79">
        <v>154</v>
      </c>
      <c r="M148" s="78"/>
      <c r="N148" s="78"/>
      <c r="O148" s="78"/>
      <c r="P148" s="80">
        <v>0</v>
      </c>
      <c r="Q148" s="81">
        <v>0</v>
      </c>
      <c r="R148" s="81">
        <v>0</v>
      </c>
      <c r="S148" s="80">
        <v>0</v>
      </c>
      <c r="T148" s="80">
        <v>0</v>
      </c>
      <c r="U148" t="s" s="79">
        <v>122</v>
      </c>
      <c r="V148" s="78"/>
      <c r="W148" s="78"/>
      <c r="X148" s="78"/>
      <c r="Y148" s="78"/>
      <c r="Z148" s="78"/>
      <c r="AA148" s="78"/>
      <c r="AB148" t="s" s="79">
        <v>124</v>
      </c>
      <c r="AC148" t="s" s="79">
        <v>124</v>
      </c>
      <c r="AD148" t="s" s="82">
        <v>125</v>
      </c>
      <c r="AE148" s="67"/>
    </row>
    <row r="149" ht="15" customHeight="1">
      <c r="A149" t="s" s="87">
        <v>32</v>
      </c>
      <c r="B149" s="69">
        <v>24.1</v>
      </c>
      <c r="C149" t="b" s="70">
        <v>0</v>
      </c>
      <c r="D149" s="71"/>
      <c r="E149" t="s" s="72">
        <v>920</v>
      </c>
      <c r="F149" t="s" s="72">
        <v>172</v>
      </c>
      <c r="G149" s="73">
        <v>13</v>
      </c>
      <c r="H149" t="s" s="72">
        <v>175</v>
      </c>
      <c r="I149" t="s" s="72">
        <v>175</v>
      </c>
      <c r="J149" s="73">
        <v>23</v>
      </c>
      <c r="K149" t="s" s="72">
        <v>621</v>
      </c>
      <c r="L149" t="s" s="72">
        <v>328</v>
      </c>
      <c r="M149" s="71"/>
      <c r="N149" s="71"/>
      <c r="O149" s="71"/>
      <c r="P149" s="73">
        <v>0</v>
      </c>
      <c r="Q149" s="74">
        <v>0</v>
      </c>
      <c r="R149" s="74">
        <v>0</v>
      </c>
      <c r="S149" s="73">
        <v>0</v>
      </c>
      <c r="T149" s="73">
        <v>0</v>
      </c>
      <c r="U149" t="s" s="72">
        <v>122</v>
      </c>
      <c r="V149" s="73">
        <v>18</v>
      </c>
      <c r="W149" s="74">
        <v>5.69</v>
      </c>
      <c r="X149" s="74">
        <v>5.78</v>
      </c>
      <c r="Y149" s="73">
        <v>1</v>
      </c>
      <c r="Z149" s="73">
        <v>0</v>
      </c>
      <c r="AA149" t="s" s="72">
        <v>123</v>
      </c>
      <c r="AB149" t="s" s="72">
        <v>124</v>
      </c>
      <c r="AC149" t="s" s="72">
        <v>124</v>
      </c>
      <c r="AD149" t="s" s="75">
        <v>125</v>
      </c>
      <c r="AE149" s="67"/>
    </row>
    <row r="150" ht="15" customHeight="1">
      <c r="A150" t="s" s="87">
        <v>32</v>
      </c>
      <c r="B150" s="76">
        <v>23.8</v>
      </c>
      <c r="C150" t="b" s="77">
        <v>0</v>
      </c>
      <c r="D150" s="78"/>
      <c r="E150" t="s" s="79">
        <v>921</v>
      </c>
      <c r="F150" t="s" s="79">
        <v>156</v>
      </c>
      <c r="G150" s="80">
        <v>15</v>
      </c>
      <c r="H150" t="s" s="79">
        <v>175</v>
      </c>
      <c r="I150" t="s" s="79">
        <v>559</v>
      </c>
      <c r="J150" s="80">
        <v>20</v>
      </c>
      <c r="K150" t="s" s="79">
        <v>128</v>
      </c>
      <c r="L150" t="s" s="79">
        <v>121</v>
      </c>
      <c r="M150" s="78"/>
      <c r="N150" s="78"/>
      <c r="O150" t="s" s="88">
        <v>268</v>
      </c>
      <c r="P150" s="80">
        <v>0</v>
      </c>
      <c r="Q150" s="81">
        <v>0</v>
      </c>
      <c r="R150" s="81">
        <v>0</v>
      </c>
      <c r="S150" s="80">
        <v>0</v>
      </c>
      <c r="T150" s="80">
        <v>0</v>
      </c>
      <c r="U150" t="s" s="79">
        <v>122</v>
      </c>
      <c r="V150" s="80">
        <v>7</v>
      </c>
      <c r="W150" s="81">
        <v>5.79</v>
      </c>
      <c r="X150" s="81">
        <v>5.79</v>
      </c>
      <c r="Y150" s="80">
        <v>0</v>
      </c>
      <c r="Z150" s="80">
        <v>0</v>
      </c>
      <c r="AA150" t="s" s="79">
        <v>123</v>
      </c>
      <c r="AB150" t="s" s="79">
        <v>124</v>
      </c>
      <c r="AC150" t="s" s="79">
        <v>124</v>
      </c>
      <c r="AD150" t="s" s="82">
        <v>125</v>
      </c>
      <c r="AE150" s="67"/>
    </row>
    <row r="151" ht="15" customHeight="1">
      <c r="A151" t="s" s="87">
        <v>32</v>
      </c>
      <c r="B151" s="69">
        <v>23</v>
      </c>
      <c r="C151" t="b" s="70">
        <v>0</v>
      </c>
      <c r="D151" t="s" s="84">
        <v>161</v>
      </c>
      <c r="E151" t="s" s="72">
        <v>922</v>
      </c>
      <c r="F151" t="s" s="72">
        <v>168</v>
      </c>
      <c r="G151" s="73">
        <v>10</v>
      </c>
      <c r="H151" t="s" s="72">
        <v>175</v>
      </c>
      <c r="I151" t="s" s="72">
        <v>218</v>
      </c>
      <c r="J151" s="73">
        <v>28</v>
      </c>
      <c r="K151" t="s" s="72">
        <v>560</v>
      </c>
      <c r="L151" t="s" s="72">
        <v>154</v>
      </c>
      <c r="M151" s="71"/>
      <c r="N151" s="71"/>
      <c r="O151" s="71"/>
      <c r="P151" s="73">
        <v>2</v>
      </c>
      <c r="Q151" s="74">
        <v>5.75</v>
      </c>
      <c r="R151" s="74">
        <v>5.75</v>
      </c>
      <c r="S151" s="73">
        <v>0</v>
      </c>
      <c r="T151" s="73">
        <v>0</v>
      </c>
      <c r="U151" t="s" s="72">
        <v>122</v>
      </c>
      <c r="V151" s="73">
        <v>21</v>
      </c>
      <c r="W151" s="74">
        <v>5.69</v>
      </c>
      <c r="X151" s="74">
        <v>5.71</v>
      </c>
      <c r="Y151" s="73">
        <v>1</v>
      </c>
      <c r="Z151" s="73">
        <v>0</v>
      </c>
      <c r="AA151" t="s" s="72">
        <v>123</v>
      </c>
      <c r="AB151" t="s" s="72">
        <v>124</v>
      </c>
      <c r="AC151" t="s" s="72">
        <v>124</v>
      </c>
      <c r="AD151" t="s" s="75">
        <v>125</v>
      </c>
      <c r="AE151" s="67"/>
    </row>
    <row r="152" ht="15" customHeight="1">
      <c r="A152" t="s" s="87">
        <v>32</v>
      </c>
      <c r="B152" s="76">
        <v>22.7</v>
      </c>
      <c r="C152" t="b" s="77">
        <v>0</v>
      </c>
      <c r="D152" s="78"/>
      <c r="E152" t="s" s="79">
        <v>923</v>
      </c>
      <c r="F152" t="s" s="79">
        <v>156</v>
      </c>
      <c r="G152" s="80">
        <v>12</v>
      </c>
      <c r="H152" t="s" s="79">
        <v>175</v>
      </c>
      <c r="I152" t="s" s="79">
        <v>175</v>
      </c>
      <c r="J152" s="80">
        <v>33</v>
      </c>
      <c r="K152" t="s" s="79">
        <v>924</v>
      </c>
      <c r="L152" t="s" s="79">
        <v>121</v>
      </c>
      <c r="M152" s="78"/>
      <c r="N152" s="78"/>
      <c r="O152" s="78"/>
      <c r="P152" s="80">
        <v>0</v>
      </c>
      <c r="Q152" s="81">
        <v>0</v>
      </c>
      <c r="R152" s="81">
        <v>0</v>
      </c>
      <c r="S152" s="80">
        <v>0</v>
      </c>
      <c r="T152" s="80">
        <v>0</v>
      </c>
      <c r="U152" t="s" s="79">
        <v>122</v>
      </c>
      <c r="V152" s="80">
        <v>18</v>
      </c>
      <c r="W152" s="81">
        <v>6.08</v>
      </c>
      <c r="X152" s="81">
        <v>6.28</v>
      </c>
      <c r="Y152" s="80">
        <v>1</v>
      </c>
      <c r="Z152" s="80">
        <v>2</v>
      </c>
      <c r="AA152" t="s" s="79">
        <v>123</v>
      </c>
      <c r="AB152" t="s" s="79">
        <v>124</v>
      </c>
      <c r="AC152" t="s" s="79">
        <v>124</v>
      </c>
      <c r="AD152" t="s" s="82">
        <v>125</v>
      </c>
      <c r="AE152" s="67"/>
    </row>
    <row r="153" ht="15" customHeight="1">
      <c r="A153" t="s" s="87">
        <v>32</v>
      </c>
      <c r="B153" s="69">
        <v>22.5</v>
      </c>
      <c r="C153" t="b" s="70">
        <v>0</v>
      </c>
      <c r="D153" s="71"/>
      <c r="E153" t="s" s="72">
        <v>925</v>
      </c>
      <c r="F153" t="s" s="72">
        <v>156</v>
      </c>
      <c r="G153" s="73">
        <v>11</v>
      </c>
      <c r="H153" t="s" s="72">
        <v>926</v>
      </c>
      <c r="I153" t="s" s="72">
        <v>927</v>
      </c>
      <c r="J153" s="73">
        <v>21</v>
      </c>
      <c r="K153" t="s" s="72">
        <v>277</v>
      </c>
      <c r="L153" t="s" s="72">
        <v>121</v>
      </c>
      <c r="M153" s="71"/>
      <c r="N153" s="71"/>
      <c r="O153" s="71"/>
      <c r="P153" s="73">
        <v>3</v>
      </c>
      <c r="Q153" s="74">
        <v>5.67</v>
      </c>
      <c r="R153" s="74">
        <v>5.5</v>
      </c>
      <c r="S153" s="73">
        <v>0</v>
      </c>
      <c r="T153" s="73">
        <v>0</v>
      </c>
      <c r="U153" t="s" s="72">
        <v>122</v>
      </c>
      <c r="V153" s="73">
        <v>9</v>
      </c>
      <c r="W153" s="74">
        <v>5.72</v>
      </c>
      <c r="X153" s="74">
        <v>5.67</v>
      </c>
      <c r="Y153" s="73">
        <v>0</v>
      </c>
      <c r="Z153" s="73">
        <v>0</v>
      </c>
      <c r="AA153" t="s" s="72">
        <v>123</v>
      </c>
      <c r="AB153" t="s" s="72">
        <v>124</v>
      </c>
      <c r="AC153" t="s" s="72">
        <v>124</v>
      </c>
      <c r="AD153" t="s" s="75">
        <v>125</v>
      </c>
      <c r="AE153" s="67"/>
    </row>
    <row r="154" ht="15" customHeight="1">
      <c r="A154" t="s" s="87">
        <v>32</v>
      </c>
      <c r="B154" s="76">
        <v>22.5</v>
      </c>
      <c r="C154" t="b" s="77">
        <v>0</v>
      </c>
      <c r="D154" s="78"/>
      <c r="E154" t="s" s="79">
        <v>928</v>
      </c>
      <c r="F154" t="s" s="79">
        <v>130</v>
      </c>
      <c r="G154" s="80">
        <v>12</v>
      </c>
      <c r="H154" t="s" s="79">
        <v>175</v>
      </c>
      <c r="I154" t="s" s="79">
        <v>203</v>
      </c>
      <c r="J154" s="80">
        <v>22</v>
      </c>
      <c r="K154" t="s" s="79">
        <v>288</v>
      </c>
      <c r="L154" t="s" s="79">
        <v>121</v>
      </c>
      <c r="M154" s="78"/>
      <c r="N154" s="78"/>
      <c r="O154" s="78"/>
      <c r="P154" s="78"/>
      <c r="Q154" s="78"/>
      <c r="R154" s="78"/>
      <c r="S154" s="78"/>
      <c r="T154" s="78"/>
      <c r="U154" s="78"/>
      <c r="V154" s="80">
        <v>27</v>
      </c>
      <c r="W154" s="81">
        <v>5.76</v>
      </c>
      <c r="X154" s="81">
        <v>5.67</v>
      </c>
      <c r="Y154" s="80">
        <v>0</v>
      </c>
      <c r="Z154" s="80">
        <v>0</v>
      </c>
      <c r="AA154" t="s" s="79">
        <v>123</v>
      </c>
      <c r="AB154" t="s" s="79">
        <v>125</v>
      </c>
      <c r="AC154" s="78"/>
      <c r="AD154" t="s" s="82">
        <v>125</v>
      </c>
      <c r="AE154" s="67"/>
    </row>
    <row r="155" ht="15" customHeight="1">
      <c r="A155" t="s" s="87">
        <v>32</v>
      </c>
      <c r="B155" s="69">
        <v>22.4</v>
      </c>
      <c r="C155" t="b" s="70">
        <v>0</v>
      </c>
      <c r="D155" t="s" s="84">
        <v>191</v>
      </c>
      <c r="E155" t="s" s="72">
        <v>929</v>
      </c>
      <c r="F155" t="s" s="72">
        <v>180</v>
      </c>
      <c r="G155" s="73">
        <v>6</v>
      </c>
      <c r="H155" t="s" s="72">
        <v>930</v>
      </c>
      <c r="I155" t="s" s="72">
        <v>931</v>
      </c>
      <c r="J155" s="73">
        <v>22</v>
      </c>
      <c r="K155" t="s" s="72">
        <v>932</v>
      </c>
      <c r="L155" t="s" s="72">
        <v>121</v>
      </c>
      <c r="M155" s="71"/>
      <c r="N155" s="71"/>
      <c r="O155" s="71"/>
      <c r="P155" s="73">
        <v>1</v>
      </c>
      <c r="Q155" s="74">
        <v>6</v>
      </c>
      <c r="R155" s="74">
        <v>6</v>
      </c>
      <c r="S155" s="73">
        <v>0</v>
      </c>
      <c r="T155" s="73">
        <v>0</v>
      </c>
      <c r="U155" t="s" s="72">
        <v>122</v>
      </c>
      <c r="V155" s="71"/>
      <c r="W155" s="71"/>
      <c r="X155" s="71"/>
      <c r="Y155" s="71"/>
      <c r="Z155" s="71"/>
      <c r="AA155" s="71"/>
      <c r="AB155" t="s" s="72">
        <v>124</v>
      </c>
      <c r="AC155" t="s" s="72">
        <v>124</v>
      </c>
      <c r="AD155" t="s" s="75">
        <v>125</v>
      </c>
      <c r="AE155" s="67"/>
    </row>
    <row r="156" ht="15" customHeight="1">
      <c r="A156" t="s" s="87">
        <v>32</v>
      </c>
      <c r="B156" s="76">
        <v>21.4</v>
      </c>
      <c r="C156" t="b" s="77">
        <v>0</v>
      </c>
      <c r="D156" t="s" s="85">
        <v>161</v>
      </c>
      <c r="E156" t="s" s="79">
        <v>933</v>
      </c>
      <c r="F156" t="s" s="79">
        <v>144</v>
      </c>
      <c r="G156" s="80">
        <v>11</v>
      </c>
      <c r="H156" t="s" s="79">
        <v>175</v>
      </c>
      <c r="I156" t="s" s="79">
        <v>490</v>
      </c>
      <c r="J156" s="80">
        <v>21</v>
      </c>
      <c r="K156" t="s" s="79">
        <v>316</v>
      </c>
      <c r="L156" t="s" s="79">
        <v>121</v>
      </c>
      <c r="M156" s="78"/>
      <c r="N156" s="78"/>
      <c r="O156" s="78"/>
      <c r="P156" s="80">
        <v>1</v>
      </c>
      <c r="Q156" s="81">
        <v>5.5</v>
      </c>
      <c r="R156" s="81">
        <v>5.5</v>
      </c>
      <c r="S156" s="80">
        <v>0</v>
      </c>
      <c r="T156" s="80">
        <v>0</v>
      </c>
      <c r="U156" t="s" s="79">
        <v>122</v>
      </c>
      <c r="V156" s="78"/>
      <c r="W156" s="78"/>
      <c r="X156" s="78"/>
      <c r="Y156" s="78"/>
      <c r="Z156" s="78"/>
      <c r="AA156" s="78"/>
      <c r="AB156" t="s" s="79">
        <v>124</v>
      </c>
      <c r="AC156" t="s" s="79">
        <v>124</v>
      </c>
      <c r="AD156" t="s" s="82">
        <v>125</v>
      </c>
      <c r="AE156" s="67"/>
    </row>
    <row r="157" ht="15" customHeight="1">
      <c r="A157" t="s" s="87">
        <v>32</v>
      </c>
      <c r="B157" s="69">
        <v>20.9</v>
      </c>
      <c r="C157" t="b" s="70">
        <v>0</v>
      </c>
      <c r="D157" s="71"/>
      <c r="E157" t="s" s="72">
        <v>934</v>
      </c>
      <c r="F157" t="s" s="72">
        <v>193</v>
      </c>
      <c r="G157" s="73">
        <v>11</v>
      </c>
      <c r="H157" t="s" s="72">
        <v>175</v>
      </c>
      <c r="I157" t="s" s="72">
        <v>203</v>
      </c>
      <c r="J157" s="73">
        <v>21</v>
      </c>
      <c r="K157" t="s" s="72">
        <v>935</v>
      </c>
      <c r="L157" t="s" s="72">
        <v>121</v>
      </c>
      <c r="M157" s="71"/>
      <c r="N157" s="71"/>
      <c r="O157" s="71"/>
      <c r="P157" s="73">
        <v>1</v>
      </c>
      <c r="Q157" s="74">
        <v>5.5</v>
      </c>
      <c r="R157" s="74">
        <v>5.5</v>
      </c>
      <c r="S157" s="73">
        <v>0</v>
      </c>
      <c r="T157" s="73">
        <v>0</v>
      </c>
      <c r="U157" t="s" s="72">
        <v>122</v>
      </c>
      <c r="V157" s="73">
        <v>2</v>
      </c>
      <c r="W157" s="74">
        <v>6</v>
      </c>
      <c r="X157" s="74">
        <v>6</v>
      </c>
      <c r="Y157" s="73">
        <v>0</v>
      </c>
      <c r="Z157" s="73">
        <v>0</v>
      </c>
      <c r="AA157" t="s" s="72">
        <v>123</v>
      </c>
      <c r="AB157" t="s" s="72">
        <v>124</v>
      </c>
      <c r="AC157" t="s" s="72">
        <v>124</v>
      </c>
      <c r="AD157" t="s" s="75">
        <v>125</v>
      </c>
      <c r="AE157" s="67"/>
    </row>
    <row r="158" ht="15" customHeight="1">
      <c r="A158" t="s" s="87">
        <v>32</v>
      </c>
      <c r="B158" s="76">
        <v>20.9</v>
      </c>
      <c r="C158" t="b" s="77">
        <v>0</v>
      </c>
      <c r="D158" s="78"/>
      <c r="E158" t="s" s="79">
        <v>936</v>
      </c>
      <c r="F158" t="s" s="79">
        <v>147</v>
      </c>
      <c r="G158" s="80">
        <v>11</v>
      </c>
      <c r="H158" t="s" s="79">
        <v>175</v>
      </c>
      <c r="I158" t="s" s="79">
        <v>175</v>
      </c>
      <c r="J158" s="80">
        <v>32</v>
      </c>
      <c r="K158" t="s" s="79">
        <v>128</v>
      </c>
      <c r="L158" t="s" s="79">
        <v>121</v>
      </c>
      <c r="M158" s="78"/>
      <c r="N158" s="78"/>
      <c r="O158" s="78"/>
      <c r="P158" s="80">
        <v>0</v>
      </c>
      <c r="Q158" s="81">
        <v>0</v>
      </c>
      <c r="R158" s="81">
        <v>0</v>
      </c>
      <c r="S158" s="80">
        <v>0</v>
      </c>
      <c r="T158" s="80">
        <v>0</v>
      </c>
      <c r="U158" t="s" s="79">
        <v>122</v>
      </c>
      <c r="V158" s="80">
        <v>29</v>
      </c>
      <c r="W158" s="81">
        <v>5.9</v>
      </c>
      <c r="X158" s="81">
        <v>5.83</v>
      </c>
      <c r="Y158" s="80">
        <v>1</v>
      </c>
      <c r="Z158" s="80">
        <v>0</v>
      </c>
      <c r="AA158" t="s" s="79">
        <v>123</v>
      </c>
      <c r="AB158" t="s" s="79">
        <v>124</v>
      </c>
      <c r="AC158" t="s" s="79">
        <v>124</v>
      </c>
      <c r="AD158" t="s" s="82">
        <v>125</v>
      </c>
      <c r="AE158" s="67"/>
    </row>
    <row r="159" ht="15" customHeight="1">
      <c r="A159" t="s" s="87">
        <v>32</v>
      </c>
      <c r="B159" s="69">
        <v>19.5</v>
      </c>
      <c r="C159" t="b" s="70">
        <v>0</v>
      </c>
      <c r="D159" s="71"/>
      <c r="E159" t="s" s="72">
        <v>937</v>
      </c>
      <c r="F159" t="s" s="72">
        <v>163</v>
      </c>
      <c r="G159" s="73">
        <v>11</v>
      </c>
      <c r="H159" t="s" s="72">
        <v>175</v>
      </c>
      <c r="I159" t="s" s="72">
        <v>175</v>
      </c>
      <c r="J159" s="73">
        <v>24</v>
      </c>
      <c r="K159" t="s" s="72">
        <v>938</v>
      </c>
      <c r="L159" t="s" s="72">
        <v>121</v>
      </c>
      <c r="M159" s="71"/>
      <c r="N159" s="71"/>
      <c r="O159" s="71"/>
      <c r="P159" s="73">
        <v>0</v>
      </c>
      <c r="Q159" s="74">
        <v>0</v>
      </c>
      <c r="R159" s="74">
        <v>0</v>
      </c>
      <c r="S159" s="73">
        <v>0</v>
      </c>
      <c r="T159" s="73">
        <v>0</v>
      </c>
      <c r="U159" t="s" s="72">
        <v>122</v>
      </c>
      <c r="V159" s="73">
        <v>9</v>
      </c>
      <c r="W159" s="74">
        <v>5.78</v>
      </c>
      <c r="X159" s="74">
        <v>5.72</v>
      </c>
      <c r="Y159" s="73">
        <v>0</v>
      </c>
      <c r="Z159" s="73">
        <v>0</v>
      </c>
      <c r="AA159" t="s" s="72">
        <v>123</v>
      </c>
      <c r="AB159" t="s" s="72">
        <v>124</v>
      </c>
      <c r="AC159" t="s" s="72">
        <v>124</v>
      </c>
      <c r="AD159" t="s" s="75">
        <v>125</v>
      </c>
      <c r="AE159" s="67"/>
    </row>
    <row r="160" ht="15" customHeight="1">
      <c r="A160" t="s" s="87">
        <v>32</v>
      </c>
      <c r="B160" s="76">
        <v>19</v>
      </c>
      <c r="C160" t="b" s="77">
        <v>0</v>
      </c>
      <c r="D160" t="s" s="85">
        <v>191</v>
      </c>
      <c r="E160" t="s" s="79">
        <v>939</v>
      </c>
      <c r="F160" t="s" s="79">
        <v>159</v>
      </c>
      <c r="G160" s="80">
        <v>13</v>
      </c>
      <c r="H160" t="s" s="79">
        <v>175</v>
      </c>
      <c r="I160" t="s" s="79">
        <v>940</v>
      </c>
      <c r="J160" s="80">
        <v>27</v>
      </c>
      <c r="K160" t="s" s="79">
        <v>523</v>
      </c>
      <c r="L160" t="s" s="79">
        <v>121</v>
      </c>
      <c r="M160" s="78"/>
      <c r="N160" s="78"/>
      <c r="O160" t="s" s="88">
        <v>834</v>
      </c>
      <c r="P160" s="80">
        <v>0</v>
      </c>
      <c r="Q160" s="81">
        <v>0</v>
      </c>
      <c r="R160" s="81">
        <v>0</v>
      </c>
      <c r="S160" s="80">
        <v>0</v>
      </c>
      <c r="T160" s="80">
        <v>0</v>
      </c>
      <c r="U160" t="s" s="79">
        <v>122</v>
      </c>
      <c r="V160" s="78"/>
      <c r="W160" s="78"/>
      <c r="X160" s="78"/>
      <c r="Y160" s="78"/>
      <c r="Z160" s="78"/>
      <c r="AA160" s="78"/>
      <c r="AB160" t="s" s="79">
        <v>124</v>
      </c>
      <c r="AC160" t="s" s="79">
        <v>124</v>
      </c>
      <c r="AD160" t="s" s="82">
        <v>125</v>
      </c>
      <c r="AE160" s="67"/>
    </row>
    <row r="161" ht="15" customHeight="1">
      <c r="A161" t="s" s="87">
        <v>32</v>
      </c>
      <c r="B161" s="69">
        <v>17.9</v>
      </c>
      <c r="C161" t="b" s="70">
        <v>0</v>
      </c>
      <c r="D161" s="71"/>
      <c r="E161" t="s" s="72">
        <v>941</v>
      </c>
      <c r="F161" t="s" s="72">
        <v>187</v>
      </c>
      <c r="G161" s="73">
        <v>11</v>
      </c>
      <c r="H161" t="s" s="72">
        <v>175</v>
      </c>
      <c r="I161" t="s" s="72">
        <v>493</v>
      </c>
      <c r="J161" s="73">
        <v>21</v>
      </c>
      <c r="K161" t="s" s="72">
        <v>128</v>
      </c>
      <c r="L161" t="s" s="72">
        <v>121</v>
      </c>
      <c r="M161" s="71"/>
      <c r="N161" s="71"/>
      <c r="O161" s="71"/>
      <c r="P161" s="73">
        <v>0</v>
      </c>
      <c r="Q161" s="74">
        <v>0</v>
      </c>
      <c r="R161" s="74">
        <v>0</v>
      </c>
      <c r="S161" s="73">
        <v>0</v>
      </c>
      <c r="T161" s="73">
        <v>0</v>
      </c>
      <c r="U161" t="s" s="72">
        <v>122</v>
      </c>
      <c r="V161" s="71"/>
      <c r="W161" s="71"/>
      <c r="X161" s="71"/>
      <c r="Y161" s="71"/>
      <c r="Z161" s="71"/>
      <c r="AA161" s="71"/>
      <c r="AB161" t="s" s="72">
        <v>124</v>
      </c>
      <c r="AC161" t="s" s="72">
        <v>124</v>
      </c>
      <c r="AD161" t="s" s="75">
        <v>125</v>
      </c>
      <c r="AE161" s="67"/>
    </row>
    <row r="162" ht="15" customHeight="1">
      <c r="A162" t="s" s="87">
        <v>32</v>
      </c>
      <c r="B162" s="76">
        <v>17.4</v>
      </c>
      <c r="C162" t="b" s="77">
        <v>0</v>
      </c>
      <c r="D162" s="78"/>
      <c r="E162" t="s" s="79">
        <v>942</v>
      </c>
      <c r="F162" t="s" s="79">
        <v>159</v>
      </c>
      <c r="G162" s="80">
        <v>10</v>
      </c>
      <c r="H162" t="s" s="79">
        <v>175</v>
      </c>
      <c r="I162" t="s" s="79">
        <v>175</v>
      </c>
      <c r="J162" s="80">
        <v>28</v>
      </c>
      <c r="K162" t="s" s="79">
        <v>647</v>
      </c>
      <c r="L162" s="78"/>
      <c r="M162" s="78"/>
      <c r="N162" s="78"/>
      <c r="O162" s="78"/>
      <c r="P162" s="78"/>
      <c r="Q162" s="78"/>
      <c r="R162" s="78"/>
      <c r="S162" s="78"/>
      <c r="T162" s="78"/>
      <c r="U162" s="78"/>
      <c r="V162" s="80">
        <v>11</v>
      </c>
      <c r="W162" s="81">
        <v>5.68</v>
      </c>
      <c r="X162" s="81">
        <v>5.68</v>
      </c>
      <c r="Y162" s="80">
        <v>0</v>
      </c>
      <c r="Z162" s="80">
        <v>1</v>
      </c>
      <c r="AA162" t="s" s="79">
        <v>123</v>
      </c>
      <c r="AB162" t="s" s="79">
        <v>125</v>
      </c>
      <c r="AC162" s="78"/>
      <c r="AD162" t="s" s="82">
        <v>125</v>
      </c>
      <c r="AE162" s="67"/>
    </row>
    <row r="163" ht="15" customHeight="1">
      <c r="A163" t="s" s="87">
        <v>32</v>
      </c>
      <c r="B163" s="69">
        <v>17.1</v>
      </c>
      <c r="C163" t="b" s="70">
        <v>0</v>
      </c>
      <c r="D163" s="71"/>
      <c r="E163" t="s" s="72">
        <v>943</v>
      </c>
      <c r="F163" t="s" s="72">
        <v>183</v>
      </c>
      <c r="G163" s="73">
        <v>10</v>
      </c>
      <c r="H163" t="s" s="72">
        <v>175</v>
      </c>
      <c r="I163" t="s" s="72">
        <v>175</v>
      </c>
      <c r="J163" s="73">
        <v>25</v>
      </c>
      <c r="K163" t="s" s="72">
        <v>727</v>
      </c>
      <c r="L163" t="s" s="72">
        <v>121</v>
      </c>
      <c r="M163" s="71"/>
      <c r="N163" s="71"/>
      <c r="O163" s="71"/>
      <c r="P163" s="73">
        <v>0</v>
      </c>
      <c r="Q163" s="74">
        <v>0</v>
      </c>
      <c r="R163" s="74">
        <v>0</v>
      </c>
      <c r="S163" s="73">
        <v>0</v>
      </c>
      <c r="T163" s="73">
        <v>0</v>
      </c>
      <c r="U163" t="s" s="72">
        <v>122</v>
      </c>
      <c r="V163" s="73">
        <v>4</v>
      </c>
      <c r="W163" s="74">
        <v>5.62</v>
      </c>
      <c r="X163" s="74">
        <v>5.62</v>
      </c>
      <c r="Y163" s="73">
        <v>0</v>
      </c>
      <c r="Z163" s="73">
        <v>0</v>
      </c>
      <c r="AA163" t="s" s="72">
        <v>123</v>
      </c>
      <c r="AB163" t="s" s="72">
        <v>124</v>
      </c>
      <c r="AC163" t="s" s="72">
        <v>124</v>
      </c>
      <c r="AD163" t="s" s="75">
        <v>125</v>
      </c>
      <c r="AE163" s="67"/>
    </row>
    <row r="164" ht="15" customHeight="1">
      <c r="A164" t="s" s="87">
        <v>32</v>
      </c>
      <c r="B164" s="76">
        <v>16.5</v>
      </c>
      <c r="C164" t="b" s="77">
        <v>0</v>
      </c>
      <c r="D164" s="78"/>
      <c r="E164" t="s" s="79">
        <v>944</v>
      </c>
      <c r="F164" t="s" s="79">
        <v>153</v>
      </c>
      <c r="G164" s="80">
        <v>9</v>
      </c>
      <c r="H164" t="s" s="79">
        <v>175</v>
      </c>
      <c r="I164" t="s" s="79">
        <v>175</v>
      </c>
      <c r="J164" s="80">
        <v>25</v>
      </c>
      <c r="K164" t="s" s="79">
        <v>484</v>
      </c>
      <c r="L164" t="s" s="79">
        <v>121</v>
      </c>
      <c r="M164" s="78"/>
      <c r="N164" s="78"/>
      <c r="O164" s="78"/>
      <c r="P164" s="80">
        <v>0</v>
      </c>
      <c r="Q164" s="81">
        <v>0</v>
      </c>
      <c r="R164" s="81">
        <v>0</v>
      </c>
      <c r="S164" s="80">
        <v>0</v>
      </c>
      <c r="T164" s="80">
        <v>0</v>
      </c>
      <c r="U164" t="s" s="79">
        <v>122</v>
      </c>
      <c r="V164" s="80">
        <v>14</v>
      </c>
      <c r="W164" s="81">
        <v>6.07</v>
      </c>
      <c r="X164" s="81">
        <v>6.25</v>
      </c>
      <c r="Y164" s="80">
        <v>1</v>
      </c>
      <c r="Z164" s="80">
        <v>0</v>
      </c>
      <c r="AA164" t="s" s="79">
        <v>123</v>
      </c>
      <c r="AB164" t="s" s="79">
        <v>124</v>
      </c>
      <c r="AC164" t="s" s="79">
        <v>124</v>
      </c>
      <c r="AD164" t="s" s="82">
        <v>125</v>
      </c>
      <c r="AE164" s="67"/>
    </row>
    <row r="165" ht="15" customHeight="1">
      <c r="A165" t="s" s="87">
        <v>32</v>
      </c>
      <c r="B165" s="69">
        <v>16.3</v>
      </c>
      <c r="C165" t="b" s="70">
        <v>0</v>
      </c>
      <c r="D165" s="71"/>
      <c r="E165" t="s" s="72">
        <v>945</v>
      </c>
      <c r="F165" t="s" s="72">
        <v>130</v>
      </c>
      <c r="G165" s="73">
        <v>8</v>
      </c>
      <c r="H165" t="s" s="72">
        <v>175</v>
      </c>
      <c r="I165" t="s" s="72">
        <v>493</v>
      </c>
      <c r="J165" s="73">
        <v>19</v>
      </c>
      <c r="K165" t="s" s="72">
        <v>946</v>
      </c>
      <c r="L165" t="s" s="72">
        <v>121</v>
      </c>
      <c r="M165" s="71"/>
      <c r="N165" s="71"/>
      <c r="O165" s="71"/>
      <c r="P165" s="73">
        <v>2</v>
      </c>
      <c r="Q165" s="74">
        <v>6.5</v>
      </c>
      <c r="R165" s="74">
        <v>8</v>
      </c>
      <c r="S165" s="73">
        <v>1</v>
      </c>
      <c r="T165" s="73">
        <v>0</v>
      </c>
      <c r="U165" t="s" s="72">
        <v>122</v>
      </c>
      <c r="V165" s="73">
        <v>0</v>
      </c>
      <c r="W165" s="74">
        <v>0</v>
      </c>
      <c r="X165" s="74">
        <v>0</v>
      </c>
      <c r="Y165" s="73">
        <v>0</v>
      </c>
      <c r="Z165" s="73">
        <v>0</v>
      </c>
      <c r="AA165" t="s" s="72">
        <v>123</v>
      </c>
      <c r="AB165" t="s" s="72">
        <v>124</v>
      </c>
      <c r="AC165" t="s" s="72">
        <v>124</v>
      </c>
      <c r="AD165" t="s" s="75">
        <v>125</v>
      </c>
      <c r="AE165" s="67"/>
    </row>
    <row r="166" ht="15" customHeight="1">
      <c r="A166" t="s" s="87">
        <v>32</v>
      </c>
      <c r="B166" s="76">
        <v>15.7</v>
      </c>
      <c r="C166" t="b" s="77">
        <v>0</v>
      </c>
      <c r="D166" s="78"/>
      <c r="E166" t="s" s="79">
        <v>947</v>
      </c>
      <c r="F166" t="s" s="79">
        <v>183</v>
      </c>
      <c r="G166" s="80">
        <v>10</v>
      </c>
      <c r="H166" t="s" s="79">
        <v>175</v>
      </c>
      <c r="I166" t="s" s="79">
        <v>445</v>
      </c>
      <c r="J166" s="80">
        <v>33</v>
      </c>
      <c r="K166" t="s" s="79">
        <v>621</v>
      </c>
      <c r="L166" t="s" s="79">
        <v>154</v>
      </c>
      <c r="M166" s="78"/>
      <c r="N166" s="78"/>
      <c r="O166" s="78"/>
      <c r="P166" s="80">
        <v>0</v>
      </c>
      <c r="Q166" s="81">
        <v>0</v>
      </c>
      <c r="R166" s="81">
        <v>0</v>
      </c>
      <c r="S166" s="80">
        <v>0</v>
      </c>
      <c r="T166" s="80">
        <v>0</v>
      </c>
      <c r="U166" t="s" s="79">
        <v>122</v>
      </c>
      <c r="V166" s="78"/>
      <c r="W166" s="78"/>
      <c r="X166" s="78"/>
      <c r="Y166" s="78"/>
      <c r="Z166" s="78"/>
      <c r="AA166" s="78"/>
      <c r="AB166" t="s" s="79">
        <v>124</v>
      </c>
      <c r="AC166" t="s" s="79">
        <v>124</v>
      </c>
      <c r="AD166" t="s" s="82">
        <v>125</v>
      </c>
      <c r="AE166" s="67"/>
    </row>
    <row r="167" ht="15" customHeight="1">
      <c r="A167" t="s" s="87">
        <v>32</v>
      </c>
      <c r="B167" s="69">
        <v>15.7</v>
      </c>
      <c r="C167" t="b" s="70">
        <v>0</v>
      </c>
      <c r="D167" s="71"/>
      <c r="E167" t="s" s="72">
        <v>948</v>
      </c>
      <c r="F167" t="s" s="72">
        <v>180</v>
      </c>
      <c r="G167" s="73">
        <v>10</v>
      </c>
      <c r="H167" t="s" s="72">
        <v>175</v>
      </c>
      <c r="I167" t="s" s="72">
        <v>445</v>
      </c>
      <c r="J167" s="73">
        <v>29</v>
      </c>
      <c r="K167" t="s" s="72">
        <v>128</v>
      </c>
      <c r="L167" t="s" s="72">
        <v>121</v>
      </c>
      <c r="M167" s="71"/>
      <c r="N167" s="71"/>
      <c r="O167" s="71"/>
      <c r="P167" s="73">
        <v>0</v>
      </c>
      <c r="Q167" s="74">
        <v>0</v>
      </c>
      <c r="R167" s="74">
        <v>0</v>
      </c>
      <c r="S167" s="73">
        <v>0</v>
      </c>
      <c r="T167" s="73">
        <v>0</v>
      </c>
      <c r="U167" t="s" s="72">
        <v>122</v>
      </c>
      <c r="V167" s="71"/>
      <c r="W167" s="71"/>
      <c r="X167" s="71"/>
      <c r="Y167" s="71"/>
      <c r="Z167" s="71"/>
      <c r="AA167" s="71"/>
      <c r="AB167" t="s" s="72">
        <v>124</v>
      </c>
      <c r="AC167" t="s" s="72">
        <v>124</v>
      </c>
      <c r="AD167" t="s" s="75">
        <v>125</v>
      </c>
      <c r="AE167" s="67"/>
    </row>
    <row r="168" ht="15" customHeight="1">
      <c r="A168" t="s" s="87">
        <v>32</v>
      </c>
      <c r="B168" s="76">
        <v>14.4</v>
      </c>
      <c r="C168" t="b" s="77">
        <v>0</v>
      </c>
      <c r="D168" s="78"/>
      <c r="E168" t="s" s="79">
        <v>949</v>
      </c>
      <c r="F168" t="s" s="79">
        <v>180</v>
      </c>
      <c r="G168" s="80">
        <v>9</v>
      </c>
      <c r="H168" t="s" s="79">
        <v>175</v>
      </c>
      <c r="I168" t="s" s="79">
        <v>445</v>
      </c>
      <c r="J168" s="80">
        <v>26</v>
      </c>
      <c r="K168" t="s" s="79">
        <v>466</v>
      </c>
      <c r="L168" t="s" s="79">
        <v>154</v>
      </c>
      <c r="M168" s="78"/>
      <c r="N168" s="78"/>
      <c r="O168" s="78"/>
      <c r="P168" s="80">
        <v>0</v>
      </c>
      <c r="Q168" s="81">
        <v>0</v>
      </c>
      <c r="R168" s="81">
        <v>0</v>
      </c>
      <c r="S168" s="80">
        <v>0</v>
      </c>
      <c r="T168" s="80">
        <v>0</v>
      </c>
      <c r="U168" t="s" s="79">
        <v>122</v>
      </c>
      <c r="V168" s="78"/>
      <c r="W168" s="78"/>
      <c r="X168" s="78"/>
      <c r="Y168" s="78"/>
      <c r="Z168" s="78"/>
      <c r="AA168" s="78"/>
      <c r="AB168" t="s" s="79">
        <v>124</v>
      </c>
      <c r="AC168" t="s" s="79">
        <v>124</v>
      </c>
      <c r="AD168" t="s" s="82">
        <v>125</v>
      </c>
      <c r="AE168" s="67"/>
    </row>
    <row r="169" ht="15" customHeight="1">
      <c r="A169" t="s" s="87">
        <v>32</v>
      </c>
      <c r="B169" s="69">
        <v>14</v>
      </c>
      <c r="C169" t="b" s="70">
        <v>0</v>
      </c>
      <c r="D169" s="71"/>
      <c r="E169" t="s" s="72">
        <v>950</v>
      </c>
      <c r="F169" t="s" s="72">
        <v>168</v>
      </c>
      <c r="G169" s="73">
        <v>5</v>
      </c>
      <c r="H169" t="s" s="72">
        <v>175</v>
      </c>
      <c r="I169" t="s" s="72">
        <v>203</v>
      </c>
      <c r="J169" s="73">
        <v>21</v>
      </c>
      <c r="K169" t="s" s="72">
        <v>157</v>
      </c>
      <c r="L169" t="s" s="72">
        <v>121</v>
      </c>
      <c r="M169" s="71"/>
      <c r="N169" s="71"/>
      <c r="O169" s="71"/>
      <c r="P169" s="73">
        <v>2</v>
      </c>
      <c r="Q169" s="74">
        <v>5.75</v>
      </c>
      <c r="R169" s="74">
        <v>7.25</v>
      </c>
      <c r="S169" s="73">
        <v>1</v>
      </c>
      <c r="T169" s="73">
        <v>0</v>
      </c>
      <c r="U169" t="s" s="72">
        <v>122</v>
      </c>
      <c r="V169" s="73">
        <v>1</v>
      </c>
      <c r="W169" s="74">
        <v>5.5</v>
      </c>
      <c r="X169" s="74">
        <v>5.5</v>
      </c>
      <c r="Y169" s="73">
        <v>0</v>
      </c>
      <c r="Z169" s="73">
        <v>0</v>
      </c>
      <c r="AA169" t="s" s="72">
        <v>123</v>
      </c>
      <c r="AB169" t="s" s="72">
        <v>124</v>
      </c>
      <c r="AC169" t="s" s="72">
        <v>124</v>
      </c>
      <c r="AD169" t="s" s="75">
        <v>125</v>
      </c>
      <c r="AE169" s="67"/>
    </row>
    <row r="170" ht="15" customHeight="1">
      <c r="A170" t="s" s="87">
        <v>32</v>
      </c>
      <c r="B170" s="76">
        <v>13.3</v>
      </c>
      <c r="C170" t="b" s="77">
        <v>0</v>
      </c>
      <c r="D170" s="78"/>
      <c r="E170" t="s" s="79">
        <v>951</v>
      </c>
      <c r="F170" t="s" s="79">
        <v>159</v>
      </c>
      <c r="G170" s="80">
        <v>8</v>
      </c>
      <c r="H170" t="s" s="79">
        <v>175</v>
      </c>
      <c r="I170" t="s" s="79">
        <v>493</v>
      </c>
      <c r="J170" s="80">
        <v>19</v>
      </c>
      <c r="K170" t="s" s="79">
        <v>184</v>
      </c>
      <c r="L170" t="s" s="79">
        <v>121</v>
      </c>
      <c r="M170" s="78"/>
      <c r="N170" s="78"/>
      <c r="O170" s="78"/>
      <c r="P170" s="80">
        <v>0</v>
      </c>
      <c r="Q170" s="81">
        <v>0</v>
      </c>
      <c r="R170" s="81">
        <v>0</v>
      </c>
      <c r="S170" s="80">
        <v>0</v>
      </c>
      <c r="T170" s="80">
        <v>0</v>
      </c>
      <c r="U170" t="s" s="79">
        <v>122</v>
      </c>
      <c r="V170" s="78"/>
      <c r="W170" s="78"/>
      <c r="X170" s="78"/>
      <c r="Y170" s="78"/>
      <c r="Z170" s="78"/>
      <c r="AA170" s="78"/>
      <c r="AB170" t="s" s="79">
        <v>124</v>
      </c>
      <c r="AC170" t="s" s="79">
        <v>124</v>
      </c>
      <c r="AD170" t="s" s="82">
        <v>125</v>
      </c>
      <c r="AE170" s="67"/>
    </row>
    <row r="171" ht="15" customHeight="1">
      <c r="A171" t="s" s="87">
        <v>32</v>
      </c>
      <c r="B171" s="69">
        <v>13.2</v>
      </c>
      <c r="C171" t="b" s="70">
        <v>0</v>
      </c>
      <c r="D171" t="s" s="84">
        <v>161</v>
      </c>
      <c r="E171" t="s" s="72">
        <v>952</v>
      </c>
      <c r="F171" t="s" s="72">
        <v>163</v>
      </c>
      <c r="G171" s="73">
        <v>4</v>
      </c>
      <c r="H171" t="s" s="72">
        <v>953</v>
      </c>
      <c r="I171" t="s" s="72">
        <v>954</v>
      </c>
      <c r="J171" s="73">
        <v>19</v>
      </c>
      <c r="K171" t="s" s="72">
        <v>128</v>
      </c>
      <c r="L171" t="s" s="72">
        <v>121</v>
      </c>
      <c r="M171" s="71"/>
      <c r="N171" s="71"/>
      <c r="O171" s="71"/>
      <c r="P171" s="73">
        <v>2</v>
      </c>
      <c r="Q171" s="74">
        <v>6</v>
      </c>
      <c r="R171" s="74">
        <v>6.5</v>
      </c>
      <c r="S171" s="73">
        <v>0</v>
      </c>
      <c r="T171" s="73">
        <v>1</v>
      </c>
      <c r="U171" t="s" s="72">
        <v>122</v>
      </c>
      <c r="V171" s="71"/>
      <c r="W171" s="71"/>
      <c r="X171" s="71"/>
      <c r="Y171" s="71"/>
      <c r="Z171" s="71"/>
      <c r="AA171" s="71"/>
      <c r="AB171" t="s" s="72">
        <v>124</v>
      </c>
      <c r="AC171" t="s" s="72">
        <v>124</v>
      </c>
      <c r="AD171" t="s" s="75">
        <v>125</v>
      </c>
      <c r="AE171" s="67"/>
    </row>
    <row r="172" ht="15" customHeight="1">
      <c r="A172" t="s" s="87">
        <v>32</v>
      </c>
      <c r="B172" s="76">
        <v>12.9</v>
      </c>
      <c r="C172" t="b" s="77">
        <v>0</v>
      </c>
      <c r="D172" s="78"/>
      <c r="E172" t="s" s="79">
        <v>955</v>
      </c>
      <c r="F172" t="s" s="79">
        <v>187</v>
      </c>
      <c r="G172" s="80">
        <v>11</v>
      </c>
      <c r="H172" t="s" s="79">
        <v>175</v>
      </c>
      <c r="I172" t="s" s="79">
        <v>569</v>
      </c>
      <c r="J172" s="80">
        <v>31</v>
      </c>
      <c r="K172" t="s" s="79">
        <v>128</v>
      </c>
      <c r="L172" t="s" s="79">
        <v>328</v>
      </c>
      <c r="M172" s="78"/>
      <c r="N172" s="78"/>
      <c r="O172" t="s" s="88">
        <v>834</v>
      </c>
      <c r="P172" s="80">
        <v>0</v>
      </c>
      <c r="Q172" s="81">
        <v>0</v>
      </c>
      <c r="R172" s="81">
        <v>0</v>
      </c>
      <c r="S172" s="80">
        <v>0</v>
      </c>
      <c r="T172" s="80">
        <v>0</v>
      </c>
      <c r="U172" t="s" s="79">
        <v>122</v>
      </c>
      <c r="V172" s="78"/>
      <c r="W172" s="78"/>
      <c r="X172" s="78"/>
      <c r="Y172" s="78"/>
      <c r="Z172" s="78"/>
      <c r="AA172" s="78"/>
      <c r="AB172" t="s" s="79">
        <v>124</v>
      </c>
      <c r="AC172" t="s" s="79">
        <v>124</v>
      </c>
      <c r="AD172" t="s" s="82">
        <v>125</v>
      </c>
      <c r="AE172" s="67"/>
    </row>
    <row r="173" ht="15" customHeight="1">
      <c r="A173" t="s" s="87">
        <v>32</v>
      </c>
      <c r="B173" s="69">
        <v>12.6</v>
      </c>
      <c r="C173" t="b" s="70">
        <v>0</v>
      </c>
      <c r="D173" s="71"/>
      <c r="E173" t="s" s="72">
        <v>956</v>
      </c>
      <c r="F173" t="s" s="72">
        <v>168</v>
      </c>
      <c r="G173" s="73">
        <v>6</v>
      </c>
      <c r="H173" t="s" s="72">
        <v>175</v>
      </c>
      <c r="I173" t="s" s="72">
        <v>175</v>
      </c>
      <c r="J173" s="73">
        <v>24</v>
      </c>
      <c r="K173" t="s" s="72">
        <v>957</v>
      </c>
      <c r="L173" t="s" s="72">
        <v>121</v>
      </c>
      <c r="M173" s="71"/>
      <c r="N173" s="71"/>
      <c r="O173" s="71"/>
      <c r="P173" s="73">
        <v>0</v>
      </c>
      <c r="Q173" s="74">
        <v>0</v>
      </c>
      <c r="R173" s="74">
        <v>0</v>
      </c>
      <c r="S173" s="73">
        <v>0</v>
      </c>
      <c r="T173" s="73">
        <v>0</v>
      </c>
      <c r="U173" t="s" s="72">
        <v>122</v>
      </c>
      <c r="V173" s="73">
        <v>11</v>
      </c>
      <c r="W173" s="74">
        <v>5.68</v>
      </c>
      <c r="X173" s="74">
        <v>5.64</v>
      </c>
      <c r="Y173" s="73">
        <v>0</v>
      </c>
      <c r="Z173" s="73">
        <v>0</v>
      </c>
      <c r="AA173" t="s" s="72">
        <v>123</v>
      </c>
      <c r="AB173" t="s" s="72">
        <v>124</v>
      </c>
      <c r="AC173" t="s" s="72">
        <v>124</v>
      </c>
      <c r="AD173" t="s" s="75">
        <v>125</v>
      </c>
      <c r="AE173" s="67"/>
    </row>
    <row r="174" ht="15" customHeight="1">
      <c r="A174" t="s" s="87">
        <v>32</v>
      </c>
      <c r="B174" s="76">
        <v>12.4</v>
      </c>
      <c r="C174" t="b" s="77">
        <v>0</v>
      </c>
      <c r="D174" s="78"/>
      <c r="E174" t="s" s="79">
        <v>958</v>
      </c>
      <c r="F174" t="s" s="79">
        <v>187</v>
      </c>
      <c r="G174" s="80">
        <v>6</v>
      </c>
      <c r="H174" t="s" s="79">
        <v>175</v>
      </c>
      <c r="I174" t="s" s="79">
        <v>493</v>
      </c>
      <c r="J174" s="80">
        <v>20</v>
      </c>
      <c r="K174" t="s" s="79">
        <v>285</v>
      </c>
      <c r="L174" t="s" s="79">
        <v>121</v>
      </c>
      <c r="M174" s="78"/>
      <c r="N174" s="78"/>
      <c r="O174" s="78"/>
      <c r="P174" s="80">
        <v>1</v>
      </c>
      <c r="Q174" s="81">
        <v>5</v>
      </c>
      <c r="R174" s="81">
        <v>5</v>
      </c>
      <c r="S174" s="80">
        <v>0</v>
      </c>
      <c r="T174" s="80">
        <v>0</v>
      </c>
      <c r="U174" t="s" s="79">
        <v>122</v>
      </c>
      <c r="V174" s="78"/>
      <c r="W174" s="78"/>
      <c r="X174" s="78"/>
      <c r="Y174" s="78"/>
      <c r="Z174" s="78"/>
      <c r="AA174" s="78"/>
      <c r="AB174" t="s" s="79">
        <v>124</v>
      </c>
      <c r="AC174" t="s" s="79">
        <v>124</v>
      </c>
      <c r="AD174" t="s" s="82">
        <v>125</v>
      </c>
      <c r="AE174" s="67"/>
    </row>
    <row r="175" ht="15" customHeight="1">
      <c r="A175" t="s" s="87">
        <v>32</v>
      </c>
      <c r="B175" s="69">
        <v>12.4</v>
      </c>
      <c r="C175" t="b" s="70">
        <v>0</v>
      </c>
      <c r="D175" s="71"/>
      <c r="E175" t="s" s="72">
        <v>959</v>
      </c>
      <c r="F175" t="s" s="72">
        <v>183</v>
      </c>
      <c r="G175" s="73">
        <v>6</v>
      </c>
      <c r="H175" t="s" s="72">
        <v>175</v>
      </c>
      <c r="I175" t="s" s="72">
        <v>493</v>
      </c>
      <c r="J175" s="73">
        <v>22</v>
      </c>
      <c r="K175" t="s" s="72">
        <v>128</v>
      </c>
      <c r="L175" t="s" s="72">
        <v>154</v>
      </c>
      <c r="M175" s="71"/>
      <c r="N175" s="71"/>
      <c r="O175" s="71"/>
      <c r="P175" s="73">
        <v>1</v>
      </c>
      <c r="Q175" s="74">
        <v>5.5</v>
      </c>
      <c r="R175" s="74">
        <v>5</v>
      </c>
      <c r="S175" s="73">
        <v>0</v>
      </c>
      <c r="T175" s="73">
        <v>0</v>
      </c>
      <c r="U175" t="s" s="72">
        <v>122</v>
      </c>
      <c r="V175" s="71"/>
      <c r="W175" s="71"/>
      <c r="X175" s="71"/>
      <c r="Y175" s="71"/>
      <c r="Z175" s="71"/>
      <c r="AA175" s="71"/>
      <c r="AB175" t="s" s="72">
        <v>124</v>
      </c>
      <c r="AC175" t="s" s="72">
        <v>124</v>
      </c>
      <c r="AD175" t="s" s="75">
        <v>125</v>
      </c>
      <c r="AE175" s="67"/>
    </row>
    <row r="176" ht="15" customHeight="1">
      <c r="A176" t="s" s="87">
        <v>32</v>
      </c>
      <c r="B176" s="76">
        <v>12.3</v>
      </c>
      <c r="C176" t="b" s="77">
        <v>0</v>
      </c>
      <c r="D176" s="78"/>
      <c r="E176" t="s" s="79">
        <v>960</v>
      </c>
      <c r="F176" t="s" s="79">
        <v>149</v>
      </c>
      <c r="G176" s="80">
        <v>7</v>
      </c>
      <c r="H176" t="s" s="79">
        <v>175</v>
      </c>
      <c r="I176" t="s" s="79">
        <v>493</v>
      </c>
      <c r="J176" s="80">
        <v>19</v>
      </c>
      <c r="K176" t="s" s="79">
        <v>145</v>
      </c>
      <c r="L176" t="s" s="79">
        <v>121</v>
      </c>
      <c r="M176" s="78"/>
      <c r="N176" s="78"/>
      <c r="O176" s="78"/>
      <c r="P176" s="80">
        <v>0</v>
      </c>
      <c r="Q176" s="81">
        <v>0</v>
      </c>
      <c r="R176" s="81">
        <v>0</v>
      </c>
      <c r="S176" s="80">
        <v>0</v>
      </c>
      <c r="T176" s="80">
        <v>0</v>
      </c>
      <c r="U176" t="s" s="79">
        <v>122</v>
      </c>
      <c r="V176" s="80">
        <v>0</v>
      </c>
      <c r="W176" s="81">
        <v>0</v>
      </c>
      <c r="X176" s="81">
        <v>0</v>
      </c>
      <c r="Y176" s="80">
        <v>0</v>
      </c>
      <c r="Z176" s="80">
        <v>0</v>
      </c>
      <c r="AA176" t="s" s="79">
        <v>123</v>
      </c>
      <c r="AB176" t="s" s="79">
        <v>124</v>
      </c>
      <c r="AC176" t="s" s="79">
        <v>124</v>
      </c>
      <c r="AD176" t="s" s="82">
        <v>125</v>
      </c>
      <c r="AE176" s="67"/>
    </row>
    <row r="177" ht="15" customHeight="1">
      <c r="A177" t="s" s="87">
        <v>32</v>
      </c>
      <c r="B177" s="69">
        <v>10.9</v>
      </c>
      <c r="C177" t="b" s="70">
        <v>0</v>
      </c>
      <c r="D177" s="71"/>
      <c r="E177" t="s" s="72">
        <v>961</v>
      </c>
      <c r="F177" t="s" s="72">
        <v>193</v>
      </c>
      <c r="G177" s="73">
        <v>6</v>
      </c>
      <c r="H177" t="s" s="72">
        <v>175</v>
      </c>
      <c r="I177" t="s" s="72">
        <v>445</v>
      </c>
      <c r="J177" s="73">
        <v>30</v>
      </c>
      <c r="K177" t="s" s="72">
        <v>550</v>
      </c>
      <c r="L177" t="s" s="72">
        <v>121</v>
      </c>
      <c r="M177" s="71"/>
      <c r="N177" s="71"/>
      <c r="O177" s="71"/>
      <c r="P177" s="73">
        <v>0</v>
      </c>
      <c r="Q177" s="74">
        <v>0</v>
      </c>
      <c r="R177" s="74">
        <v>0</v>
      </c>
      <c r="S177" s="73">
        <v>0</v>
      </c>
      <c r="T177" s="73">
        <v>0</v>
      </c>
      <c r="U177" t="s" s="72">
        <v>122</v>
      </c>
      <c r="V177" s="71"/>
      <c r="W177" s="71"/>
      <c r="X177" s="71"/>
      <c r="Y177" s="71"/>
      <c r="Z177" s="71"/>
      <c r="AA177" s="71"/>
      <c r="AB177" t="s" s="72">
        <v>124</v>
      </c>
      <c r="AC177" t="s" s="72">
        <v>124</v>
      </c>
      <c r="AD177" t="s" s="75">
        <v>125</v>
      </c>
      <c r="AE177" s="67"/>
    </row>
    <row r="178" ht="15" customHeight="1">
      <c r="A178" t="s" s="87">
        <v>32</v>
      </c>
      <c r="B178" s="76">
        <v>9.699999999999999</v>
      </c>
      <c r="C178" t="b" s="77">
        <v>0</v>
      </c>
      <c r="D178" s="78"/>
      <c r="E178" t="s" s="79">
        <v>962</v>
      </c>
      <c r="F178" t="s" s="79">
        <v>156</v>
      </c>
      <c r="G178" s="80">
        <v>5</v>
      </c>
      <c r="H178" t="s" s="79">
        <v>175</v>
      </c>
      <c r="I178" t="s" s="79">
        <v>493</v>
      </c>
      <c r="J178" s="80">
        <v>20</v>
      </c>
      <c r="K178" t="s" s="79">
        <v>963</v>
      </c>
      <c r="L178" t="s" s="79">
        <v>642</v>
      </c>
      <c r="M178" s="78"/>
      <c r="N178" s="78"/>
      <c r="O178" s="78"/>
      <c r="P178" s="78"/>
      <c r="Q178" s="78"/>
      <c r="R178" s="78"/>
      <c r="S178" s="78"/>
      <c r="T178" s="78"/>
      <c r="U178" s="78"/>
      <c r="V178" s="78"/>
      <c r="W178" s="78"/>
      <c r="X178" s="78"/>
      <c r="Y178" s="78"/>
      <c r="Z178" s="78"/>
      <c r="AA178" s="78"/>
      <c r="AB178" t="s" s="79">
        <v>125</v>
      </c>
      <c r="AC178" s="78"/>
      <c r="AD178" t="s" s="82">
        <v>125</v>
      </c>
      <c r="AE178" s="67"/>
    </row>
    <row r="179" ht="15" customHeight="1">
      <c r="A179" t="s" s="87">
        <v>32</v>
      </c>
      <c r="B179" s="69">
        <v>9.6</v>
      </c>
      <c r="C179" t="b" s="70">
        <v>0</v>
      </c>
      <c r="D179" s="71"/>
      <c r="E179" t="s" s="72">
        <v>964</v>
      </c>
      <c r="F179" t="s" s="72">
        <v>147</v>
      </c>
      <c r="G179" s="73">
        <v>4</v>
      </c>
      <c r="H179" t="s" s="72">
        <v>175</v>
      </c>
      <c r="I179" t="s" s="72">
        <v>203</v>
      </c>
      <c r="J179" s="73">
        <v>20</v>
      </c>
      <c r="K179" t="s" s="72">
        <v>965</v>
      </c>
      <c r="L179" t="s" s="72">
        <v>121</v>
      </c>
      <c r="M179" s="71"/>
      <c r="N179" s="71"/>
      <c r="O179" s="71"/>
      <c r="P179" s="73">
        <v>0</v>
      </c>
      <c r="Q179" s="74">
        <v>0</v>
      </c>
      <c r="R179" s="74">
        <v>0</v>
      </c>
      <c r="S179" s="73">
        <v>0</v>
      </c>
      <c r="T179" s="73">
        <v>0</v>
      </c>
      <c r="U179" t="s" s="72">
        <v>122</v>
      </c>
      <c r="V179" s="73">
        <v>4</v>
      </c>
      <c r="W179" s="74">
        <v>5.75</v>
      </c>
      <c r="X179" s="74">
        <v>5.75</v>
      </c>
      <c r="Y179" s="73">
        <v>0</v>
      </c>
      <c r="Z179" s="73">
        <v>0</v>
      </c>
      <c r="AA179" t="s" s="72">
        <v>123</v>
      </c>
      <c r="AB179" t="s" s="72">
        <v>124</v>
      </c>
      <c r="AC179" t="s" s="72">
        <v>124</v>
      </c>
      <c r="AD179" t="s" s="75">
        <v>125</v>
      </c>
      <c r="AE179" s="67"/>
    </row>
    <row r="180" ht="15" customHeight="1">
      <c r="A180" t="s" s="87">
        <v>32</v>
      </c>
      <c r="B180" s="76">
        <v>9.4</v>
      </c>
      <c r="C180" t="b" s="77">
        <v>0</v>
      </c>
      <c r="D180" s="78"/>
      <c r="E180" t="s" s="79">
        <v>966</v>
      </c>
      <c r="F180" t="s" s="79">
        <v>168</v>
      </c>
      <c r="G180" s="80">
        <v>4</v>
      </c>
      <c r="H180" t="s" s="79">
        <v>175</v>
      </c>
      <c r="I180" t="s" s="79">
        <v>175</v>
      </c>
      <c r="J180" s="80">
        <v>23</v>
      </c>
      <c r="K180" t="s" s="79">
        <v>967</v>
      </c>
      <c r="L180" t="s" s="79">
        <v>121</v>
      </c>
      <c r="M180" s="78"/>
      <c r="N180" s="78"/>
      <c r="O180" s="78"/>
      <c r="P180" s="80">
        <v>0</v>
      </c>
      <c r="Q180" s="81">
        <v>0</v>
      </c>
      <c r="R180" s="81">
        <v>0</v>
      </c>
      <c r="S180" s="80">
        <v>0</v>
      </c>
      <c r="T180" s="80">
        <v>0</v>
      </c>
      <c r="U180" t="s" s="79">
        <v>122</v>
      </c>
      <c r="V180" s="80">
        <v>2</v>
      </c>
      <c r="W180" s="81">
        <v>5.25</v>
      </c>
      <c r="X180" s="81">
        <v>5.25</v>
      </c>
      <c r="Y180" s="80">
        <v>0</v>
      </c>
      <c r="Z180" s="80">
        <v>0</v>
      </c>
      <c r="AA180" t="s" s="79">
        <v>123</v>
      </c>
      <c r="AB180" t="s" s="79">
        <v>124</v>
      </c>
      <c r="AC180" t="s" s="79">
        <v>124</v>
      </c>
      <c r="AD180" t="s" s="82">
        <v>125</v>
      </c>
      <c r="AE180" s="67"/>
    </row>
    <row r="181" ht="15" customHeight="1">
      <c r="A181" t="s" s="87">
        <v>32</v>
      </c>
      <c r="B181" s="69">
        <v>9.199999999999999</v>
      </c>
      <c r="C181" t="b" s="70">
        <v>0</v>
      </c>
      <c r="D181" s="71"/>
      <c r="E181" t="s" s="72">
        <v>968</v>
      </c>
      <c r="F181" t="s" s="72">
        <v>172</v>
      </c>
      <c r="G181" s="73">
        <v>2</v>
      </c>
      <c r="H181" t="s" s="72">
        <v>175</v>
      </c>
      <c r="I181" t="s" s="72">
        <v>203</v>
      </c>
      <c r="J181" s="73">
        <v>22</v>
      </c>
      <c r="K181" t="s" s="72">
        <v>969</v>
      </c>
      <c r="L181" t="s" s="72">
        <v>121</v>
      </c>
      <c r="M181" s="71"/>
      <c r="N181" s="71"/>
      <c r="O181" s="71"/>
      <c r="P181" s="73">
        <v>2</v>
      </c>
      <c r="Q181" s="74">
        <v>5.75</v>
      </c>
      <c r="R181" s="74">
        <v>5.75</v>
      </c>
      <c r="S181" s="73">
        <v>0</v>
      </c>
      <c r="T181" s="73">
        <v>0</v>
      </c>
      <c r="U181" t="s" s="72">
        <v>122</v>
      </c>
      <c r="V181" s="71"/>
      <c r="W181" s="71"/>
      <c r="X181" s="71"/>
      <c r="Y181" s="71"/>
      <c r="Z181" s="71"/>
      <c r="AA181" s="71"/>
      <c r="AB181" t="s" s="72">
        <v>124</v>
      </c>
      <c r="AC181" t="s" s="72">
        <v>124</v>
      </c>
      <c r="AD181" t="s" s="75">
        <v>125</v>
      </c>
      <c r="AE181" s="67"/>
    </row>
    <row r="182" ht="15" customHeight="1">
      <c r="A182" t="s" s="87">
        <v>32</v>
      </c>
      <c r="B182" s="76">
        <v>9</v>
      </c>
      <c r="C182" t="b" s="77">
        <v>0</v>
      </c>
      <c r="D182" s="78"/>
      <c r="E182" t="s" s="79">
        <v>970</v>
      </c>
      <c r="F182" t="s" s="79">
        <v>183</v>
      </c>
      <c r="G182" s="80">
        <v>1</v>
      </c>
      <c r="H182" t="s" s="79">
        <v>175</v>
      </c>
      <c r="I182" t="s" s="79">
        <v>971</v>
      </c>
      <c r="J182" s="80">
        <v>20</v>
      </c>
      <c r="K182" t="s" s="79">
        <v>204</v>
      </c>
      <c r="L182" s="78"/>
      <c r="M182" s="78"/>
      <c r="N182" s="78"/>
      <c r="O182" s="78"/>
      <c r="P182" s="78"/>
      <c r="Q182" s="78"/>
      <c r="R182" s="78"/>
      <c r="S182" s="78"/>
      <c r="T182" s="78"/>
      <c r="U182" s="78"/>
      <c r="V182" s="80">
        <v>26</v>
      </c>
      <c r="W182" s="81">
        <v>6.21</v>
      </c>
      <c r="X182" s="81">
        <v>7.1</v>
      </c>
      <c r="Y182" s="80">
        <v>8</v>
      </c>
      <c r="Z182" s="80">
        <v>4</v>
      </c>
      <c r="AA182" t="s" s="79">
        <v>972</v>
      </c>
      <c r="AB182" t="s" s="79">
        <v>125</v>
      </c>
      <c r="AC182" s="78"/>
      <c r="AD182" t="s" s="82">
        <v>125</v>
      </c>
      <c r="AE182" s="67"/>
    </row>
    <row r="183" ht="15" customHeight="1">
      <c r="A183" t="s" s="87">
        <v>32</v>
      </c>
      <c r="B183" s="69">
        <v>8.800000000000001</v>
      </c>
      <c r="C183" t="b" s="70">
        <v>0</v>
      </c>
      <c r="D183" s="71"/>
      <c r="E183" t="s" s="72">
        <v>973</v>
      </c>
      <c r="F183" t="s" s="72">
        <v>144</v>
      </c>
      <c r="G183" s="73">
        <v>7</v>
      </c>
      <c r="H183" t="s" s="72">
        <v>175</v>
      </c>
      <c r="I183" t="s" s="72">
        <v>569</v>
      </c>
      <c r="J183" s="73">
        <v>25</v>
      </c>
      <c r="K183" t="s" s="72">
        <v>619</v>
      </c>
      <c r="L183" t="s" s="72">
        <v>121</v>
      </c>
      <c r="M183" s="71"/>
      <c r="N183" s="71"/>
      <c r="O183" t="s" s="88">
        <v>834</v>
      </c>
      <c r="P183" s="73">
        <v>1</v>
      </c>
      <c r="Q183" s="74">
        <v>5</v>
      </c>
      <c r="R183" s="74">
        <v>4.5</v>
      </c>
      <c r="S183" s="73">
        <v>0</v>
      </c>
      <c r="T183" s="73">
        <v>0</v>
      </c>
      <c r="U183" t="s" s="72">
        <v>122</v>
      </c>
      <c r="V183" s="73">
        <v>0</v>
      </c>
      <c r="W183" s="74">
        <v>0</v>
      </c>
      <c r="X183" s="74">
        <v>0</v>
      </c>
      <c r="Y183" s="73">
        <v>0</v>
      </c>
      <c r="Z183" s="73">
        <v>0</v>
      </c>
      <c r="AA183" t="s" s="72">
        <v>123</v>
      </c>
      <c r="AB183" t="s" s="72">
        <v>124</v>
      </c>
      <c r="AC183" t="s" s="72">
        <v>124</v>
      </c>
      <c r="AD183" t="s" s="75">
        <v>125</v>
      </c>
      <c r="AE183" s="67"/>
    </row>
    <row r="184" ht="15" customHeight="1">
      <c r="A184" t="s" s="87">
        <v>32</v>
      </c>
      <c r="B184" s="76">
        <v>8.6</v>
      </c>
      <c r="C184" t="b" s="77">
        <v>0</v>
      </c>
      <c r="D184" s="78"/>
      <c r="E184" t="s" s="79">
        <v>974</v>
      </c>
      <c r="F184" t="s" s="79">
        <v>172</v>
      </c>
      <c r="G184" s="80">
        <v>7</v>
      </c>
      <c r="H184" t="s" s="79">
        <v>175</v>
      </c>
      <c r="I184" t="s" s="79">
        <v>266</v>
      </c>
      <c r="J184" s="80">
        <v>27</v>
      </c>
      <c r="K184" t="s" s="79">
        <v>975</v>
      </c>
      <c r="L184" t="s" s="79">
        <v>121</v>
      </c>
      <c r="M184" s="78"/>
      <c r="N184" s="78"/>
      <c r="O184" t="s" s="88">
        <v>268</v>
      </c>
      <c r="P184" s="80">
        <v>0</v>
      </c>
      <c r="Q184" s="81">
        <v>0</v>
      </c>
      <c r="R184" s="81">
        <v>0</v>
      </c>
      <c r="S184" s="80">
        <v>0</v>
      </c>
      <c r="T184" s="80">
        <v>0</v>
      </c>
      <c r="U184" t="s" s="79">
        <v>122</v>
      </c>
      <c r="V184" s="80">
        <v>2</v>
      </c>
      <c r="W184" s="81">
        <v>5.75</v>
      </c>
      <c r="X184" s="81">
        <v>5.75</v>
      </c>
      <c r="Y184" s="80">
        <v>0</v>
      </c>
      <c r="Z184" s="80">
        <v>0</v>
      </c>
      <c r="AA184" t="s" s="79">
        <v>123</v>
      </c>
      <c r="AB184" t="s" s="79">
        <v>124</v>
      </c>
      <c r="AC184" t="s" s="79">
        <v>124</v>
      </c>
      <c r="AD184" t="s" s="82">
        <v>125</v>
      </c>
      <c r="AE184" s="67"/>
    </row>
    <row r="185" ht="15" customHeight="1">
      <c r="A185" t="s" s="87">
        <v>32</v>
      </c>
      <c r="B185" s="69">
        <v>8.4</v>
      </c>
      <c r="C185" t="b" s="70">
        <v>0</v>
      </c>
      <c r="D185" s="71"/>
      <c r="E185" t="s" s="72">
        <v>976</v>
      </c>
      <c r="F185" t="s" s="72">
        <v>159</v>
      </c>
      <c r="G185" s="73">
        <v>1</v>
      </c>
      <c r="H185" t="s" s="72">
        <v>175</v>
      </c>
      <c r="I185" t="s" s="72">
        <v>971</v>
      </c>
      <c r="J185" s="73">
        <v>19</v>
      </c>
      <c r="K185" t="s" s="72">
        <v>647</v>
      </c>
      <c r="L185" s="71"/>
      <c r="M185" s="71"/>
      <c r="N185" s="71"/>
      <c r="O185" s="71"/>
      <c r="P185" s="71"/>
      <c r="Q185" s="71"/>
      <c r="R185" s="71"/>
      <c r="S185" s="71"/>
      <c r="T185" s="71"/>
      <c r="U185" s="71"/>
      <c r="V185" s="73">
        <v>30</v>
      </c>
      <c r="W185" s="74">
        <v>5.7</v>
      </c>
      <c r="X185" s="74">
        <v>6.27</v>
      </c>
      <c r="Y185" s="73">
        <v>6</v>
      </c>
      <c r="Z185" s="73">
        <v>2</v>
      </c>
      <c r="AA185" t="s" s="72">
        <v>670</v>
      </c>
      <c r="AB185" t="s" s="72">
        <v>125</v>
      </c>
      <c r="AC185" s="71"/>
      <c r="AD185" t="s" s="75">
        <v>125</v>
      </c>
      <c r="AE185" s="67"/>
    </row>
    <row r="186" ht="15" customHeight="1">
      <c r="A186" t="s" s="87">
        <v>32</v>
      </c>
      <c r="B186" s="76">
        <v>8.300000000000001</v>
      </c>
      <c r="C186" t="b" s="77">
        <v>0</v>
      </c>
      <c r="D186" s="78"/>
      <c r="E186" t="s" s="79">
        <v>977</v>
      </c>
      <c r="F186" t="s" s="79">
        <v>187</v>
      </c>
      <c r="G186" s="80">
        <v>3</v>
      </c>
      <c r="H186" t="s" s="79">
        <v>175</v>
      </c>
      <c r="I186" t="s" s="79">
        <v>203</v>
      </c>
      <c r="J186" s="80">
        <v>19</v>
      </c>
      <c r="K186" t="s" s="79">
        <v>219</v>
      </c>
      <c r="L186" t="s" s="79">
        <v>154</v>
      </c>
      <c r="M186" s="78"/>
      <c r="N186" s="78"/>
      <c r="O186" s="78"/>
      <c r="P186" s="80">
        <v>1</v>
      </c>
      <c r="Q186" s="81">
        <v>5</v>
      </c>
      <c r="R186" s="81">
        <v>5</v>
      </c>
      <c r="S186" s="80">
        <v>0</v>
      </c>
      <c r="T186" s="80">
        <v>0</v>
      </c>
      <c r="U186" t="s" s="79">
        <v>122</v>
      </c>
      <c r="V186" s="78"/>
      <c r="W186" s="78"/>
      <c r="X186" s="78"/>
      <c r="Y186" s="78"/>
      <c r="Z186" s="78"/>
      <c r="AA186" s="78"/>
      <c r="AB186" t="s" s="79">
        <v>124</v>
      </c>
      <c r="AC186" t="s" s="79">
        <v>124</v>
      </c>
      <c r="AD186" t="s" s="82">
        <v>125</v>
      </c>
      <c r="AE186" s="67"/>
    </row>
    <row r="187" ht="15" customHeight="1">
      <c r="A187" t="s" s="87">
        <v>32</v>
      </c>
      <c r="B187" s="69">
        <v>8.199999999999999</v>
      </c>
      <c r="C187" t="b" s="70">
        <v>0</v>
      </c>
      <c r="D187" s="71"/>
      <c r="E187" t="s" s="72">
        <v>978</v>
      </c>
      <c r="F187" t="s" s="72">
        <v>193</v>
      </c>
      <c r="G187" s="73">
        <v>4</v>
      </c>
      <c r="H187" t="s" s="72">
        <v>979</v>
      </c>
      <c r="I187" t="s" s="72">
        <v>980</v>
      </c>
      <c r="J187" s="73">
        <v>19</v>
      </c>
      <c r="K187" t="s" s="72">
        <v>190</v>
      </c>
      <c r="L187" s="71"/>
      <c r="M187" s="71"/>
      <c r="N187" s="71"/>
      <c r="O187" s="71"/>
      <c r="P187" s="71"/>
      <c r="Q187" s="71"/>
      <c r="R187" s="71"/>
      <c r="S187" s="71"/>
      <c r="T187" s="71"/>
      <c r="U187" s="71"/>
      <c r="V187" s="71"/>
      <c r="W187" s="71"/>
      <c r="X187" s="71"/>
      <c r="Y187" s="71"/>
      <c r="Z187" s="71"/>
      <c r="AA187" s="71"/>
      <c r="AB187" t="s" s="72">
        <v>125</v>
      </c>
      <c r="AC187" s="71"/>
      <c r="AD187" t="s" s="75">
        <v>125</v>
      </c>
      <c r="AE187" s="67"/>
    </row>
    <row r="188" ht="15" customHeight="1">
      <c r="A188" t="s" s="87">
        <v>32</v>
      </c>
      <c r="B188" s="76">
        <v>8.199999999999999</v>
      </c>
      <c r="C188" t="b" s="77">
        <v>0</v>
      </c>
      <c r="D188" s="78"/>
      <c r="E188" t="s" s="79">
        <v>981</v>
      </c>
      <c r="F188" t="s" s="79">
        <v>147</v>
      </c>
      <c r="G188" s="80">
        <v>4</v>
      </c>
      <c r="H188" t="s" s="79">
        <v>175</v>
      </c>
      <c r="I188" t="s" s="79">
        <v>493</v>
      </c>
      <c r="J188" s="80">
        <v>18</v>
      </c>
      <c r="K188" t="s" s="79">
        <v>982</v>
      </c>
      <c r="L188" s="78"/>
      <c r="M188" s="78"/>
      <c r="N188" s="78"/>
      <c r="O188" s="78"/>
      <c r="P188" s="78"/>
      <c r="Q188" s="78"/>
      <c r="R188" s="78"/>
      <c r="S188" s="78"/>
      <c r="T188" s="78"/>
      <c r="U188" s="78"/>
      <c r="V188" s="78"/>
      <c r="W188" s="78"/>
      <c r="X188" s="78"/>
      <c r="Y188" s="78"/>
      <c r="Z188" s="78"/>
      <c r="AA188" s="78"/>
      <c r="AB188" t="s" s="79">
        <v>125</v>
      </c>
      <c r="AC188" s="78"/>
      <c r="AD188" t="s" s="82">
        <v>125</v>
      </c>
      <c r="AE188" s="67"/>
    </row>
    <row r="189" ht="15" customHeight="1">
      <c r="A189" t="s" s="87">
        <v>32</v>
      </c>
      <c r="B189" s="69">
        <v>8.199999999999999</v>
      </c>
      <c r="C189" t="b" s="70">
        <v>0</v>
      </c>
      <c r="D189" s="71"/>
      <c r="E189" t="s" s="72">
        <v>983</v>
      </c>
      <c r="F189" t="s" s="72">
        <v>156</v>
      </c>
      <c r="G189" s="73">
        <v>4</v>
      </c>
      <c r="H189" t="s" s="72">
        <v>175</v>
      </c>
      <c r="I189" t="s" s="72">
        <v>493</v>
      </c>
      <c r="J189" s="73">
        <v>18</v>
      </c>
      <c r="K189" t="s" s="72">
        <v>204</v>
      </c>
      <c r="L189" s="71"/>
      <c r="M189" s="71"/>
      <c r="N189" s="71"/>
      <c r="O189" s="71"/>
      <c r="P189" s="71"/>
      <c r="Q189" s="71"/>
      <c r="R189" s="71"/>
      <c r="S189" s="71"/>
      <c r="T189" s="71"/>
      <c r="U189" s="71"/>
      <c r="V189" s="71"/>
      <c r="W189" s="71"/>
      <c r="X189" s="71"/>
      <c r="Y189" s="71"/>
      <c r="Z189" s="71"/>
      <c r="AA189" s="71"/>
      <c r="AB189" t="s" s="72">
        <v>125</v>
      </c>
      <c r="AC189" s="71"/>
      <c r="AD189" t="s" s="75">
        <v>125</v>
      </c>
      <c r="AE189" s="67"/>
    </row>
    <row r="190" ht="15" customHeight="1">
      <c r="A190" t="s" s="87">
        <v>32</v>
      </c>
      <c r="B190" s="76">
        <v>8.199999999999999</v>
      </c>
      <c r="C190" t="b" s="77">
        <v>0</v>
      </c>
      <c r="D190" s="78"/>
      <c r="E190" t="s" s="79">
        <v>984</v>
      </c>
      <c r="F190" t="s" s="79">
        <v>147</v>
      </c>
      <c r="G190" s="80">
        <v>4</v>
      </c>
      <c r="H190" t="s" s="79">
        <v>175</v>
      </c>
      <c r="I190" t="s" s="79">
        <v>445</v>
      </c>
      <c r="J190" s="80">
        <v>23</v>
      </c>
      <c r="K190" t="s" s="79">
        <v>985</v>
      </c>
      <c r="L190" t="s" s="79">
        <v>154</v>
      </c>
      <c r="M190" s="78"/>
      <c r="N190" s="78"/>
      <c r="O190" s="78"/>
      <c r="P190" s="80">
        <v>0</v>
      </c>
      <c r="Q190" s="81">
        <v>0</v>
      </c>
      <c r="R190" s="81">
        <v>0</v>
      </c>
      <c r="S190" s="80">
        <v>0</v>
      </c>
      <c r="T190" s="80">
        <v>0</v>
      </c>
      <c r="U190" t="s" s="79">
        <v>122</v>
      </c>
      <c r="V190" s="78"/>
      <c r="W190" s="78"/>
      <c r="X190" s="78"/>
      <c r="Y190" s="78"/>
      <c r="Z190" s="78"/>
      <c r="AA190" s="78"/>
      <c r="AB190" t="s" s="79">
        <v>124</v>
      </c>
      <c r="AC190" t="s" s="79">
        <v>124</v>
      </c>
      <c r="AD190" t="s" s="82">
        <v>125</v>
      </c>
      <c r="AE190" s="67"/>
    </row>
    <row r="191" ht="15" customHeight="1">
      <c r="A191" t="s" s="87">
        <v>32</v>
      </c>
      <c r="B191" s="69">
        <v>7.3</v>
      </c>
      <c r="C191" t="b" s="70">
        <v>0</v>
      </c>
      <c r="D191" s="71"/>
      <c r="E191" t="s" s="72">
        <v>986</v>
      </c>
      <c r="F191" t="s" s="72">
        <v>149</v>
      </c>
      <c r="G191" s="73">
        <v>1</v>
      </c>
      <c r="H191" t="s" s="72">
        <v>175</v>
      </c>
      <c r="I191" t="s" s="72">
        <v>393</v>
      </c>
      <c r="J191" s="73">
        <v>20</v>
      </c>
      <c r="K191" t="s" s="72">
        <v>204</v>
      </c>
      <c r="L191" s="71"/>
      <c r="M191" s="71"/>
      <c r="N191" s="71"/>
      <c r="O191" s="71"/>
      <c r="P191" s="71"/>
      <c r="Q191" s="71"/>
      <c r="R191" s="71"/>
      <c r="S191" s="71"/>
      <c r="T191" s="71"/>
      <c r="U191" s="71"/>
      <c r="V191" s="73">
        <v>34</v>
      </c>
      <c r="W191" s="74">
        <v>6.1</v>
      </c>
      <c r="X191" s="74">
        <v>6.13</v>
      </c>
      <c r="Y191" s="73">
        <v>0</v>
      </c>
      <c r="Z191" s="73">
        <v>2</v>
      </c>
      <c r="AA191" t="s" s="72">
        <v>123</v>
      </c>
      <c r="AB191" t="s" s="72">
        <v>125</v>
      </c>
      <c r="AC191" s="71"/>
      <c r="AD191" t="s" s="75">
        <v>125</v>
      </c>
      <c r="AE191" s="67"/>
    </row>
    <row r="192" ht="15" customHeight="1">
      <c r="A192" t="s" s="87">
        <v>32</v>
      </c>
      <c r="B192" s="76">
        <v>6.2</v>
      </c>
      <c r="C192" t="b" s="77">
        <v>0</v>
      </c>
      <c r="D192" s="78"/>
      <c r="E192" t="s" s="79">
        <v>987</v>
      </c>
      <c r="F192" t="s" s="79">
        <v>141</v>
      </c>
      <c r="G192" s="80">
        <v>2</v>
      </c>
      <c r="H192" t="s" s="79">
        <v>175</v>
      </c>
      <c r="I192" t="s" s="79">
        <v>203</v>
      </c>
      <c r="J192" s="80">
        <v>18</v>
      </c>
      <c r="K192" t="s" s="79">
        <v>988</v>
      </c>
      <c r="L192" t="s" s="79">
        <v>121</v>
      </c>
      <c r="M192" s="78"/>
      <c r="N192" s="78"/>
      <c r="O192" s="78"/>
      <c r="P192" s="80">
        <v>0</v>
      </c>
      <c r="Q192" s="81">
        <v>0</v>
      </c>
      <c r="R192" s="81">
        <v>0</v>
      </c>
      <c r="S192" s="80">
        <v>0</v>
      </c>
      <c r="T192" s="80">
        <v>0</v>
      </c>
      <c r="U192" t="s" s="79">
        <v>122</v>
      </c>
      <c r="V192" s="80">
        <v>0</v>
      </c>
      <c r="W192" s="81">
        <v>0</v>
      </c>
      <c r="X192" s="81">
        <v>0</v>
      </c>
      <c r="Y192" s="80">
        <v>0</v>
      </c>
      <c r="Z192" s="80">
        <v>0</v>
      </c>
      <c r="AA192" t="s" s="79">
        <v>123</v>
      </c>
      <c r="AB192" t="s" s="79">
        <v>124</v>
      </c>
      <c r="AC192" t="s" s="79">
        <v>124</v>
      </c>
      <c r="AD192" t="s" s="82">
        <v>125</v>
      </c>
      <c r="AE192" s="67"/>
    </row>
    <row r="193" ht="15" customHeight="1">
      <c r="A193" t="s" s="87">
        <v>32</v>
      </c>
      <c r="B193" s="69">
        <v>6.2</v>
      </c>
      <c r="C193" t="b" s="70">
        <v>0</v>
      </c>
      <c r="D193" s="71"/>
      <c r="E193" t="s" s="72">
        <v>989</v>
      </c>
      <c r="F193" t="s" s="72">
        <v>172</v>
      </c>
      <c r="G193" s="73">
        <v>2</v>
      </c>
      <c r="H193" t="s" s="72">
        <v>175</v>
      </c>
      <c r="I193" t="s" s="72">
        <v>175</v>
      </c>
      <c r="J193" s="73">
        <v>26</v>
      </c>
      <c r="K193" t="s" s="72">
        <v>204</v>
      </c>
      <c r="L193" s="71"/>
      <c r="M193" s="71"/>
      <c r="N193" s="71"/>
      <c r="O193" s="71"/>
      <c r="P193" s="71"/>
      <c r="Q193" s="71"/>
      <c r="R193" s="71"/>
      <c r="S193" s="71"/>
      <c r="T193" s="71"/>
      <c r="U193" s="71"/>
      <c r="V193" s="73">
        <v>0</v>
      </c>
      <c r="W193" s="74">
        <v>0</v>
      </c>
      <c r="X193" s="74">
        <v>0</v>
      </c>
      <c r="Y193" s="73">
        <v>0</v>
      </c>
      <c r="Z193" s="73">
        <v>0</v>
      </c>
      <c r="AA193" t="s" s="72">
        <v>123</v>
      </c>
      <c r="AB193" t="s" s="72">
        <v>125</v>
      </c>
      <c r="AC193" s="71"/>
      <c r="AD193" t="s" s="75">
        <v>125</v>
      </c>
      <c r="AE193" s="67"/>
    </row>
    <row r="194" ht="15" customHeight="1">
      <c r="A194" t="s" s="87">
        <v>32</v>
      </c>
      <c r="B194" s="76">
        <v>3.4</v>
      </c>
      <c r="C194" t="b" s="77">
        <v>0</v>
      </c>
      <c r="D194" s="78"/>
      <c r="E194" t="s" s="79">
        <v>990</v>
      </c>
      <c r="F194" t="s" s="79">
        <v>127</v>
      </c>
      <c r="G194" s="80">
        <v>1</v>
      </c>
      <c r="H194" t="s" s="79">
        <v>175</v>
      </c>
      <c r="I194" t="s" s="79">
        <v>203</v>
      </c>
      <c r="J194" s="80">
        <v>21</v>
      </c>
      <c r="K194" t="s" s="79">
        <v>204</v>
      </c>
      <c r="L194" s="78"/>
      <c r="M194" s="78"/>
      <c r="N194" s="78"/>
      <c r="O194" s="78"/>
      <c r="P194" s="78"/>
      <c r="Q194" s="78"/>
      <c r="R194" s="78"/>
      <c r="S194" s="78"/>
      <c r="T194" s="78"/>
      <c r="U194" s="78"/>
      <c r="V194" s="78"/>
      <c r="W194" s="78"/>
      <c r="X194" s="78"/>
      <c r="Y194" s="78"/>
      <c r="Z194" s="78"/>
      <c r="AA194" s="78"/>
      <c r="AB194" t="s" s="79">
        <v>125</v>
      </c>
      <c r="AC194" s="78"/>
      <c r="AD194" t="s" s="82">
        <v>125</v>
      </c>
      <c r="AE194" s="67"/>
    </row>
    <row r="195" ht="15" customHeight="1">
      <c r="A195" t="s" s="87">
        <v>32</v>
      </c>
      <c r="B195" s="69">
        <v>3.4</v>
      </c>
      <c r="C195" t="b" s="70">
        <v>0</v>
      </c>
      <c r="D195" s="71"/>
      <c r="E195" t="s" s="72">
        <v>991</v>
      </c>
      <c r="F195" t="s" s="72">
        <v>163</v>
      </c>
      <c r="G195" s="73">
        <v>1</v>
      </c>
      <c r="H195" t="s" s="72">
        <v>175</v>
      </c>
      <c r="I195" t="s" s="72">
        <v>203</v>
      </c>
      <c r="J195" s="73">
        <v>18</v>
      </c>
      <c r="K195" t="s" s="72">
        <v>204</v>
      </c>
      <c r="L195" s="71"/>
      <c r="M195" s="71"/>
      <c r="N195" s="71"/>
      <c r="O195" s="71"/>
      <c r="P195" s="71"/>
      <c r="Q195" s="71"/>
      <c r="R195" s="71"/>
      <c r="S195" s="71"/>
      <c r="T195" s="71"/>
      <c r="U195" s="71"/>
      <c r="V195" s="71"/>
      <c r="W195" s="71"/>
      <c r="X195" s="71"/>
      <c r="Y195" s="71"/>
      <c r="Z195" s="71"/>
      <c r="AA195" s="71"/>
      <c r="AB195" t="s" s="72">
        <v>125</v>
      </c>
      <c r="AC195" s="71"/>
      <c r="AD195" t="s" s="75">
        <v>125</v>
      </c>
      <c r="AE195" s="67"/>
    </row>
    <row r="196" ht="15" customHeight="1">
      <c r="A196" t="s" s="87">
        <v>32</v>
      </c>
      <c r="B196" s="76">
        <v>3.4</v>
      </c>
      <c r="C196" t="b" s="77">
        <v>0</v>
      </c>
      <c r="D196" s="78"/>
      <c r="E196" t="s" s="79">
        <v>992</v>
      </c>
      <c r="F196" t="s" s="79">
        <v>130</v>
      </c>
      <c r="G196" s="80">
        <v>1</v>
      </c>
      <c r="H196" t="s" s="79">
        <v>175</v>
      </c>
      <c r="I196" t="s" s="79">
        <v>203</v>
      </c>
      <c r="J196" s="80">
        <v>18</v>
      </c>
      <c r="K196" t="s" s="79">
        <v>128</v>
      </c>
      <c r="L196" t="s" s="79">
        <v>121</v>
      </c>
      <c r="M196" s="78"/>
      <c r="N196" s="78"/>
      <c r="O196" s="78"/>
      <c r="P196" s="80">
        <v>0</v>
      </c>
      <c r="Q196" s="81">
        <v>0</v>
      </c>
      <c r="R196" s="81">
        <v>0</v>
      </c>
      <c r="S196" s="80">
        <v>0</v>
      </c>
      <c r="T196" s="80">
        <v>0</v>
      </c>
      <c r="U196" t="s" s="79">
        <v>122</v>
      </c>
      <c r="V196" s="78"/>
      <c r="W196" s="78"/>
      <c r="X196" s="78"/>
      <c r="Y196" s="78"/>
      <c r="Z196" s="78"/>
      <c r="AA196" s="78"/>
      <c r="AB196" t="s" s="79">
        <v>124</v>
      </c>
      <c r="AC196" t="s" s="79">
        <v>124</v>
      </c>
      <c r="AD196" t="s" s="82">
        <v>125</v>
      </c>
      <c r="AE196" s="67"/>
    </row>
    <row r="197" ht="15" customHeight="1">
      <c r="A197" t="s" s="87">
        <v>32</v>
      </c>
      <c r="B197" s="69">
        <v>3.4</v>
      </c>
      <c r="C197" t="b" s="70">
        <v>0</v>
      </c>
      <c r="D197" s="71"/>
      <c r="E197" t="s" s="72">
        <v>993</v>
      </c>
      <c r="F197" t="s" s="72">
        <v>183</v>
      </c>
      <c r="G197" s="73">
        <v>1</v>
      </c>
      <c r="H197" t="s" s="72">
        <v>175</v>
      </c>
      <c r="I197" t="s" s="72">
        <v>203</v>
      </c>
      <c r="J197" s="73">
        <v>22</v>
      </c>
      <c r="K197" t="s" s="72">
        <v>994</v>
      </c>
      <c r="L197" s="71"/>
      <c r="M197" s="71"/>
      <c r="N197" s="71"/>
      <c r="O197" s="71"/>
      <c r="P197" s="71"/>
      <c r="Q197" s="71"/>
      <c r="R197" s="71"/>
      <c r="S197" s="71"/>
      <c r="T197" s="71"/>
      <c r="U197" s="71"/>
      <c r="V197" s="71"/>
      <c r="W197" s="71"/>
      <c r="X197" s="71"/>
      <c r="Y197" s="71"/>
      <c r="Z197" s="71"/>
      <c r="AA197" s="71"/>
      <c r="AB197" t="s" s="72">
        <v>125</v>
      </c>
      <c r="AC197" s="71"/>
      <c r="AD197" t="s" s="75">
        <v>125</v>
      </c>
      <c r="AE197" s="67"/>
    </row>
    <row r="198" ht="15" customHeight="1">
      <c r="A198" t="s" s="87">
        <v>32</v>
      </c>
      <c r="B198" s="76">
        <v>3.4</v>
      </c>
      <c r="C198" t="b" s="77">
        <v>0</v>
      </c>
      <c r="D198" s="78"/>
      <c r="E198" t="s" s="79">
        <v>995</v>
      </c>
      <c r="F198" t="s" s="79">
        <v>147</v>
      </c>
      <c r="G198" s="80">
        <v>1</v>
      </c>
      <c r="H198" t="s" s="79">
        <v>175</v>
      </c>
      <c r="I198" t="s" s="79">
        <v>203</v>
      </c>
      <c r="J198" s="80">
        <v>20</v>
      </c>
      <c r="K198" t="s" s="79">
        <v>204</v>
      </c>
      <c r="L198" s="78"/>
      <c r="M198" s="78"/>
      <c r="N198" s="78"/>
      <c r="O198" s="78"/>
      <c r="P198" s="78"/>
      <c r="Q198" s="78"/>
      <c r="R198" s="78"/>
      <c r="S198" s="78"/>
      <c r="T198" s="78"/>
      <c r="U198" s="78"/>
      <c r="V198" s="78"/>
      <c r="W198" s="78"/>
      <c r="X198" s="78"/>
      <c r="Y198" s="78"/>
      <c r="Z198" s="78"/>
      <c r="AA198" s="78"/>
      <c r="AB198" t="s" s="79">
        <v>125</v>
      </c>
      <c r="AC198" s="78"/>
      <c r="AD198" t="s" s="82">
        <v>125</v>
      </c>
      <c r="AE198" s="67"/>
    </row>
    <row r="199" ht="15" customHeight="1">
      <c r="A199" t="s" s="87">
        <v>32</v>
      </c>
      <c r="B199" s="69">
        <v>3.4</v>
      </c>
      <c r="C199" t="b" s="70">
        <v>0</v>
      </c>
      <c r="D199" s="71"/>
      <c r="E199" t="s" s="72">
        <v>996</v>
      </c>
      <c r="F199" t="s" s="72">
        <v>187</v>
      </c>
      <c r="G199" s="73">
        <v>1</v>
      </c>
      <c r="H199" t="s" s="72">
        <v>175</v>
      </c>
      <c r="I199" t="s" s="72">
        <v>203</v>
      </c>
      <c r="J199" s="73">
        <v>18</v>
      </c>
      <c r="K199" t="s" s="72">
        <v>639</v>
      </c>
      <c r="L199" t="s" s="72">
        <v>258</v>
      </c>
      <c r="M199" s="71"/>
      <c r="N199" s="71"/>
      <c r="O199" s="71"/>
      <c r="P199" s="71"/>
      <c r="Q199" s="71"/>
      <c r="R199" s="71"/>
      <c r="S199" s="71"/>
      <c r="T199" s="71"/>
      <c r="U199" s="71"/>
      <c r="V199" s="71"/>
      <c r="W199" s="71"/>
      <c r="X199" s="71"/>
      <c r="Y199" s="71"/>
      <c r="Z199" s="71"/>
      <c r="AA199" s="71"/>
      <c r="AB199" t="s" s="72">
        <v>125</v>
      </c>
      <c r="AC199" s="71"/>
      <c r="AD199" t="s" s="75">
        <v>125</v>
      </c>
      <c r="AE199" s="67"/>
    </row>
    <row r="200" ht="15" customHeight="1">
      <c r="A200" t="s" s="87">
        <v>32</v>
      </c>
      <c r="B200" s="76">
        <v>3.4</v>
      </c>
      <c r="C200" t="b" s="77">
        <v>0</v>
      </c>
      <c r="D200" s="78"/>
      <c r="E200" t="s" s="79">
        <v>997</v>
      </c>
      <c r="F200" t="s" s="79">
        <v>168</v>
      </c>
      <c r="G200" s="80">
        <v>1</v>
      </c>
      <c r="H200" t="s" s="79">
        <v>175</v>
      </c>
      <c r="I200" t="s" s="79">
        <v>203</v>
      </c>
      <c r="J200" s="80">
        <v>21</v>
      </c>
      <c r="K200" t="s" s="79">
        <v>998</v>
      </c>
      <c r="L200" s="78"/>
      <c r="M200" s="78"/>
      <c r="N200" s="78"/>
      <c r="O200" s="78"/>
      <c r="P200" s="78"/>
      <c r="Q200" s="78"/>
      <c r="R200" s="78"/>
      <c r="S200" s="78"/>
      <c r="T200" s="78"/>
      <c r="U200" s="78"/>
      <c r="V200" s="78"/>
      <c r="W200" s="78"/>
      <c r="X200" s="78"/>
      <c r="Y200" s="78"/>
      <c r="Z200" s="78"/>
      <c r="AA200" s="78"/>
      <c r="AB200" t="s" s="79">
        <v>125</v>
      </c>
      <c r="AC200" s="78"/>
      <c r="AD200" t="s" s="82">
        <v>125</v>
      </c>
      <c r="AE200" s="67"/>
    </row>
    <row r="201" ht="15" customHeight="1">
      <c r="A201" t="s" s="87">
        <v>32</v>
      </c>
      <c r="B201" s="69">
        <v>3.4</v>
      </c>
      <c r="C201" t="b" s="70">
        <v>0</v>
      </c>
      <c r="D201" s="71"/>
      <c r="E201" t="s" s="72">
        <v>999</v>
      </c>
      <c r="F201" t="s" s="72">
        <v>141</v>
      </c>
      <c r="G201" s="73">
        <v>1</v>
      </c>
      <c r="H201" t="s" s="72">
        <v>175</v>
      </c>
      <c r="I201" t="s" s="72">
        <v>203</v>
      </c>
      <c r="J201" s="73">
        <v>17</v>
      </c>
      <c r="K201" t="s" s="72">
        <v>204</v>
      </c>
      <c r="L201" s="71"/>
      <c r="M201" s="71"/>
      <c r="N201" s="71"/>
      <c r="O201" s="71"/>
      <c r="P201" s="71"/>
      <c r="Q201" s="71"/>
      <c r="R201" s="71"/>
      <c r="S201" s="71"/>
      <c r="T201" s="71"/>
      <c r="U201" s="71"/>
      <c r="V201" s="71"/>
      <c r="W201" s="71"/>
      <c r="X201" s="71"/>
      <c r="Y201" s="71"/>
      <c r="Z201" s="71"/>
      <c r="AA201" s="71"/>
      <c r="AB201" t="s" s="72">
        <v>125</v>
      </c>
      <c r="AC201" s="71"/>
      <c r="AD201" t="s" s="75">
        <v>125</v>
      </c>
      <c r="AE201" s="67"/>
    </row>
    <row r="202" ht="15" customHeight="1">
      <c r="A202" t="s" s="87">
        <v>32</v>
      </c>
      <c r="B202" s="76">
        <v>3.4</v>
      </c>
      <c r="C202" t="b" s="77">
        <v>0</v>
      </c>
      <c r="D202" s="78"/>
      <c r="E202" t="s" s="79">
        <v>1000</v>
      </c>
      <c r="F202" t="s" s="79">
        <v>183</v>
      </c>
      <c r="G202" s="80">
        <v>1</v>
      </c>
      <c r="H202" t="s" s="79">
        <v>175</v>
      </c>
      <c r="I202" t="s" s="79">
        <v>203</v>
      </c>
      <c r="J202" s="80">
        <v>21</v>
      </c>
      <c r="K202" t="s" s="79">
        <v>632</v>
      </c>
      <c r="L202" s="78"/>
      <c r="M202" s="78"/>
      <c r="N202" s="78"/>
      <c r="O202" s="78"/>
      <c r="P202" s="78"/>
      <c r="Q202" s="78"/>
      <c r="R202" s="78"/>
      <c r="S202" s="78"/>
      <c r="T202" s="78"/>
      <c r="U202" s="78"/>
      <c r="V202" s="78"/>
      <c r="W202" s="78"/>
      <c r="X202" s="78"/>
      <c r="Y202" s="78"/>
      <c r="Z202" s="78"/>
      <c r="AA202" s="78"/>
      <c r="AB202" t="s" s="79">
        <v>125</v>
      </c>
      <c r="AC202" s="78"/>
      <c r="AD202" t="s" s="82">
        <v>125</v>
      </c>
      <c r="AE202" s="67"/>
    </row>
    <row r="203" ht="15" customHeight="1">
      <c r="A203" t="s" s="89">
        <v>32</v>
      </c>
      <c r="B203" s="103">
        <v>3.4</v>
      </c>
      <c r="C203" t="b" s="104">
        <v>0</v>
      </c>
      <c r="D203" s="105"/>
      <c r="E203" t="s" s="106">
        <v>1001</v>
      </c>
      <c r="F203" t="s" s="106">
        <v>183</v>
      </c>
      <c r="G203" s="107">
        <v>1</v>
      </c>
      <c r="H203" t="s" s="106">
        <v>175</v>
      </c>
      <c r="I203" t="s" s="106">
        <v>175</v>
      </c>
      <c r="J203" s="107">
        <v>24</v>
      </c>
      <c r="K203" t="s" s="106">
        <v>204</v>
      </c>
      <c r="L203" s="105"/>
      <c r="M203" s="105"/>
      <c r="N203" s="105"/>
      <c r="O203" s="105"/>
      <c r="P203" s="105"/>
      <c r="Q203" s="105"/>
      <c r="R203" s="105"/>
      <c r="S203" s="105"/>
      <c r="T203" s="105"/>
      <c r="U203" s="105"/>
      <c r="V203" s="105"/>
      <c r="W203" s="105"/>
      <c r="X203" s="105"/>
      <c r="Y203" s="105"/>
      <c r="Z203" s="105"/>
      <c r="AA203" s="105"/>
      <c r="AB203" t="s" s="106">
        <v>125</v>
      </c>
      <c r="AC203" s="105"/>
      <c r="AD203" t="s" s="109">
        <v>125</v>
      </c>
      <c r="AE203" s="67"/>
    </row>
    <row r="204" ht="13.55" customHeight="1">
      <c r="A204" s="97"/>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c r="AE204" s="99"/>
    </row>
  </sheetData>
  <mergeCells count="2">
    <mergeCell ref="A2:AD2"/>
    <mergeCell ref="A1:AD1"/>
  </mergeCells>
  <hyperlinks>
    <hyperlink ref="AA5" r:id="rId1" location="" tooltip="" display="4/5"/>
    <hyperlink ref="AB5" r:id="rId2" location="" tooltip="" display="Apri"/>
    <hyperlink ref="AC5" r:id="rId3" location="" tooltip="" display="Apri"/>
    <hyperlink ref="AA6" r:id="rId4" location="" tooltip="" display="0/2"/>
    <hyperlink ref="AB6" r:id="rId5" location="" tooltip="" display="Apri"/>
    <hyperlink ref="AC6" r:id="rId6" location="" tooltip="" display="Apri"/>
    <hyperlink ref="AA7" r:id="rId7" location="" tooltip="" display="5/5"/>
    <hyperlink ref="AB7" r:id="rId8" location="" tooltip="" display="Apri"/>
    <hyperlink ref="AC7" r:id="rId9" location="" tooltip="" display="Apri"/>
    <hyperlink ref="AA8" r:id="rId10" location="" tooltip="" display="0/0"/>
    <hyperlink ref="AB8" r:id="rId11" location="" tooltip="" display="Apri"/>
    <hyperlink ref="AC8" r:id="rId12" location="" tooltip="" display="Apri"/>
    <hyperlink ref="AA9" r:id="rId13" location="" tooltip="" display="0/0"/>
    <hyperlink ref="AB9" r:id="rId14" location="" tooltip="" display="Apri"/>
    <hyperlink ref="AC9" r:id="rId15" location="" tooltip="" display="Apri"/>
    <hyperlink ref="AA10" r:id="rId16" location="" tooltip="" display="0/1"/>
    <hyperlink ref="AB10" r:id="rId17" location="" tooltip="" display="Apri"/>
    <hyperlink ref="AC10" r:id="rId18" location="" tooltip="" display="Apri"/>
    <hyperlink ref="AA11" r:id="rId19" location="" tooltip="" display="4/6"/>
    <hyperlink ref="AB11" r:id="rId20" location="" tooltip="" display="Apri"/>
    <hyperlink ref="AC11" r:id="rId21" location="" tooltip="" display="Apri"/>
    <hyperlink ref="AA12" r:id="rId22" location="" tooltip="" display="0/0"/>
    <hyperlink ref="AB12" r:id="rId23" location="" tooltip="" display="Apri"/>
    <hyperlink ref="AC12" r:id="rId24" location="" tooltip="" display="Apri"/>
    <hyperlink ref="AA13" r:id="rId25" location="" tooltip="" display="0/1"/>
    <hyperlink ref="AB13" r:id="rId26" location="" tooltip="" display="Apri"/>
    <hyperlink ref="AC13" r:id="rId27" location="" tooltip="" display="Apri"/>
    <hyperlink ref="AA14" r:id="rId28" location="" tooltip="" display="3/3"/>
    <hyperlink ref="AB14" r:id="rId29" location="" tooltip="" display="Apri"/>
    <hyperlink ref="AC14" r:id="rId30" location="" tooltip="" display="Apri"/>
    <hyperlink ref="AA15" r:id="rId31" location="" tooltip="" display="1/1"/>
    <hyperlink ref="AB15" r:id="rId32" location="" tooltip="" display="Apri"/>
    <hyperlink ref="AC15" r:id="rId33" location="" tooltip="" display="Apri"/>
    <hyperlink ref="AA16" r:id="rId34" location="" tooltip="" display="4/4"/>
    <hyperlink ref="AB16" r:id="rId35" location="" tooltip="" display="Apri"/>
    <hyperlink ref="AC16" r:id="rId36" location="" tooltip="" display="Apri"/>
    <hyperlink ref="AA17" r:id="rId37" location="" tooltip="" display="0/0"/>
    <hyperlink ref="AB17" r:id="rId38" location="" tooltip="" display="Apri"/>
    <hyperlink ref="AC17" r:id="rId39" location="" tooltip="" display="Apri"/>
    <hyperlink ref="AA18" r:id="rId40" location="" tooltip="" display="0/0"/>
    <hyperlink ref="AB18" r:id="rId41" location="" tooltip="" display="Apri"/>
    <hyperlink ref="AC18" r:id="rId42" location="" tooltip="" display="Apri"/>
    <hyperlink ref="AA19" r:id="rId43" location="" tooltip="" display="0/0"/>
    <hyperlink ref="AB19" r:id="rId44" location="" tooltip="" display="Apri"/>
    <hyperlink ref="AC19" r:id="rId45" location="" tooltip="" display="Apri"/>
    <hyperlink ref="AA20" r:id="rId46" location="" tooltip="" display="0/0"/>
    <hyperlink ref="AB20" r:id="rId47" location="" tooltip="" display="Apri"/>
    <hyperlink ref="AC20" r:id="rId48" location="" tooltip="" display="Apri"/>
    <hyperlink ref="AA21" r:id="rId49" location="" tooltip="" display="0/0"/>
    <hyperlink ref="AB21" r:id="rId50" location="" tooltip="" display="Apri"/>
    <hyperlink ref="AC21" r:id="rId51" location="" tooltip="" display="Apri"/>
    <hyperlink ref="AA22" r:id="rId52" location="" tooltip="" display="0/1"/>
    <hyperlink ref="AB22" r:id="rId53" location="" tooltip="" display="Apri"/>
    <hyperlink ref="AC22" r:id="rId54" location="" tooltip="" display="Apri"/>
    <hyperlink ref="AA23" r:id="rId55" location="" tooltip="" display="0/0"/>
    <hyperlink ref="AB23" r:id="rId56" location="" tooltip="" display="Apri"/>
    <hyperlink ref="AC23" r:id="rId57" location="" tooltip="" display="Apri"/>
    <hyperlink ref="AA24" r:id="rId58" location="" tooltip="" display="1/1"/>
    <hyperlink ref="AB24" r:id="rId59" location="" tooltip="" display="Apri"/>
    <hyperlink ref="AC24" r:id="rId60" location="" tooltip="" display="Apri"/>
    <hyperlink ref="AA25" r:id="rId61" location="" tooltip="" display="0/1"/>
    <hyperlink ref="AB25" r:id="rId62" location="" tooltip="" display="Apri"/>
    <hyperlink ref="AC25" r:id="rId63" location="" tooltip="" display="Apri"/>
    <hyperlink ref="AA26" r:id="rId64" location="" tooltip="" display="0/0"/>
    <hyperlink ref="AB26" r:id="rId65" location="" tooltip="" display="Apri"/>
    <hyperlink ref="AC26" r:id="rId66" location="" tooltip="" display="Apri"/>
    <hyperlink ref="AA27" r:id="rId67" location="" tooltip="" display="0/0"/>
    <hyperlink ref="AB27" r:id="rId68" location="" tooltip="" display="Apri"/>
    <hyperlink ref="AC27" r:id="rId69" location="" tooltip="" display="Apri"/>
    <hyperlink ref="AA28" r:id="rId70" location="" tooltip="" display="1/1"/>
    <hyperlink ref="AB28" r:id="rId71" location="" tooltip="" display="Apri"/>
    <hyperlink ref="AC28" r:id="rId72" location="" tooltip="" display="Apri"/>
    <hyperlink ref="AA29" r:id="rId73" location="" tooltip="" display="0/0"/>
    <hyperlink ref="AB29" r:id="rId74" location="" tooltip="" display="Apri"/>
    <hyperlink ref="AC29" r:id="rId75" location="" tooltip="" display="Apri"/>
    <hyperlink ref="AB30" r:id="rId76" location="" tooltip="" display="Apri"/>
    <hyperlink ref="AC30" r:id="rId77" location="" tooltip="" display="Apri"/>
    <hyperlink ref="AA31" r:id="rId78" location="" tooltip="" display="0/0"/>
    <hyperlink ref="AB31" r:id="rId79" location="" tooltip="" display="Apri"/>
    <hyperlink ref="AC31" r:id="rId80" location="" tooltip="" display="Apri"/>
    <hyperlink ref="AA32" r:id="rId81" location="" tooltip="" display="0/0"/>
    <hyperlink ref="AB32" r:id="rId82" location="" tooltip="" display="Apri"/>
    <hyperlink ref="AC32" r:id="rId83" location="" tooltip="" display="Apri"/>
    <hyperlink ref="AA33" r:id="rId84" location="" tooltip="" display="0/0"/>
    <hyperlink ref="AB33" r:id="rId85" location="" tooltip="" display="Apri"/>
    <hyperlink ref="AC33" r:id="rId86" location="" tooltip="" display="Apri"/>
    <hyperlink ref="AA34" r:id="rId87" location="" tooltip="" display="0/0"/>
    <hyperlink ref="AB34" r:id="rId88" location="" tooltip="" display="Apri"/>
    <hyperlink ref="AC34" r:id="rId89" location="" tooltip="" display="Apri"/>
    <hyperlink ref="AB35" r:id="rId90" location="" tooltip="" display="Apri"/>
    <hyperlink ref="AC35" r:id="rId91" location="" tooltip="" display="Apri"/>
    <hyperlink ref="AA36" r:id="rId92" location="" tooltip="" display="0/0"/>
    <hyperlink ref="AB36" r:id="rId93" location="" tooltip="" display="Apri"/>
    <hyperlink ref="AC36" r:id="rId94" location="" tooltip="" display="Apri"/>
    <hyperlink ref="AA37" r:id="rId95" location="" tooltip="" display="0/0"/>
    <hyperlink ref="AB37" r:id="rId96" location="" tooltip="" display="Apri"/>
    <hyperlink ref="AC37" r:id="rId97" location="" tooltip="" display="Apri"/>
    <hyperlink ref="AA38" r:id="rId98" location="" tooltip="" display="3/3"/>
    <hyperlink ref="AB38" r:id="rId99" location="" tooltip="" display="Apri"/>
    <hyperlink ref="AC38" r:id="rId100" location="" tooltip="" display="Apri"/>
    <hyperlink ref="AA39" r:id="rId101" location="" tooltip="" display="1/1"/>
    <hyperlink ref="AB39" r:id="rId102" location="" tooltip="" display="Apri"/>
    <hyperlink ref="AC39" r:id="rId103" location="" tooltip="" display="Apri"/>
    <hyperlink ref="AB40" r:id="rId104" location="" tooltip="" display="Apri"/>
    <hyperlink ref="AC40" r:id="rId105" location="" tooltip="" display="Apri"/>
    <hyperlink ref="AA41" r:id="rId106" location="" tooltip="" display="0/0"/>
    <hyperlink ref="AB41" r:id="rId107" location="" tooltip="" display="Apri"/>
    <hyperlink ref="AC41" r:id="rId108" location="" tooltip="" display="Apri"/>
    <hyperlink ref="AA42" r:id="rId109" location="" tooltip="" display="0/0"/>
    <hyperlink ref="AB42" r:id="rId110" location="" tooltip="" display="Apri"/>
    <hyperlink ref="AC42" r:id="rId111" location="" tooltip="" display="Apri"/>
    <hyperlink ref="AA43" r:id="rId112" location="" tooltip="" display="0/0"/>
    <hyperlink ref="AB43" r:id="rId113" location="" tooltip="" display="Apri"/>
    <hyperlink ref="AC43" r:id="rId114" location="" tooltip="" display="Apri"/>
    <hyperlink ref="AB44" r:id="rId115" location="" tooltip="" display="Apri"/>
    <hyperlink ref="AC44" r:id="rId116" location="" tooltip="" display="Apri"/>
    <hyperlink ref="AA45" r:id="rId117" location="" tooltip="" display="0/0"/>
    <hyperlink ref="AB45" r:id="rId118" location="" tooltip="" display="Apri"/>
    <hyperlink ref="AC45" r:id="rId119" location="" tooltip="" display="Apri"/>
    <hyperlink ref="AA46" r:id="rId120" location="" tooltip="" display="0/0"/>
    <hyperlink ref="AB46" r:id="rId121" location="" tooltip="" display="Apri"/>
    <hyperlink ref="AC46" r:id="rId122" location="" tooltip="" display="Apri"/>
    <hyperlink ref="AB47" r:id="rId123" location="" tooltip="" display="Apri"/>
    <hyperlink ref="AC47" r:id="rId124" location="" tooltip="" display="Apri"/>
    <hyperlink ref="AA48" r:id="rId125" location="" tooltip="" display="0/0"/>
    <hyperlink ref="AB48" r:id="rId126" location="" tooltip="" display="Apri"/>
    <hyperlink ref="AC48" r:id="rId127" location="" tooltip="" display="Apri"/>
    <hyperlink ref="AA49" r:id="rId128" location="" tooltip="" display="0/0"/>
    <hyperlink ref="AB49" r:id="rId129" location="" tooltip="" display="Apri"/>
    <hyperlink ref="AC49" r:id="rId130" location="" tooltip="" display="Apri"/>
    <hyperlink ref="AA50" r:id="rId131" location="" tooltip="" display="2/2"/>
    <hyperlink ref="AB50" r:id="rId132" location="" tooltip="" display="Apri"/>
    <hyperlink ref="AC50" r:id="rId133" location="" tooltip="" display="Apri"/>
    <hyperlink ref="AB51" r:id="rId134" location="" tooltip="" display="Apri"/>
    <hyperlink ref="AC51" r:id="rId135" location="" tooltip="" display="Apri"/>
    <hyperlink ref="AA52" r:id="rId136" location="" tooltip="" display="2/2"/>
    <hyperlink ref="AB52" r:id="rId137" location="" tooltip="" display="Apri"/>
    <hyperlink ref="AC52" r:id="rId138" location="" tooltip="" display="Apri"/>
    <hyperlink ref="AA53" r:id="rId139" location="" tooltip="" display="0/0"/>
    <hyperlink ref="AB53" r:id="rId140" location="" tooltip="" display="Apri"/>
    <hyperlink ref="AC53" r:id="rId141" location="" tooltip="" display="Apri"/>
    <hyperlink ref="AA54" r:id="rId142" location="" tooltip="" display="0/0"/>
    <hyperlink ref="AB54" r:id="rId143" location="" tooltip="" display="Apri"/>
    <hyperlink ref="AC54" r:id="rId144" location="" tooltip="" display="Apri"/>
    <hyperlink ref="AA55" r:id="rId145" location="" tooltip="" display="0/0"/>
    <hyperlink ref="AB55" r:id="rId146" location="" tooltip="" display="Apri"/>
    <hyperlink ref="AC55" r:id="rId147" location="" tooltip="" display="Apri"/>
    <hyperlink ref="AA56" r:id="rId148" location="" tooltip="" display="0/0"/>
    <hyperlink ref="AB56" r:id="rId149" location="" tooltip="" display="Apri"/>
    <hyperlink ref="AC56" r:id="rId150" location="" tooltip="" display="Apri"/>
    <hyperlink ref="AA57" r:id="rId151" location="" tooltip="" display="0/0"/>
    <hyperlink ref="AB57" r:id="rId152" location="" tooltip="" display="Apri"/>
    <hyperlink ref="AC57" r:id="rId153" location="" tooltip="" display="Apri"/>
    <hyperlink ref="AA58" r:id="rId154" location="" tooltip="" display="0/0"/>
    <hyperlink ref="AB58" r:id="rId155" location="" tooltip="" display="Apri"/>
    <hyperlink ref="AC58" r:id="rId156" location="" tooltip="" display="Apri"/>
    <hyperlink ref="AA59" r:id="rId157" location="" tooltip="" display="0/0"/>
    <hyperlink ref="AB59" r:id="rId158" location="" tooltip="" display="Apri"/>
    <hyperlink ref="AC59" r:id="rId159" location="" tooltip="" display="Apri"/>
    <hyperlink ref="AA60" r:id="rId160" location="" tooltip="" display="0/0"/>
    <hyperlink ref="AB60" r:id="rId161" location="" tooltip="" display="Apri"/>
    <hyperlink ref="AC60" r:id="rId162" location="" tooltip="" display="Apri"/>
    <hyperlink ref="AA61" r:id="rId163" location="" tooltip="" display="0/0"/>
    <hyperlink ref="AB61" r:id="rId164" location="" tooltip="" display="Apri"/>
    <hyperlink ref="AC61" r:id="rId165" location="" tooltip="" display="Apri"/>
    <hyperlink ref="AA62" r:id="rId166" location="" tooltip="" display="0/0"/>
    <hyperlink ref="AB62" r:id="rId167" location="" tooltip="" display="Apri"/>
    <hyperlink ref="AC62" r:id="rId168" location="" tooltip="" display="Apri"/>
    <hyperlink ref="AA63" r:id="rId169" location="" tooltip="" display="0/0"/>
    <hyperlink ref="AB63" r:id="rId170" location="" tooltip="" display="Apri"/>
    <hyperlink ref="AC63" r:id="rId171" location="" tooltip="" display="Apri"/>
    <hyperlink ref="AA64" r:id="rId172" location="" tooltip="" display="0/0"/>
    <hyperlink ref="AB64" r:id="rId173" location="" tooltip="" display="Apri"/>
    <hyperlink ref="AC64" r:id="rId174" location="" tooltip="" display="Apri"/>
    <hyperlink ref="AA65" r:id="rId175" location="" tooltip="" display="0/0"/>
    <hyperlink ref="AB65" r:id="rId176" location="" tooltip="" display="Apri"/>
    <hyperlink ref="AC65" r:id="rId177" location="" tooltip="" display="Apri"/>
    <hyperlink ref="AA66" r:id="rId178" location="" tooltip="" display="0/0"/>
    <hyperlink ref="AB66" r:id="rId179" location="" tooltip="" display="Apri"/>
    <hyperlink ref="AC66" r:id="rId180" location="" tooltip="" display="Apri"/>
    <hyperlink ref="AA67" r:id="rId181" location="" tooltip="" display="0/0"/>
    <hyperlink ref="AB67" r:id="rId182" location="" tooltip="" display="Apri"/>
    <hyperlink ref="AC67" r:id="rId183" location="" tooltip="" display="Apri"/>
    <hyperlink ref="AA68" r:id="rId184" location="" tooltip="" display="0/0"/>
    <hyperlink ref="AB68" r:id="rId185" location="" tooltip="" display="Apri"/>
    <hyperlink ref="AC68" r:id="rId186" location="" tooltip="" display="Apri"/>
    <hyperlink ref="AA69" r:id="rId187" location="" tooltip="" display="0/0"/>
    <hyperlink ref="AB69" r:id="rId188" location="" tooltip="" display="Apri"/>
    <hyperlink ref="AC69" r:id="rId189" location="" tooltip="" display="Apri"/>
    <hyperlink ref="AA70" r:id="rId190" location="" tooltip="" display="0/0"/>
    <hyperlink ref="AB70" r:id="rId191" location="" tooltip="" display="Apri"/>
    <hyperlink ref="AC70" r:id="rId192" location="" tooltip="" display="Apri"/>
    <hyperlink ref="AA71" r:id="rId193" location="" tooltip="" display="0/0"/>
    <hyperlink ref="AB71" r:id="rId194" location="" tooltip="" display="Apri"/>
    <hyperlink ref="AC71" r:id="rId195" location="" tooltip="" display="Apri"/>
    <hyperlink ref="AA72" r:id="rId196" location="" tooltip="" display="0/0"/>
    <hyperlink ref="AB72" r:id="rId197" location="" tooltip="" display="Apri"/>
    <hyperlink ref="AC72" r:id="rId198" location="" tooltip="" display="Apri"/>
    <hyperlink ref="AA73" r:id="rId199" location="" tooltip="" display="0/0"/>
    <hyperlink ref="AB73" r:id="rId200" location="" tooltip="" display="Apri"/>
    <hyperlink ref="AC73" r:id="rId201" location="" tooltip="" display="Apri"/>
    <hyperlink ref="AB74" r:id="rId202" location="" tooltip="" display="Apri"/>
    <hyperlink ref="AC74" r:id="rId203" location="" tooltip="" display="Apri"/>
    <hyperlink ref="AA75" r:id="rId204" location="" tooltip="" display="0/0"/>
    <hyperlink ref="AB75" r:id="rId205" location="" tooltip="" display="Apri"/>
    <hyperlink ref="AC75" r:id="rId206" location="" tooltip="" display="Apri"/>
    <hyperlink ref="AA76" r:id="rId207" location="" tooltip="" display="1/1"/>
    <hyperlink ref="AB76" r:id="rId208" location="" tooltip="" display="Apri"/>
    <hyperlink ref="AC76" r:id="rId209" location="" tooltip="" display="Apri"/>
    <hyperlink ref="AA77" r:id="rId210" location="" tooltip="" display="0/0"/>
    <hyperlink ref="AB77" r:id="rId211" location="" tooltip="" display="Apri"/>
    <hyperlink ref="AC77" r:id="rId212" location="" tooltip="" display="Apri"/>
    <hyperlink ref="AA78" r:id="rId213" location="" tooltip="" display="0/0"/>
    <hyperlink ref="AB78" r:id="rId214" location="" tooltip="" display="Apri"/>
    <hyperlink ref="AC78" r:id="rId215" location="" tooltip="" display="Apri"/>
    <hyperlink ref="AA79" r:id="rId216" location="" tooltip="" display="0/0"/>
    <hyperlink ref="AB79" r:id="rId217" location="" tooltip="" display="Apri"/>
    <hyperlink ref="AC79" r:id="rId218" location="" tooltip="" display="Apri"/>
    <hyperlink ref="AA80" r:id="rId219" location="" tooltip="" display="0/0"/>
    <hyperlink ref="AB80" r:id="rId220" location="" tooltip="" display="Apri"/>
    <hyperlink ref="AC80" r:id="rId221" location="" tooltip="" display="Apri"/>
    <hyperlink ref="AA81" r:id="rId222" location="" tooltip="" display="0/0"/>
    <hyperlink ref="AB81" r:id="rId223" location="" tooltip="" display="Apri"/>
    <hyperlink ref="AC81" r:id="rId224" location="" tooltip="" display="Apri"/>
    <hyperlink ref="AA82" r:id="rId225" location="" tooltip="" display="0/0"/>
    <hyperlink ref="AB82" r:id="rId226" location="" tooltip="" display="Apri"/>
    <hyperlink ref="AC82" r:id="rId227" location="" tooltip="" display="Apri"/>
    <hyperlink ref="AA83" r:id="rId228" location="" tooltip="" display="0/0"/>
    <hyperlink ref="AB83" r:id="rId229" location="" tooltip="" display="Apri"/>
    <hyperlink ref="AC83" r:id="rId230" location="" tooltip="" display="Apri"/>
    <hyperlink ref="AA84" r:id="rId231" location="" tooltip="" display="0/0"/>
    <hyperlink ref="AB84" r:id="rId232" location="" tooltip="" display="Apri"/>
    <hyperlink ref="AC84" r:id="rId233" location="" tooltip="" display="Apri"/>
    <hyperlink ref="AA85" r:id="rId234" location="" tooltip="" display="0/0"/>
    <hyperlink ref="AB85" r:id="rId235" location="" tooltip="" display="Apri"/>
    <hyperlink ref="AC85" r:id="rId236" location="" tooltip="" display="Apri"/>
    <hyperlink ref="AA86" r:id="rId237" location="" tooltip="" display="0/0"/>
    <hyperlink ref="AB86" r:id="rId238" location="" tooltip="" display="Apri"/>
    <hyperlink ref="AC86" r:id="rId239" location="" tooltip="" display="Apri"/>
    <hyperlink ref="AA87" r:id="rId240" location="" tooltip="" display="0/0"/>
    <hyperlink ref="AB87" r:id="rId241" location="" tooltip="" display="Apri"/>
    <hyperlink ref="AC87" r:id="rId242" location="" tooltip="" display="Apri"/>
    <hyperlink ref="AB88" r:id="rId243" location="" tooltip="" display="Apri"/>
    <hyperlink ref="AC88" r:id="rId244" location="" tooltip="" display="Apri"/>
    <hyperlink ref="AA89" r:id="rId245" location="" tooltip="" display="0/0"/>
    <hyperlink ref="AB89" r:id="rId246" location="" tooltip="" display="Apri"/>
    <hyperlink ref="AC89" r:id="rId247" location="" tooltip="" display="Apri"/>
    <hyperlink ref="AA90" r:id="rId248" location="" tooltip="" display="0/0"/>
    <hyperlink ref="AB90" r:id="rId249" location="" tooltip="" display="Apri"/>
    <hyperlink ref="AC90" r:id="rId250" location="" tooltip="" display="Apri"/>
    <hyperlink ref="AB91" r:id="rId251" location="" tooltip="" display="Apri"/>
    <hyperlink ref="AC91" r:id="rId252" location="" tooltip="" display="Apri"/>
    <hyperlink ref="AB92" r:id="rId253" location="" tooltip="" display="Apri"/>
    <hyperlink ref="AC92" r:id="rId254" location="" tooltip="" display="Apri"/>
    <hyperlink ref="AA93" r:id="rId255" location="" tooltip="" display="0/0"/>
    <hyperlink ref="AB93" r:id="rId256" location="" tooltip="" display="Apri"/>
    <hyperlink ref="AC93" r:id="rId257" location="" tooltip="" display="Apri"/>
    <hyperlink ref="AB94" r:id="rId258" location="" tooltip="" display="Apri"/>
    <hyperlink ref="AC94" r:id="rId259" location="" tooltip="" display="Apri"/>
    <hyperlink ref="AA95" r:id="rId260" location="" tooltip="" display="0/0"/>
    <hyperlink ref="AB95" r:id="rId261" location="" tooltip="" display="Apri"/>
    <hyperlink ref="AC95" r:id="rId262" location="" tooltip="" display="Apri"/>
    <hyperlink ref="AA96" r:id="rId263" location="" tooltip="" display="0/0"/>
    <hyperlink ref="AB96" r:id="rId264" location="" tooltip="" display="Apri"/>
    <hyperlink ref="AC96" r:id="rId265" location="" tooltip="" display="Apri"/>
    <hyperlink ref="AB97" r:id="rId266" location="" tooltip="" display="Apri"/>
    <hyperlink ref="AC97" r:id="rId267" location="" tooltip="" display="Apri"/>
    <hyperlink ref="AB98" r:id="rId268" location="" tooltip="" display="Apri"/>
    <hyperlink ref="AC98" r:id="rId269" location="" tooltip="" display="Apri"/>
    <hyperlink ref="AA99" r:id="rId270" location="" tooltip="" display="0/0"/>
    <hyperlink ref="AB99" r:id="rId271" location="" tooltip="" display="Apri"/>
    <hyperlink ref="AC99" r:id="rId272" location="" tooltip="" display="Apri"/>
    <hyperlink ref="AA100" r:id="rId273" location="" tooltip="" display="0/0"/>
    <hyperlink ref="AB100" r:id="rId274" location="" tooltip="" display="Apri"/>
    <hyperlink ref="AC100" r:id="rId275" location="" tooltip="" display="Apri"/>
    <hyperlink ref="AB101" r:id="rId276" location="" tooltip="" display="Apri"/>
    <hyperlink ref="AC101" r:id="rId277" location="" tooltip="" display="Apri"/>
    <hyperlink ref="AB102" r:id="rId278" location="" tooltip="" display="Apri"/>
    <hyperlink ref="AC102" r:id="rId279" location="" tooltip="" display="Apri"/>
    <hyperlink ref="AA103" r:id="rId280" location="" tooltip="" display="0/0"/>
    <hyperlink ref="AB103" r:id="rId281" location="" tooltip="" display="Apri"/>
    <hyperlink ref="AC103" r:id="rId282" location="" tooltip="" display="Apri"/>
    <hyperlink ref="AB104" r:id="rId283" location="" tooltip="" display="Apri"/>
    <hyperlink ref="AC104" r:id="rId284" location="" tooltip="" display="Apri"/>
    <hyperlink ref="AA105" r:id="rId285" location="" tooltip="" display="0/0"/>
    <hyperlink ref="AB105" r:id="rId286" location="" tooltip="" display="Apri"/>
    <hyperlink ref="AC105" r:id="rId287" location="" tooltip="" display="Apri"/>
    <hyperlink ref="AA106" r:id="rId288" location="" tooltip="" display="0/0"/>
    <hyperlink ref="AB106" r:id="rId289" location="" tooltip="" display="Apri"/>
    <hyperlink ref="AC106" r:id="rId290" location="" tooltip="" display="Apri"/>
    <hyperlink ref="AB107" r:id="rId291" location="" tooltip="" display="Apri"/>
    <hyperlink ref="AC107" r:id="rId292" location="" tooltip="" display="Apri"/>
    <hyperlink ref="AA108" r:id="rId293" location="" tooltip="" display="0/0"/>
    <hyperlink ref="AB108" r:id="rId294" location="" tooltip="" display="Apri"/>
    <hyperlink ref="AC108" r:id="rId295" location="" tooltip="" display="Apri"/>
    <hyperlink ref="AA109" r:id="rId296" location="" tooltip="" display="0/0"/>
    <hyperlink ref="AB109" r:id="rId297" location="" tooltip="" display="Apri"/>
    <hyperlink ref="AC109" r:id="rId298" location="" tooltip="" display="Apri"/>
    <hyperlink ref="AA110" r:id="rId299" location="" tooltip="" display="2/2"/>
    <hyperlink ref="AB110" r:id="rId300" location="" tooltip="" display="Apri"/>
    <hyperlink ref="AC110" r:id="rId301" location="" tooltip="" display="Apri"/>
    <hyperlink ref="AA111" r:id="rId302" location="" tooltip="" display="0/0"/>
    <hyperlink ref="AB111" r:id="rId303" location="" tooltip="" display="Apri"/>
    <hyperlink ref="AC111" r:id="rId304" location="" tooltip="" display="Apri"/>
    <hyperlink ref="AB112" r:id="rId305" location="" tooltip="" display="Apri"/>
    <hyperlink ref="AC112" r:id="rId306" location="" tooltip="" display="Apri"/>
    <hyperlink ref="AA113" r:id="rId307" location="" tooltip="" display="0/0"/>
    <hyperlink ref="AB113" r:id="rId308" location="" tooltip="" display="Apri"/>
    <hyperlink ref="AC113" r:id="rId309" location="" tooltip="" display="Apri"/>
    <hyperlink ref="AA114" r:id="rId310" location="" tooltip="" display="0/0"/>
    <hyperlink ref="AB114" r:id="rId311" location="" tooltip="" display="Apri"/>
    <hyperlink ref="AC114" r:id="rId312" location="" tooltip="" display="Apri"/>
    <hyperlink ref="AA115" r:id="rId313" location="" tooltip="" display="0/0"/>
    <hyperlink ref="AB115" r:id="rId314" location="" tooltip="" display="Apri"/>
    <hyperlink ref="AC115" r:id="rId315" location="" tooltip="" display="Apri"/>
    <hyperlink ref="AA116" r:id="rId316" location="" tooltip="" display="0/0"/>
    <hyperlink ref="AB116" r:id="rId317" location="" tooltip="" display="Apri"/>
    <hyperlink ref="AC116" r:id="rId318" location="" tooltip="" display="Apri"/>
    <hyperlink ref="AB117" r:id="rId319" location="" tooltip="" display="Apri"/>
    <hyperlink ref="AC117" r:id="rId320" location="" tooltip="" display="Apri"/>
    <hyperlink ref="AB118" r:id="rId321" location="" tooltip="" display="Apri"/>
    <hyperlink ref="AC118" r:id="rId322" location="" tooltip="" display="Apri"/>
    <hyperlink ref="AA119" r:id="rId323" location="" tooltip="" display="0/0"/>
    <hyperlink ref="AB119" r:id="rId324" location="" tooltip="" display="Apri"/>
    <hyperlink ref="AC119" r:id="rId325" location="" tooltip="" display="Apri"/>
    <hyperlink ref="AA120" r:id="rId326" location="" tooltip="" display="0/0"/>
    <hyperlink ref="AB120" r:id="rId327" location="" tooltip="" display="Apri"/>
    <hyperlink ref="AC120" r:id="rId328" location="" tooltip="" display="Apri"/>
    <hyperlink ref="AA121" r:id="rId329" location="" tooltip="" display="0/0"/>
    <hyperlink ref="AB121" r:id="rId330" location="" tooltip="" display="Apri"/>
    <hyperlink ref="AC121" r:id="rId331" location="" tooltip="" display="Apri"/>
    <hyperlink ref="AB122" r:id="rId332" location="" tooltip="" display="Apri"/>
    <hyperlink ref="AC122" r:id="rId333" location="" tooltip="" display="Apri"/>
    <hyperlink ref="AA123" r:id="rId334" location="" tooltip="" display="0/0"/>
    <hyperlink ref="AB123" r:id="rId335" location="" tooltip="" display="Apri"/>
    <hyperlink ref="AC123" r:id="rId336" location="" tooltip="" display="Apri"/>
    <hyperlink ref="AB124" r:id="rId337" location="" tooltip="" display="Apri"/>
    <hyperlink ref="AC124" r:id="rId338" location="" tooltip="" display="Apri"/>
    <hyperlink ref="AB125" r:id="rId339" location="" tooltip="" display="Apri"/>
    <hyperlink ref="AC125" r:id="rId340" location="" tooltip="" display="Apri"/>
    <hyperlink ref="AA126" r:id="rId341" location="" tooltip="" display="0/0"/>
    <hyperlink ref="AB126" r:id="rId342" location="" tooltip="" display="Apri"/>
    <hyperlink ref="AC126" r:id="rId343" location="" tooltip="" display="Apri"/>
    <hyperlink ref="AA127" r:id="rId344" location="" tooltip="" display="0/0"/>
    <hyperlink ref="AB127" r:id="rId345" location="" tooltip="" display="Apri"/>
    <hyperlink ref="AC127" r:id="rId346" location="" tooltip="" display="Apri"/>
    <hyperlink ref="AB128" r:id="rId347" location="" tooltip="" display="Apri"/>
    <hyperlink ref="AC128" r:id="rId348" location="" tooltip="" display="Apri"/>
    <hyperlink ref="AB129" r:id="rId349" location="" tooltip="" display="Apri"/>
    <hyperlink ref="AC129" r:id="rId350" location="" tooltip="" display="Apri"/>
    <hyperlink ref="AA130" r:id="rId351" location="" tooltip="" display="0/0"/>
    <hyperlink ref="AB130" r:id="rId352" location="" tooltip="" display="Apri"/>
    <hyperlink ref="AC130" r:id="rId353" location="" tooltip="" display="Apri"/>
    <hyperlink ref="AA131" r:id="rId354" location="" tooltip="" display="0/0"/>
    <hyperlink ref="AB131" r:id="rId355" location="" tooltip="" display="Apri"/>
    <hyperlink ref="AC131" r:id="rId356" location="" tooltip="" display="Apri"/>
    <hyperlink ref="AA132" r:id="rId357" location="" tooltip="" display="0/0"/>
    <hyperlink ref="AB132" r:id="rId358" location="" tooltip="" display="Apri"/>
    <hyperlink ref="AC132" r:id="rId359" location="" tooltip="" display="Apri"/>
    <hyperlink ref="AA133" r:id="rId360" location="" tooltip="" display="0/0"/>
    <hyperlink ref="AB133" r:id="rId361" location="" tooltip="" display="Apri"/>
    <hyperlink ref="AC133" r:id="rId362" location="" tooltip="" display="Apri"/>
    <hyperlink ref="AA134" r:id="rId363" location="" tooltip="" display="0/0"/>
    <hyperlink ref="AB134" r:id="rId364" location="" tooltip="" display="Apri"/>
    <hyperlink ref="AC134" r:id="rId365" location="" tooltip="" display="Apri"/>
    <hyperlink ref="AA135" r:id="rId366" location="" tooltip="" display="0/0"/>
    <hyperlink ref="AB135" r:id="rId367" location="" tooltip="" display="Apri"/>
    <hyperlink ref="AC135" r:id="rId368" location="" tooltip="" display="Apri"/>
    <hyperlink ref="AA136" r:id="rId369" location="" tooltip="" display="0/0"/>
    <hyperlink ref="AB136" r:id="rId370" location="" tooltip="" display="Apri"/>
    <hyperlink ref="AC136" r:id="rId371" location="" tooltip="" display="Apri"/>
    <hyperlink ref="AA137" r:id="rId372" location="" tooltip="" display="0/0"/>
    <hyperlink ref="AB137" r:id="rId373" location="" tooltip="" display="Apri"/>
    <hyperlink ref="AC137" r:id="rId374" location="" tooltip="" display="Apri"/>
    <hyperlink ref="AB138" r:id="rId375" location="" tooltip="" display="Apri"/>
    <hyperlink ref="AC138" r:id="rId376" location="" tooltip="" display="Apri"/>
    <hyperlink ref="AA139" r:id="rId377" location="" tooltip="" display="0/0"/>
    <hyperlink ref="AB139" r:id="rId378" location="" tooltip="" display="Apri"/>
    <hyperlink ref="AC139" r:id="rId379" location="" tooltip="" display="Apri"/>
    <hyperlink ref="AA140" r:id="rId380" location="" tooltip="" display="0/0"/>
    <hyperlink ref="AB140" r:id="rId381" location="" tooltip="" display="Apri"/>
    <hyperlink ref="AC140" r:id="rId382" location="" tooltip="" display="Apri"/>
    <hyperlink ref="AA141" r:id="rId383" location="" tooltip="" display="0/0"/>
    <hyperlink ref="AB141" r:id="rId384" location="" tooltip="" display="Apri"/>
    <hyperlink ref="AC141" r:id="rId385" location="" tooltip="" display="Apri"/>
    <hyperlink ref="AA142" r:id="rId386" location="" tooltip="" display="0/0"/>
    <hyperlink ref="AB142" r:id="rId387" location="" tooltip="" display="Apri"/>
    <hyperlink ref="AC142" r:id="rId388" location="" tooltip="" display="Apri"/>
    <hyperlink ref="AB143" r:id="rId389" location="" tooltip="" display="Apri"/>
    <hyperlink ref="AC143" r:id="rId390" location="" tooltip="" display="Apri"/>
    <hyperlink ref="AB144" r:id="rId391" location="" tooltip="" display="Apri"/>
    <hyperlink ref="AC144" r:id="rId392" location="" tooltip="" display="Apri"/>
    <hyperlink ref="AA145" r:id="rId393" location="" tooltip="" display="0/0"/>
    <hyperlink ref="AB145" r:id="rId394" location="" tooltip="" display="Apri"/>
    <hyperlink ref="AC145" r:id="rId395" location="" tooltip="" display="Apri"/>
    <hyperlink ref="AA146" r:id="rId396" location="" tooltip="" display="0/0"/>
    <hyperlink ref="AB147" r:id="rId397" location="" tooltip="" display="Apri"/>
    <hyperlink ref="AC147" r:id="rId398" location="" tooltip="" display="Apri"/>
    <hyperlink ref="AB148" r:id="rId399" location="" tooltip="" display="Apri"/>
    <hyperlink ref="AC148" r:id="rId400" location="" tooltip="" display="Apri"/>
    <hyperlink ref="AA149" r:id="rId401" location="" tooltip="" display="0/0"/>
    <hyperlink ref="AB149" r:id="rId402" location="" tooltip="" display="Apri"/>
    <hyperlink ref="AC149" r:id="rId403" location="" tooltip="" display="Apri"/>
    <hyperlink ref="AA150" r:id="rId404" location="" tooltip="" display="0/0"/>
    <hyperlink ref="AB150" r:id="rId405" location="" tooltip="" display="Apri"/>
    <hyperlink ref="AC150" r:id="rId406" location="" tooltip="" display="Apri"/>
    <hyperlink ref="AA151" r:id="rId407" location="" tooltip="" display="0/0"/>
    <hyperlink ref="AB151" r:id="rId408" location="" tooltip="" display="Apri"/>
    <hyperlink ref="AC151" r:id="rId409" location="" tooltip="" display="Apri"/>
    <hyperlink ref="AA152" r:id="rId410" location="" tooltip="" display="0/0"/>
    <hyperlink ref="AB152" r:id="rId411" location="" tooltip="" display="Apri"/>
    <hyperlink ref="AC152" r:id="rId412" location="" tooltip="" display="Apri"/>
    <hyperlink ref="AA153" r:id="rId413" location="" tooltip="" display="0/0"/>
    <hyperlink ref="AB153" r:id="rId414" location="" tooltip="" display="Apri"/>
    <hyperlink ref="AC153" r:id="rId415" location="" tooltip="" display="Apri"/>
    <hyperlink ref="AA154" r:id="rId416" location="" tooltip="" display="0/0"/>
    <hyperlink ref="AB155" r:id="rId417" location="" tooltip="" display="Apri"/>
    <hyperlink ref="AC155" r:id="rId418" location="" tooltip="" display="Apri"/>
    <hyperlink ref="AB156" r:id="rId419" location="" tooltip="" display="Apri"/>
    <hyperlink ref="AC156" r:id="rId420" location="" tooltip="" display="Apri"/>
    <hyperlink ref="AA157" r:id="rId421" location="" tooltip="" display="0/0"/>
    <hyperlink ref="AB157" r:id="rId422" location="" tooltip="" display="Apri"/>
    <hyperlink ref="AC157" r:id="rId423" location="" tooltip="" display="Apri"/>
    <hyperlink ref="AA158" r:id="rId424" location="" tooltip="" display="0/0"/>
    <hyperlink ref="AB158" r:id="rId425" location="" tooltip="" display="Apri"/>
    <hyperlink ref="AC158" r:id="rId426" location="" tooltip="" display="Apri"/>
    <hyperlink ref="AA159" r:id="rId427" location="" tooltip="" display="0/0"/>
    <hyperlink ref="AB159" r:id="rId428" location="" tooltip="" display="Apri"/>
    <hyperlink ref="AC159" r:id="rId429" location="" tooltip="" display="Apri"/>
    <hyperlink ref="AB160" r:id="rId430" location="" tooltip="" display="Apri"/>
    <hyperlink ref="AC160" r:id="rId431" location="" tooltip="" display="Apri"/>
    <hyperlink ref="AB161" r:id="rId432" location="" tooltip="" display="Apri"/>
    <hyperlink ref="AC161" r:id="rId433" location="" tooltip="" display="Apri"/>
    <hyperlink ref="AA162" r:id="rId434" location="" tooltip="" display="0/0"/>
    <hyperlink ref="AA163" r:id="rId435" location="" tooltip="" display="0/0"/>
    <hyperlink ref="AB163" r:id="rId436" location="" tooltip="" display="Apri"/>
    <hyperlink ref="AC163" r:id="rId437" location="" tooltip="" display="Apri"/>
    <hyperlink ref="AA164" r:id="rId438" location="" tooltip="" display="0/0"/>
    <hyperlink ref="AB164" r:id="rId439" location="" tooltip="" display="Apri"/>
    <hyperlink ref="AC164" r:id="rId440" location="" tooltip="" display="Apri"/>
    <hyperlink ref="AA165" r:id="rId441" location="" tooltip="" display="0/0"/>
    <hyperlink ref="AB165" r:id="rId442" location="" tooltip="" display="Apri"/>
    <hyperlink ref="AC165" r:id="rId443" location="" tooltip="" display="Apri"/>
    <hyperlink ref="AB166" r:id="rId444" location="" tooltip="" display="Apri"/>
    <hyperlink ref="AC166" r:id="rId445" location="" tooltip="" display="Apri"/>
    <hyperlink ref="AB167" r:id="rId446" location="" tooltip="" display="Apri"/>
    <hyperlink ref="AC167" r:id="rId447" location="" tooltip="" display="Apri"/>
    <hyperlink ref="AB168" r:id="rId448" location="" tooltip="" display="Apri"/>
    <hyperlink ref="AC168" r:id="rId449" location="" tooltip="" display="Apri"/>
    <hyperlink ref="AA169" r:id="rId450" location="" tooltip="" display="0/0"/>
    <hyperlink ref="AB169" r:id="rId451" location="" tooltip="" display="Apri"/>
    <hyperlink ref="AC169" r:id="rId452" location="" tooltip="" display="Apri"/>
    <hyperlink ref="AB170" r:id="rId453" location="" tooltip="" display="Apri"/>
    <hyperlink ref="AC170" r:id="rId454" location="" tooltip="" display="Apri"/>
    <hyperlink ref="AB171" r:id="rId455" location="" tooltip="" display="Apri"/>
    <hyperlink ref="AC171" r:id="rId456" location="" tooltip="" display="Apri"/>
    <hyperlink ref="AB172" r:id="rId457" location="" tooltip="" display="Apri"/>
    <hyperlink ref="AC172" r:id="rId458" location="" tooltip="" display="Apri"/>
    <hyperlink ref="AA173" r:id="rId459" location="" tooltip="" display="0/0"/>
    <hyperlink ref="AB173" r:id="rId460" location="" tooltip="" display="Apri"/>
    <hyperlink ref="AC173" r:id="rId461" location="" tooltip="" display="Apri"/>
    <hyperlink ref="AB174" r:id="rId462" location="" tooltip="" display="Apri"/>
    <hyperlink ref="AC174" r:id="rId463" location="" tooltip="" display="Apri"/>
    <hyperlink ref="AB175" r:id="rId464" location="" tooltip="" display="Apri"/>
    <hyperlink ref="AC175" r:id="rId465" location="" tooltip="" display="Apri"/>
    <hyperlink ref="AA176" r:id="rId466" location="" tooltip="" display="0/0"/>
    <hyperlink ref="AB176" r:id="rId467" location="" tooltip="" display="Apri"/>
    <hyperlink ref="AC176" r:id="rId468" location="" tooltip="" display="Apri"/>
    <hyperlink ref="AB177" r:id="rId469" location="" tooltip="" display="Apri"/>
    <hyperlink ref="AC177" r:id="rId470" location="" tooltip="" display="Apri"/>
    <hyperlink ref="AA179" r:id="rId471" location="" tooltip="" display="0/0"/>
    <hyperlink ref="AB179" r:id="rId472" location="" tooltip="" display="Apri"/>
    <hyperlink ref="AC179" r:id="rId473" location="" tooltip="" display="Apri"/>
    <hyperlink ref="AA180" r:id="rId474" location="" tooltip="" display="0/0"/>
    <hyperlink ref="AB180" r:id="rId475" location="" tooltip="" display="Apri"/>
    <hyperlink ref="AC180" r:id="rId476" location="" tooltip="" display="Apri"/>
    <hyperlink ref="AB181" r:id="rId477" location="" tooltip="" display="Apri"/>
    <hyperlink ref="AC181" r:id="rId478" location="" tooltip="" display="Apri"/>
    <hyperlink ref="AA182" r:id="rId479" location="" tooltip="" display="2/3"/>
    <hyperlink ref="AA183" r:id="rId480" location="" tooltip="" display="0/0"/>
    <hyperlink ref="AB183" r:id="rId481" location="" tooltip="" display="Apri"/>
    <hyperlink ref="AC183" r:id="rId482" location="" tooltip="" display="Apri"/>
    <hyperlink ref="AA184" r:id="rId483" location="" tooltip="" display="0/0"/>
    <hyperlink ref="AB184" r:id="rId484" location="" tooltip="" display="Apri"/>
    <hyperlink ref="AC184" r:id="rId485" location="" tooltip="" display="Apri"/>
    <hyperlink ref="AA185" r:id="rId486" location="" tooltip="" display="0/1"/>
    <hyperlink ref="AB186" r:id="rId487" location="" tooltip="" display="Apri"/>
    <hyperlink ref="AC186" r:id="rId488" location="" tooltip="" display="Apri"/>
    <hyperlink ref="AB190" r:id="rId489" location="" tooltip="" display="Apri"/>
    <hyperlink ref="AC190" r:id="rId490" location="" tooltip="" display="Apri"/>
    <hyperlink ref="AA191" r:id="rId491" location="" tooltip="" display="0/0"/>
    <hyperlink ref="AA192" r:id="rId492" location="" tooltip="" display="0/0"/>
    <hyperlink ref="AB192" r:id="rId493" location="" tooltip="" display="Apri"/>
    <hyperlink ref="AC192" r:id="rId494" location="" tooltip="" display="Apri"/>
    <hyperlink ref="AA193" r:id="rId495" location="" tooltip="" display="0/0"/>
    <hyperlink ref="AB196" r:id="rId496" location="" tooltip="" display="Apri"/>
    <hyperlink ref="AC196" r:id="rId497" location="" tooltip="" display="Apri"/>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drawing r:id="rId498"/>
  <legacyDrawing r:id="rId499"/>
</worksheet>
</file>

<file path=xl/worksheets/sheet8.xml><?xml version="1.0" encoding="utf-8"?>
<worksheet xmlns:r="http://schemas.openxmlformats.org/officeDocument/2006/relationships" xmlns="http://schemas.openxmlformats.org/spreadsheetml/2006/main">
  <dimension ref="A1:AE125"/>
  <sheetViews>
    <sheetView workbookViewId="0" showGridLines="0" defaultGridColor="1"/>
  </sheetViews>
  <sheetFormatPr defaultColWidth="8.66667" defaultRowHeight="15" customHeight="1" outlineLevelRow="0" outlineLevelCol="0"/>
  <cols>
    <col min="1" max="1" width="16" style="111" customWidth="1"/>
    <col min="2" max="2" width="11" style="111" customWidth="1"/>
    <col min="3" max="3" width="3.17188" style="111" customWidth="1"/>
    <col min="4" max="4" width="12" style="111" customWidth="1"/>
    <col min="5" max="5" width="22" style="111" customWidth="1"/>
    <col min="6" max="6" width="17" style="111" customWidth="1"/>
    <col min="7" max="7" width="13" style="111" customWidth="1"/>
    <col min="8" max="8" width="36" style="111" customWidth="1"/>
    <col min="9" max="9" width="54" style="111" customWidth="1"/>
    <col min="10" max="10" width="7" style="111" customWidth="1"/>
    <col min="11" max="11" width="23" style="111" customWidth="1"/>
    <col min="12" max="12" width="9" style="111" customWidth="1"/>
    <col min="13" max="14" width="10" style="111" customWidth="1"/>
    <col min="15" max="15" width="34" style="111" customWidth="1"/>
    <col min="16" max="19" width="9" style="111" customWidth="1"/>
    <col min="20" max="20" width="10" style="111" customWidth="1"/>
    <col min="21" max="21" width="12" style="111" customWidth="1"/>
    <col min="22" max="25" width="9" style="111" customWidth="1"/>
    <col min="26" max="26" width="10" style="111" customWidth="1"/>
    <col min="27" max="27" width="12" style="111" customWidth="1"/>
    <col min="28" max="28" width="16" style="111" customWidth="1"/>
    <col min="29" max="30" width="17" style="111" customWidth="1"/>
    <col min="31" max="31" width="8.67188" style="111" customWidth="1"/>
    <col min="32" max="16384" width="8.67188" style="111" customWidth="1"/>
  </cols>
  <sheetData>
    <row r="1" ht="33.75" customHeight="1">
      <c r="A1" t="s" s="7">
        <v>78</v>
      </c>
      <c r="B1" s="8"/>
      <c r="C1" s="8"/>
      <c r="D1" s="8"/>
      <c r="E1" s="8"/>
      <c r="F1" s="8"/>
      <c r="G1" s="8"/>
      <c r="H1" s="8"/>
      <c r="I1" s="8"/>
      <c r="J1" s="8"/>
      <c r="K1" s="8"/>
      <c r="L1" s="8"/>
      <c r="M1" s="8"/>
      <c r="N1" s="8"/>
      <c r="O1" s="8"/>
      <c r="P1" s="8"/>
      <c r="Q1" s="8"/>
      <c r="R1" s="8"/>
      <c r="S1" s="8"/>
      <c r="T1" s="8"/>
      <c r="U1" s="8"/>
      <c r="V1" s="8"/>
      <c r="W1" s="8"/>
      <c r="X1" s="8"/>
      <c r="Y1" s="8"/>
      <c r="Z1" s="8"/>
      <c r="AA1" s="8"/>
      <c r="AB1" s="8"/>
      <c r="AC1" s="8"/>
      <c r="AD1" s="8"/>
      <c r="AE1" s="59"/>
    </row>
    <row r="2" ht="24.75" customHeight="1">
      <c r="A2" t="s" s="10">
        <v>1200</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60"/>
    </row>
    <row r="3" ht="15" customHeight="1">
      <c r="A3" s="61"/>
      <c r="B3" s="62"/>
      <c r="C3" s="63"/>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0"/>
    </row>
    <row r="4" ht="36" customHeight="1">
      <c r="A4" t="s" s="64">
        <v>87</v>
      </c>
      <c r="B4" t="s" s="65">
        <v>88</v>
      </c>
      <c r="C4" t="s" s="65">
        <v>89</v>
      </c>
      <c r="D4" t="s" s="65">
        <v>90</v>
      </c>
      <c r="E4" t="s" s="65">
        <v>91</v>
      </c>
      <c r="F4" t="s" s="65">
        <v>92</v>
      </c>
      <c r="G4" t="s" s="65">
        <v>93</v>
      </c>
      <c r="H4" t="s" s="65">
        <v>14</v>
      </c>
      <c r="I4" t="s" s="65">
        <v>94</v>
      </c>
      <c r="J4" t="s" s="65">
        <v>95</v>
      </c>
      <c r="K4" t="s" s="65">
        <v>96</v>
      </c>
      <c r="L4" t="s" s="65">
        <v>97</v>
      </c>
      <c r="M4" t="s" s="65">
        <v>98</v>
      </c>
      <c r="N4" t="s" s="65">
        <v>99</v>
      </c>
      <c r="O4" t="s" s="65">
        <v>100</v>
      </c>
      <c r="P4" t="s" s="65">
        <v>101</v>
      </c>
      <c r="Q4" t="s" s="65">
        <v>102</v>
      </c>
      <c r="R4" t="s" s="65">
        <v>103</v>
      </c>
      <c r="S4" t="s" s="65">
        <v>104</v>
      </c>
      <c r="T4" t="s" s="65">
        <v>105</v>
      </c>
      <c r="U4" t="s" s="65">
        <v>106</v>
      </c>
      <c r="V4" t="s" s="65">
        <v>107</v>
      </c>
      <c r="W4" t="s" s="65">
        <v>108</v>
      </c>
      <c r="X4" t="s" s="65">
        <v>109</v>
      </c>
      <c r="Y4" t="s" s="65">
        <v>110</v>
      </c>
      <c r="Z4" t="s" s="65">
        <v>111</v>
      </c>
      <c r="AA4" t="s" s="65">
        <v>112</v>
      </c>
      <c r="AB4" t="s" s="65">
        <v>113</v>
      </c>
      <c r="AC4" t="s" s="65">
        <v>114</v>
      </c>
      <c r="AD4" t="s" s="66">
        <v>115</v>
      </c>
      <c r="AE4" s="67"/>
    </row>
    <row r="5" ht="15" customHeight="1">
      <c r="A5" t="s" s="68">
        <v>26</v>
      </c>
      <c r="B5" s="69">
        <v>91.5</v>
      </c>
      <c r="C5" t="b" s="70">
        <v>0</v>
      </c>
      <c r="D5" s="71"/>
      <c r="E5" t="s" s="72">
        <v>1002</v>
      </c>
      <c r="F5" t="s" s="72">
        <v>117</v>
      </c>
      <c r="G5" s="73">
        <v>98</v>
      </c>
      <c r="H5" t="s" s="72">
        <v>118</v>
      </c>
      <c r="I5" t="s" s="72">
        <v>276</v>
      </c>
      <c r="J5" s="73">
        <v>27</v>
      </c>
      <c r="K5" t="s" s="72">
        <v>416</v>
      </c>
      <c r="L5" t="s" s="72">
        <v>121</v>
      </c>
      <c r="M5" s="71"/>
      <c r="N5" s="71"/>
      <c r="O5" s="71"/>
      <c r="P5" s="73">
        <v>2</v>
      </c>
      <c r="Q5" s="74">
        <v>8.25</v>
      </c>
      <c r="R5" s="74">
        <v>15.5</v>
      </c>
      <c r="S5" s="73">
        <v>5</v>
      </c>
      <c r="T5" s="73">
        <v>0</v>
      </c>
      <c r="U5" t="s" s="72">
        <v>122</v>
      </c>
      <c r="V5" s="73">
        <v>18</v>
      </c>
      <c r="W5" s="74">
        <v>6.78</v>
      </c>
      <c r="X5" s="74">
        <v>9.029999999999999</v>
      </c>
      <c r="Y5" s="73">
        <v>14</v>
      </c>
      <c r="Z5" s="73">
        <v>2</v>
      </c>
      <c r="AA5" t="s" s="72">
        <v>1003</v>
      </c>
      <c r="AB5" t="s" s="72">
        <v>124</v>
      </c>
      <c r="AC5" t="s" s="72">
        <v>124</v>
      </c>
      <c r="AD5" t="s" s="75">
        <v>125</v>
      </c>
      <c r="AE5" s="67"/>
    </row>
    <row r="6" ht="15" customHeight="1">
      <c r="A6" t="s" s="68">
        <v>26</v>
      </c>
      <c r="B6" s="76">
        <v>91.09999999999999</v>
      </c>
      <c r="C6" t="b" s="77">
        <v>0</v>
      </c>
      <c r="D6" s="78"/>
      <c r="E6" t="s" s="79">
        <v>1004</v>
      </c>
      <c r="F6" t="s" s="79">
        <v>134</v>
      </c>
      <c r="G6" s="80">
        <v>83</v>
      </c>
      <c r="H6" t="s" s="79">
        <v>118</v>
      </c>
      <c r="I6" t="s" s="79">
        <v>287</v>
      </c>
      <c r="J6" s="80">
        <v>29</v>
      </c>
      <c r="K6" t="s" s="79">
        <v>316</v>
      </c>
      <c r="L6" t="s" s="79">
        <v>121</v>
      </c>
      <c r="M6" s="78"/>
      <c r="N6" s="78"/>
      <c r="O6" s="78"/>
      <c r="P6" s="80">
        <v>2</v>
      </c>
      <c r="Q6" s="81">
        <v>5.75</v>
      </c>
      <c r="R6" s="81">
        <v>5.5</v>
      </c>
      <c r="S6" s="80">
        <v>0</v>
      </c>
      <c r="T6" s="80">
        <v>0</v>
      </c>
      <c r="U6" t="s" s="79">
        <v>122</v>
      </c>
      <c r="V6" s="80">
        <v>30</v>
      </c>
      <c r="W6" s="81">
        <v>6.42</v>
      </c>
      <c r="X6" s="81">
        <v>8.25</v>
      </c>
      <c r="Y6" s="80">
        <v>17</v>
      </c>
      <c r="Z6" s="80">
        <v>6</v>
      </c>
      <c r="AA6" t="s" s="79">
        <v>123</v>
      </c>
      <c r="AB6" t="s" s="79">
        <v>124</v>
      </c>
      <c r="AC6" t="s" s="79">
        <v>124</v>
      </c>
      <c r="AD6" t="s" s="82">
        <v>125</v>
      </c>
      <c r="AE6" s="67"/>
    </row>
    <row r="7" ht="15" customHeight="1">
      <c r="A7" t="s" s="68">
        <v>26</v>
      </c>
      <c r="B7" s="69">
        <v>89.8</v>
      </c>
      <c r="C7" t="b" s="70">
        <v>0</v>
      </c>
      <c r="D7" s="71"/>
      <c r="E7" t="s" s="72">
        <v>1005</v>
      </c>
      <c r="F7" t="s" s="72">
        <v>153</v>
      </c>
      <c r="G7" s="73">
        <v>77</v>
      </c>
      <c r="H7" t="s" s="72">
        <v>118</v>
      </c>
      <c r="I7" t="s" s="72">
        <v>287</v>
      </c>
      <c r="J7" s="73">
        <v>23</v>
      </c>
      <c r="K7" t="s" s="72">
        <v>206</v>
      </c>
      <c r="L7" t="s" s="72">
        <v>154</v>
      </c>
      <c r="M7" s="71"/>
      <c r="N7" s="71"/>
      <c r="O7" s="71"/>
      <c r="P7" s="73">
        <v>2</v>
      </c>
      <c r="Q7" s="74">
        <v>6.25</v>
      </c>
      <c r="R7" s="74">
        <v>7.75</v>
      </c>
      <c r="S7" s="73">
        <v>1</v>
      </c>
      <c r="T7" s="73">
        <v>0</v>
      </c>
      <c r="U7" t="s" s="72">
        <v>122</v>
      </c>
      <c r="V7" s="73">
        <v>33</v>
      </c>
      <c r="W7" s="74">
        <v>6.21</v>
      </c>
      <c r="X7" s="74">
        <v>7.44</v>
      </c>
      <c r="Y7" s="73">
        <v>12</v>
      </c>
      <c r="Z7" s="73">
        <v>5</v>
      </c>
      <c r="AA7" t="s" s="72">
        <v>291</v>
      </c>
      <c r="AB7" t="s" s="72">
        <v>124</v>
      </c>
      <c r="AC7" t="s" s="72">
        <v>124</v>
      </c>
      <c r="AD7" t="s" s="75">
        <v>125</v>
      </c>
      <c r="AE7" s="67"/>
    </row>
    <row r="8" ht="15" customHeight="1">
      <c r="A8" t="s" s="68">
        <v>26</v>
      </c>
      <c r="B8" s="76">
        <v>87.5</v>
      </c>
      <c r="C8" t="b" s="77">
        <v>0</v>
      </c>
      <c r="D8" s="78"/>
      <c r="E8" t="s" s="79">
        <v>1006</v>
      </c>
      <c r="F8" t="s" s="79">
        <v>134</v>
      </c>
      <c r="G8" s="80">
        <v>71</v>
      </c>
      <c r="H8" t="s" s="79">
        <v>164</v>
      </c>
      <c r="I8" t="s" s="79">
        <v>1007</v>
      </c>
      <c r="J8" s="80">
        <v>29</v>
      </c>
      <c r="K8" t="s" s="79">
        <v>1008</v>
      </c>
      <c r="L8" t="s" s="79">
        <v>121</v>
      </c>
      <c r="M8" s="78"/>
      <c r="N8" s="78"/>
      <c r="O8" s="78"/>
      <c r="P8" s="80">
        <v>1</v>
      </c>
      <c r="Q8" s="81">
        <v>6</v>
      </c>
      <c r="R8" s="81">
        <v>6</v>
      </c>
      <c r="S8" s="80">
        <v>0</v>
      </c>
      <c r="T8" s="80">
        <v>0</v>
      </c>
      <c r="U8" t="s" s="79">
        <v>122</v>
      </c>
      <c r="V8" s="80">
        <v>29</v>
      </c>
      <c r="W8" s="81">
        <v>6.4</v>
      </c>
      <c r="X8" s="81">
        <v>7.91</v>
      </c>
      <c r="Y8" s="80">
        <v>13</v>
      </c>
      <c r="Z8" s="80">
        <v>6</v>
      </c>
      <c r="AA8" t="s" s="79">
        <v>123</v>
      </c>
      <c r="AB8" t="s" s="79">
        <v>124</v>
      </c>
      <c r="AC8" t="s" s="79">
        <v>124</v>
      </c>
      <c r="AD8" t="s" s="82">
        <v>125</v>
      </c>
      <c r="AE8" s="67"/>
    </row>
    <row r="9" ht="15" customHeight="1">
      <c r="A9" t="s" s="68">
        <v>26</v>
      </c>
      <c r="B9" s="69">
        <v>87</v>
      </c>
      <c r="C9" t="b" s="70">
        <v>0</v>
      </c>
      <c r="D9" t="s" s="84">
        <v>161</v>
      </c>
      <c r="E9" t="s" s="72">
        <v>1009</v>
      </c>
      <c r="F9" t="s" s="72">
        <v>130</v>
      </c>
      <c r="G9" s="73">
        <v>79</v>
      </c>
      <c r="H9" t="s" s="72">
        <v>118</v>
      </c>
      <c r="I9" t="s" s="72">
        <v>1010</v>
      </c>
      <c r="J9" s="73">
        <v>25</v>
      </c>
      <c r="K9" t="s" s="72">
        <v>325</v>
      </c>
      <c r="L9" t="s" s="72">
        <v>121</v>
      </c>
      <c r="M9" s="71"/>
      <c r="N9" s="71"/>
      <c r="O9" s="71"/>
      <c r="P9" s="73">
        <v>2</v>
      </c>
      <c r="Q9" s="74">
        <v>6.5</v>
      </c>
      <c r="R9" s="74">
        <v>8</v>
      </c>
      <c r="S9" s="73">
        <v>1</v>
      </c>
      <c r="T9" s="73">
        <v>0</v>
      </c>
      <c r="U9" t="s" s="72">
        <v>122</v>
      </c>
      <c r="V9" s="71"/>
      <c r="W9" s="71"/>
      <c r="X9" s="71"/>
      <c r="Y9" s="71"/>
      <c r="Z9" s="71"/>
      <c r="AA9" s="71"/>
      <c r="AB9" t="s" s="72">
        <v>124</v>
      </c>
      <c r="AC9" t="s" s="72">
        <v>124</v>
      </c>
      <c r="AD9" t="s" s="75">
        <v>125</v>
      </c>
      <c r="AE9" s="67"/>
    </row>
    <row r="10" ht="15" customHeight="1">
      <c r="A10" t="s" s="68">
        <v>26</v>
      </c>
      <c r="B10" s="76">
        <v>86.59999999999999</v>
      </c>
      <c r="C10" t="b" s="77">
        <v>0</v>
      </c>
      <c r="D10" t="s" s="85">
        <v>161</v>
      </c>
      <c r="E10" t="s" s="79">
        <v>1011</v>
      </c>
      <c r="F10" t="s" s="79">
        <v>159</v>
      </c>
      <c r="G10" s="80">
        <v>59</v>
      </c>
      <c r="H10" t="s" s="79">
        <v>164</v>
      </c>
      <c r="I10" t="s" s="79">
        <v>1012</v>
      </c>
      <c r="J10" s="80">
        <v>28</v>
      </c>
      <c r="K10" t="s" s="79">
        <v>304</v>
      </c>
      <c r="L10" t="s" s="79">
        <v>121</v>
      </c>
      <c r="M10" s="78"/>
      <c r="N10" s="78"/>
      <c r="O10" s="78"/>
      <c r="P10" s="80">
        <v>1</v>
      </c>
      <c r="Q10" s="81">
        <v>6.5</v>
      </c>
      <c r="R10" s="81">
        <v>6.5</v>
      </c>
      <c r="S10" s="80">
        <v>0</v>
      </c>
      <c r="T10" s="80">
        <v>0</v>
      </c>
      <c r="U10" t="s" s="79">
        <v>122</v>
      </c>
      <c r="V10" s="80">
        <v>30</v>
      </c>
      <c r="W10" s="81">
        <v>6.23</v>
      </c>
      <c r="X10" s="81">
        <v>7.28</v>
      </c>
      <c r="Y10" s="80">
        <v>10</v>
      </c>
      <c r="Z10" s="80">
        <v>4</v>
      </c>
      <c r="AA10" t="s" s="79">
        <v>687</v>
      </c>
      <c r="AB10" t="s" s="79">
        <v>124</v>
      </c>
      <c r="AC10" t="s" s="79">
        <v>124</v>
      </c>
      <c r="AD10" t="s" s="82">
        <v>125</v>
      </c>
      <c r="AE10" s="67"/>
    </row>
    <row r="11" ht="15" customHeight="1">
      <c r="A11" t="s" s="68">
        <v>26</v>
      </c>
      <c r="B11" s="69">
        <v>86</v>
      </c>
      <c r="C11" t="b" s="70">
        <v>0</v>
      </c>
      <c r="D11" s="71"/>
      <c r="E11" t="s" s="72">
        <v>1013</v>
      </c>
      <c r="F11" t="s" s="72">
        <v>141</v>
      </c>
      <c r="G11" s="73">
        <v>62</v>
      </c>
      <c r="H11" t="s" s="72">
        <v>118</v>
      </c>
      <c r="I11" t="s" s="72">
        <v>135</v>
      </c>
      <c r="J11" s="73">
        <v>26</v>
      </c>
      <c r="K11" t="s" s="72">
        <v>597</v>
      </c>
      <c r="L11" t="s" s="72">
        <v>121</v>
      </c>
      <c r="M11" s="71"/>
      <c r="N11" s="71"/>
      <c r="O11" s="71"/>
      <c r="P11" s="73">
        <v>2</v>
      </c>
      <c r="Q11" s="74">
        <v>6.25</v>
      </c>
      <c r="R11" s="74">
        <v>6.75</v>
      </c>
      <c r="S11" s="73">
        <v>0</v>
      </c>
      <c r="T11" s="73">
        <v>1</v>
      </c>
      <c r="U11" t="s" s="72">
        <v>122</v>
      </c>
      <c r="V11" s="73">
        <v>26</v>
      </c>
      <c r="W11" s="74">
        <v>5.87</v>
      </c>
      <c r="X11" s="74">
        <v>6.75</v>
      </c>
      <c r="Y11" s="73">
        <v>8</v>
      </c>
      <c r="Z11" s="73">
        <v>1</v>
      </c>
      <c r="AA11" t="s" s="72">
        <v>750</v>
      </c>
      <c r="AB11" t="s" s="72">
        <v>124</v>
      </c>
      <c r="AC11" t="s" s="72">
        <v>124</v>
      </c>
      <c r="AD11" t="s" s="75">
        <v>125</v>
      </c>
      <c r="AE11" s="67"/>
    </row>
    <row r="12" ht="15" customHeight="1">
      <c r="A12" t="s" s="68">
        <v>26</v>
      </c>
      <c r="B12" s="76">
        <v>85.59999999999999</v>
      </c>
      <c r="C12" t="b" s="77">
        <v>0</v>
      </c>
      <c r="D12" t="s" s="85">
        <v>161</v>
      </c>
      <c r="E12" t="s" s="79">
        <v>1014</v>
      </c>
      <c r="F12" t="s" s="79">
        <v>138</v>
      </c>
      <c r="G12" s="80">
        <v>71</v>
      </c>
      <c r="H12" t="s" s="79">
        <v>118</v>
      </c>
      <c r="I12" t="s" s="79">
        <v>1010</v>
      </c>
      <c r="J12" s="80">
        <v>27</v>
      </c>
      <c r="K12" t="s" s="79">
        <v>288</v>
      </c>
      <c r="L12" t="s" s="79">
        <v>121</v>
      </c>
      <c r="M12" s="78"/>
      <c r="N12" s="78"/>
      <c r="O12" s="78"/>
      <c r="P12" s="80">
        <v>2</v>
      </c>
      <c r="Q12" s="81">
        <v>5.5</v>
      </c>
      <c r="R12" s="81">
        <v>5.5</v>
      </c>
      <c r="S12" s="80">
        <v>0</v>
      </c>
      <c r="T12" s="80">
        <v>0</v>
      </c>
      <c r="U12" t="s" s="79">
        <v>122</v>
      </c>
      <c r="V12" s="78"/>
      <c r="W12" s="78"/>
      <c r="X12" s="78"/>
      <c r="Y12" s="78"/>
      <c r="Z12" s="78"/>
      <c r="AA12" s="78"/>
      <c r="AB12" t="s" s="79">
        <v>124</v>
      </c>
      <c r="AC12" t="s" s="79">
        <v>124</v>
      </c>
      <c r="AD12" t="s" s="82">
        <v>125</v>
      </c>
      <c r="AE12" s="67"/>
    </row>
    <row r="13" ht="15" customHeight="1">
      <c r="A13" t="s" s="68">
        <v>26</v>
      </c>
      <c r="B13" s="69">
        <v>85.2</v>
      </c>
      <c r="C13" t="b" s="70">
        <v>0</v>
      </c>
      <c r="D13" s="71"/>
      <c r="E13" t="s" s="72">
        <v>1015</v>
      </c>
      <c r="F13" t="s" s="72">
        <v>127</v>
      </c>
      <c r="G13" s="73">
        <v>58</v>
      </c>
      <c r="H13" t="s" s="72">
        <v>118</v>
      </c>
      <c r="I13" t="s" s="72">
        <v>135</v>
      </c>
      <c r="J13" s="73">
        <v>27</v>
      </c>
      <c r="K13" t="s" s="72">
        <v>128</v>
      </c>
      <c r="L13" t="s" s="72">
        <v>328</v>
      </c>
      <c r="M13" s="71"/>
      <c r="N13" s="71"/>
      <c r="O13" s="71"/>
      <c r="P13" s="73">
        <v>2</v>
      </c>
      <c r="Q13" s="74">
        <v>5.75</v>
      </c>
      <c r="R13" s="74">
        <v>5.75</v>
      </c>
      <c r="S13" s="73">
        <v>0</v>
      </c>
      <c r="T13" s="73">
        <v>0</v>
      </c>
      <c r="U13" t="s" s="72">
        <v>122</v>
      </c>
      <c r="V13" s="73">
        <v>23</v>
      </c>
      <c r="W13" s="74">
        <v>6.2</v>
      </c>
      <c r="X13" s="74">
        <v>7.5</v>
      </c>
      <c r="Y13" s="73">
        <v>10</v>
      </c>
      <c r="Z13" s="73">
        <v>1</v>
      </c>
      <c r="AA13" t="s" s="72">
        <v>750</v>
      </c>
      <c r="AB13" t="s" s="72">
        <v>124</v>
      </c>
      <c r="AC13" t="s" s="72">
        <v>124</v>
      </c>
      <c r="AD13" t="s" s="75">
        <v>125</v>
      </c>
      <c r="AE13" s="67"/>
    </row>
    <row r="14" ht="15" customHeight="1">
      <c r="A14" t="s" s="68">
        <v>26</v>
      </c>
      <c r="B14" s="76">
        <v>83.5</v>
      </c>
      <c r="C14" t="b" s="77">
        <v>0</v>
      </c>
      <c r="D14" s="78"/>
      <c r="E14" t="s" s="79">
        <v>1016</v>
      </c>
      <c r="F14" t="s" s="79">
        <v>117</v>
      </c>
      <c r="G14" s="80">
        <v>54</v>
      </c>
      <c r="H14" t="s" s="79">
        <v>1017</v>
      </c>
      <c r="I14" t="s" s="79">
        <v>1018</v>
      </c>
      <c r="J14" s="80">
        <v>32</v>
      </c>
      <c r="K14" t="s" s="79">
        <v>593</v>
      </c>
      <c r="L14" t="s" s="79">
        <v>154</v>
      </c>
      <c r="M14" s="78"/>
      <c r="N14" t="s" s="79">
        <v>655</v>
      </c>
      <c r="O14" s="78"/>
      <c r="P14" s="80">
        <v>2</v>
      </c>
      <c r="Q14" s="81">
        <v>7.5</v>
      </c>
      <c r="R14" s="81">
        <v>9</v>
      </c>
      <c r="S14" s="80">
        <v>0</v>
      </c>
      <c r="T14" s="80">
        <v>3</v>
      </c>
      <c r="U14" t="s" s="79">
        <v>122</v>
      </c>
      <c r="V14" s="80">
        <v>21</v>
      </c>
      <c r="W14" s="81">
        <v>6.21</v>
      </c>
      <c r="X14" s="81">
        <v>6.69</v>
      </c>
      <c r="Y14" s="80">
        <v>2</v>
      </c>
      <c r="Z14" s="80">
        <v>7</v>
      </c>
      <c r="AA14" t="s" s="79">
        <v>670</v>
      </c>
      <c r="AB14" t="s" s="79">
        <v>124</v>
      </c>
      <c r="AC14" t="s" s="79">
        <v>124</v>
      </c>
      <c r="AD14" t="s" s="82">
        <v>125</v>
      </c>
      <c r="AE14" s="67"/>
    </row>
    <row r="15" ht="15" customHeight="1">
      <c r="A15" t="s" s="68">
        <v>26</v>
      </c>
      <c r="B15" s="69">
        <v>82.7</v>
      </c>
      <c r="C15" t="b" s="70">
        <v>0</v>
      </c>
      <c r="D15" s="71"/>
      <c r="E15" t="s" s="72">
        <v>1019</v>
      </c>
      <c r="F15" t="s" s="72">
        <v>163</v>
      </c>
      <c r="G15" s="73">
        <v>54</v>
      </c>
      <c r="H15" t="s" s="72">
        <v>118</v>
      </c>
      <c r="I15" t="s" s="72">
        <v>119</v>
      </c>
      <c r="J15" s="73">
        <v>31</v>
      </c>
      <c r="K15" t="s" s="72">
        <v>659</v>
      </c>
      <c r="L15" t="s" s="72">
        <v>121</v>
      </c>
      <c r="M15" s="71"/>
      <c r="N15" s="71"/>
      <c r="O15" s="71"/>
      <c r="P15" s="73">
        <v>2</v>
      </c>
      <c r="Q15" s="74">
        <v>5.5</v>
      </c>
      <c r="R15" s="74">
        <v>5.5</v>
      </c>
      <c r="S15" s="73">
        <v>0</v>
      </c>
      <c r="T15" s="73">
        <v>0</v>
      </c>
      <c r="U15" t="s" s="72">
        <v>122</v>
      </c>
      <c r="V15" s="73">
        <v>32</v>
      </c>
      <c r="W15" s="74">
        <v>6.22</v>
      </c>
      <c r="X15" s="74">
        <v>7.23</v>
      </c>
      <c r="Y15" s="73">
        <v>11</v>
      </c>
      <c r="Z15" s="73">
        <v>0</v>
      </c>
      <c r="AA15" t="s" s="72">
        <v>123</v>
      </c>
      <c r="AB15" t="s" s="72">
        <v>124</v>
      </c>
      <c r="AC15" t="s" s="72">
        <v>124</v>
      </c>
      <c r="AD15" t="s" s="75">
        <v>125</v>
      </c>
      <c r="AE15" s="67"/>
    </row>
    <row r="16" ht="15" customHeight="1">
      <c r="A16" t="s" s="68">
        <v>26</v>
      </c>
      <c r="B16" s="76">
        <v>80.7</v>
      </c>
      <c r="C16" t="b" s="77">
        <v>0</v>
      </c>
      <c r="D16" s="78"/>
      <c r="E16" t="s" s="79">
        <v>1020</v>
      </c>
      <c r="F16" t="s" s="79">
        <v>172</v>
      </c>
      <c r="G16" s="80">
        <v>45</v>
      </c>
      <c r="H16" t="s" s="79">
        <v>118</v>
      </c>
      <c r="I16" t="s" s="79">
        <v>662</v>
      </c>
      <c r="J16" s="80">
        <v>27</v>
      </c>
      <c r="K16" t="s" s="79">
        <v>800</v>
      </c>
      <c r="L16" t="s" s="79">
        <v>121</v>
      </c>
      <c r="M16" s="78"/>
      <c r="N16" t="s" s="79">
        <v>272</v>
      </c>
      <c r="O16" s="78"/>
      <c r="P16" s="80">
        <v>2</v>
      </c>
      <c r="Q16" s="81">
        <v>6.25</v>
      </c>
      <c r="R16" s="81">
        <v>6</v>
      </c>
      <c r="S16" s="80">
        <v>0</v>
      </c>
      <c r="T16" s="80">
        <v>0</v>
      </c>
      <c r="U16" t="s" s="79">
        <v>122</v>
      </c>
      <c r="V16" s="80">
        <v>37</v>
      </c>
      <c r="W16" s="81">
        <v>6.11</v>
      </c>
      <c r="X16" s="81">
        <v>6.86</v>
      </c>
      <c r="Y16" s="80">
        <v>7</v>
      </c>
      <c r="Z16" s="80">
        <v>9</v>
      </c>
      <c r="AA16" t="s" s="79">
        <v>123</v>
      </c>
      <c r="AB16" t="s" s="79">
        <v>124</v>
      </c>
      <c r="AC16" t="s" s="79">
        <v>124</v>
      </c>
      <c r="AD16" t="s" s="82">
        <v>125</v>
      </c>
      <c r="AE16" s="67"/>
    </row>
    <row r="17" ht="15" customHeight="1">
      <c r="A17" t="s" s="83">
        <v>28</v>
      </c>
      <c r="B17" s="69">
        <v>80.5</v>
      </c>
      <c r="C17" t="b" s="70">
        <v>0</v>
      </c>
      <c r="D17" s="71"/>
      <c r="E17" t="s" s="72">
        <v>1021</v>
      </c>
      <c r="F17" t="s" s="72">
        <v>172</v>
      </c>
      <c r="G17" s="73">
        <v>51</v>
      </c>
      <c r="H17" t="s" s="72">
        <v>1022</v>
      </c>
      <c r="I17" t="s" s="72">
        <v>1023</v>
      </c>
      <c r="J17" s="73">
        <v>32</v>
      </c>
      <c r="K17" t="s" s="72">
        <v>128</v>
      </c>
      <c r="L17" t="s" s="72">
        <v>154</v>
      </c>
      <c r="M17" s="71"/>
      <c r="N17" t="s" s="72">
        <v>655</v>
      </c>
      <c r="O17" s="71"/>
      <c r="P17" s="73">
        <v>1</v>
      </c>
      <c r="Q17" s="74">
        <v>7</v>
      </c>
      <c r="R17" s="74">
        <v>10</v>
      </c>
      <c r="S17" s="73">
        <v>1</v>
      </c>
      <c r="T17" s="73">
        <v>0</v>
      </c>
      <c r="U17" t="s" s="72">
        <v>122</v>
      </c>
      <c r="V17" s="73">
        <v>26</v>
      </c>
      <c r="W17" s="74">
        <v>6.21</v>
      </c>
      <c r="X17" s="74">
        <v>7.1</v>
      </c>
      <c r="Y17" s="73">
        <v>8</v>
      </c>
      <c r="Z17" s="73">
        <v>4</v>
      </c>
      <c r="AA17" t="s" s="72">
        <v>972</v>
      </c>
      <c r="AB17" t="s" s="72">
        <v>124</v>
      </c>
      <c r="AC17" t="s" s="72">
        <v>124</v>
      </c>
      <c r="AD17" t="s" s="75">
        <v>125</v>
      </c>
      <c r="AE17" s="67"/>
    </row>
    <row r="18" ht="15" customHeight="1">
      <c r="A18" t="s" s="83">
        <v>28</v>
      </c>
      <c r="B18" s="76">
        <v>78.90000000000001</v>
      </c>
      <c r="C18" t="b" s="77">
        <v>0</v>
      </c>
      <c r="D18" t="s" s="85">
        <v>161</v>
      </c>
      <c r="E18" t="s" s="79">
        <v>1024</v>
      </c>
      <c r="F18" t="s" s="79">
        <v>138</v>
      </c>
      <c r="G18" s="80">
        <v>67</v>
      </c>
      <c r="H18" t="s" s="79">
        <v>164</v>
      </c>
      <c r="I18" t="s" s="79">
        <v>1025</v>
      </c>
      <c r="J18" s="80">
        <v>21</v>
      </c>
      <c r="K18" t="s" s="79">
        <v>654</v>
      </c>
      <c r="L18" t="s" s="79">
        <v>328</v>
      </c>
      <c r="M18" s="78"/>
      <c r="N18" t="s" s="79">
        <v>655</v>
      </c>
      <c r="O18" t="s" s="88">
        <v>1026</v>
      </c>
      <c r="P18" s="80">
        <v>1</v>
      </c>
      <c r="Q18" s="81">
        <v>5.5</v>
      </c>
      <c r="R18" s="81">
        <v>5.5</v>
      </c>
      <c r="S18" s="80">
        <v>0</v>
      </c>
      <c r="T18" s="80">
        <v>0</v>
      </c>
      <c r="U18" t="s" s="79">
        <v>122</v>
      </c>
      <c r="V18" s="80">
        <v>35</v>
      </c>
      <c r="W18" s="81">
        <v>6.46</v>
      </c>
      <c r="X18" s="81">
        <v>7.37</v>
      </c>
      <c r="Y18" s="80">
        <v>10</v>
      </c>
      <c r="Z18" s="80">
        <v>6</v>
      </c>
      <c r="AA18" t="s" s="79">
        <v>1027</v>
      </c>
      <c r="AB18" t="s" s="79">
        <v>124</v>
      </c>
      <c r="AC18" t="s" s="79">
        <v>124</v>
      </c>
      <c r="AD18" t="s" s="82">
        <v>125</v>
      </c>
      <c r="AE18" s="67"/>
    </row>
    <row r="19" ht="15" customHeight="1">
      <c r="A19" t="s" s="83">
        <v>28</v>
      </c>
      <c r="B19" s="69">
        <v>78.2</v>
      </c>
      <c r="C19" t="b" s="70">
        <v>0</v>
      </c>
      <c r="D19" s="71"/>
      <c r="E19" t="s" s="72">
        <v>1028</v>
      </c>
      <c r="F19" t="s" s="72">
        <v>141</v>
      </c>
      <c r="G19" s="73">
        <v>70</v>
      </c>
      <c r="H19" t="s" s="72">
        <v>175</v>
      </c>
      <c r="I19" t="s" s="72">
        <v>1029</v>
      </c>
      <c r="J19" s="73">
        <v>27</v>
      </c>
      <c r="K19" t="s" s="72">
        <v>151</v>
      </c>
      <c r="L19" t="s" s="72">
        <v>121</v>
      </c>
      <c r="M19" s="71"/>
      <c r="N19" s="71"/>
      <c r="O19" s="71"/>
      <c r="P19" s="73">
        <v>3</v>
      </c>
      <c r="Q19" s="74">
        <v>6.33</v>
      </c>
      <c r="R19" s="74">
        <v>8.33</v>
      </c>
      <c r="S19" s="73">
        <v>2</v>
      </c>
      <c r="T19" s="73">
        <v>0</v>
      </c>
      <c r="U19" t="s" s="72">
        <v>122</v>
      </c>
      <c r="V19" s="73">
        <v>36</v>
      </c>
      <c r="W19" s="74">
        <v>6.19</v>
      </c>
      <c r="X19" s="74">
        <v>7.39</v>
      </c>
      <c r="Y19" s="73">
        <v>14</v>
      </c>
      <c r="Z19" s="73">
        <v>1</v>
      </c>
      <c r="AA19" t="s" s="72">
        <v>291</v>
      </c>
      <c r="AB19" t="s" s="72">
        <v>124</v>
      </c>
      <c r="AC19" t="s" s="72">
        <v>124</v>
      </c>
      <c r="AD19" t="s" s="75">
        <v>125</v>
      </c>
      <c r="AE19" s="67"/>
    </row>
    <row r="20" ht="15" customHeight="1">
      <c r="A20" t="s" s="83">
        <v>28</v>
      </c>
      <c r="B20" s="76">
        <v>78.09999999999999</v>
      </c>
      <c r="C20" t="b" s="77">
        <v>0</v>
      </c>
      <c r="D20" s="78"/>
      <c r="E20" t="s" s="79">
        <v>1030</v>
      </c>
      <c r="F20" t="s" s="79">
        <v>149</v>
      </c>
      <c r="G20" s="80">
        <v>52</v>
      </c>
      <c r="H20" t="s" s="79">
        <v>164</v>
      </c>
      <c r="I20" t="s" s="79">
        <v>1031</v>
      </c>
      <c r="J20" s="80">
        <v>27</v>
      </c>
      <c r="K20" t="s" s="79">
        <v>128</v>
      </c>
      <c r="L20" t="s" s="79">
        <v>121</v>
      </c>
      <c r="M20" s="78"/>
      <c r="N20" s="78"/>
      <c r="O20" s="78"/>
      <c r="P20" s="80">
        <v>0</v>
      </c>
      <c r="Q20" s="81">
        <v>0</v>
      </c>
      <c r="R20" s="81">
        <v>0</v>
      </c>
      <c r="S20" s="80">
        <v>0</v>
      </c>
      <c r="T20" s="80">
        <v>0</v>
      </c>
      <c r="U20" t="s" s="79">
        <v>122</v>
      </c>
      <c r="V20" s="80">
        <v>35</v>
      </c>
      <c r="W20" s="81">
        <v>5.93</v>
      </c>
      <c r="X20" s="81">
        <v>6.64</v>
      </c>
      <c r="Y20" s="80">
        <v>9</v>
      </c>
      <c r="Z20" s="80">
        <v>3</v>
      </c>
      <c r="AA20" t="s" s="79">
        <v>670</v>
      </c>
      <c r="AB20" t="s" s="79">
        <v>124</v>
      </c>
      <c r="AC20" t="s" s="79">
        <v>124</v>
      </c>
      <c r="AD20" t="s" s="82">
        <v>125</v>
      </c>
      <c r="AE20" s="67"/>
    </row>
    <row r="21" ht="15" customHeight="1">
      <c r="A21" t="s" s="83">
        <v>28</v>
      </c>
      <c r="B21" s="69">
        <v>76.7</v>
      </c>
      <c r="C21" t="b" s="70">
        <v>0</v>
      </c>
      <c r="D21" s="71"/>
      <c r="E21" t="s" s="72">
        <v>1032</v>
      </c>
      <c r="F21" t="s" s="72">
        <v>163</v>
      </c>
      <c r="G21" s="73">
        <v>52</v>
      </c>
      <c r="H21" t="s" s="72">
        <v>118</v>
      </c>
      <c r="I21" t="s" s="72">
        <v>131</v>
      </c>
      <c r="J21" s="73">
        <v>30</v>
      </c>
      <c r="K21" t="s" s="72">
        <v>677</v>
      </c>
      <c r="L21" t="s" s="72">
        <v>121</v>
      </c>
      <c r="M21" s="71"/>
      <c r="N21" s="71"/>
      <c r="O21" s="71"/>
      <c r="P21" s="73">
        <v>2</v>
      </c>
      <c r="Q21" s="74">
        <v>6.5</v>
      </c>
      <c r="R21" s="74">
        <v>8</v>
      </c>
      <c r="S21" s="73">
        <v>1</v>
      </c>
      <c r="T21" s="73">
        <v>0</v>
      </c>
      <c r="U21" t="s" s="72">
        <v>122</v>
      </c>
      <c r="V21" s="73">
        <v>32</v>
      </c>
      <c r="W21" s="74">
        <v>6.06</v>
      </c>
      <c r="X21" s="74">
        <v>6.72</v>
      </c>
      <c r="Y21" s="73">
        <v>6</v>
      </c>
      <c r="Z21" s="73">
        <v>3</v>
      </c>
      <c r="AA21" t="s" s="72">
        <v>123</v>
      </c>
      <c r="AB21" t="s" s="72">
        <v>124</v>
      </c>
      <c r="AC21" t="s" s="72">
        <v>124</v>
      </c>
      <c r="AD21" t="s" s="75">
        <v>125</v>
      </c>
      <c r="AE21" s="67"/>
    </row>
    <row r="22" ht="15" customHeight="1">
      <c r="A22" t="s" s="83">
        <v>28</v>
      </c>
      <c r="B22" s="76">
        <v>74.5</v>
      </c>
      <c r="C22" t="b" s="77">
        <v>0</v>
      </c>
      <c r="D22" s="78"/>
      <c r="E22" t="s" s="79">
        <v>1033</v>
      </c>
      <c r="F22" t="s" s="79">
        <v>127</v>
      </c>
      <c r="G22" s="80">
        <v>57</v>
      </c>
      <c r="H22" t="s" s="79">
        <v>175</v>
      </c>
      <c r="I22" t="s" s="79">
        <v>1029</v>
      </c>
      <c r="J22" s="80">
        <v>26</v>
      </c>
      <c r="K22" t="s" s="79">
        <v>1034</v>
      </c>
      <c r="L22" t="s" s="79">
        <v>121</v>
      </c>
      <c r="M22" s="78"/>
      <c r="N22" s="78"/>
      <c r="O22" s="78"/>
      <c r="P22" s="80">
        <v>2</v>
      </c>
      <c r="Q22" s="81">
        <v>6.5</v>
      </c>
      <c r="R22" s="81">
        <v>7.75</v>
      </c>
      <c r="S22" s="80">
        <v>1</v>
      </c>
      <c r="T22" s="80">
        <v>0</v>
      </c>
      <c r="U22" t="s" s="79">
        <v>122</v>
      </c>
      <c r="V22" s="80">
        <v>32</v>
      </c>
      <c r="W22" s="81">
        <v>6.12</v>
      </c>
      <c r="X22" s="81">
        <v>7.16</v>
      </c>
      <c r="Y22" s="80">
        <v>10</v>
      </c>
      <c r="Z22" s="80">
        <v>5</v>
      </c>
      <c r="AA22" t="s" s="79">
        <v>123</v>
      </c>
      <c r="AB22" t="s" s="79">
        <v>124</v>
      </c>
      <c r="AC22" t="s" s="79">
        <v>124</v>
      </c>
      <c r="AD22" t="s" s="82">
        <v>125</v>
      </c>
      <c r="AE22" s="67"/>
    </row>
    <row r="23" ht="15" customHeight="1">
      <c r="A23" t="s" s="83">
        <v>28</v>
      </c>
      <c r="B23" s="69">
        <v>74.3</v>
      </c>
      <c r="C23" t="b" s="70">
        <v>0</v>
      </c>
      <c r="D23" t="s" s="84">
        <v>178</v>
      </c>
      <c r="E23" t="s" s="72">
        <v>1035</v>
      </c>
      <c r="F23" t="s" s="72">
        <v>138</v>
      </c>
      <c r="G23" s="73">
        <v>57</v>
      </c>
      <c r="H23" t="s" s="72">
        <v>164</v>
      </c>
      <c r="I23" t="s" s="72">
        <v>165</v>
      </c>
      <c r="J23" s="73">
        <v>24</v>
      </c>
      <c r="K23" t="s" s="72">
        <v>356</v>
      </c>
      <c r="L23" t="s" s="72">
        <v>121</v>
      </c>
      <c r="M23" s="71"/>
      <c r="N23" s="71"/>
      <c r="O23" s="71"/>
      <c r="P23" s="73">
        <v>0</v>
      </c>
      <c r="Q23" s="74">
        <v>0</v>
      </c>
      <c r="R23" s="74">
        <v>0</v>
      </c>
      <c r="S23" s="73">
        <v>0</v>
      </c>
      <c r="T23" s="73">
        <v>0</v>
      </c>
      <c r="U23" t="s" s="72">
        <v>122</v>
      </c>
      <c r="V23" s="71"/>
      <c r="W23" s="71"/>
      <c r="X23" s="71"/>
      <c r="Y23" s="71"/>
      <c r="Z23" s="71"/>
      <c r="AA23" s="71"/>
      <c r="AB23" t="s" s="72">
        <v>124</v>
      </c>
      <c r="AC23" t="s" s="72">
        <v>124</v>
      </c>
      <c r="AD23" t="s" s="75">
        <v>125</v>
      </c>
      <c r="AE23" s="67"/>
    </row>
    <row r="24" ht="15" customHeight="1">
      <c r="A24" t="s" s="83">
        <v>28</v>
      </c>
      <c r="B24" s="76">
        <v>72.5</v>
      </c>
      <c r="C24" t="b" s="77">
        <v>0</v>
      </c>
      <c r="D24" s="78"/>
      <c r="E24" t="s" s="79">
        <v>941</v>
      </c>
      <c r="F24" t="s" s="79">
        <v>156</v>
      </c>
      <c r="G24" s="80">
        <v>34</v>
      </c>
      <c r="H24" t="s" s="79">
        <v>118</v>
      </c>
      <c r="I24" t="s" s="79">
        <v>119</v>
      </c>
      <c r="J24" s="80">
        <v>24</v>
      </c>
      <c r="K24" t="s" s="79">
        <v>128</v>
      </c>
      <c r="L24" t="s" s="79">
        <v>154</v>
      </c>
      <c r="M24" s="78"/>
      <c r="N24" s="78"/>
      <c r="O24" s="78"/>
      <c r="P24" s="80">
        <v>3</v>
      </c>
      <c r="Q24" s="81">
        <v>5.67</v>
      </c>
      <c r="R24" s="81">
        <v>6</v>
      </c>
      <c r="S24" s="80">
        <v>0</v>
      </c>
      <c r="T24" s="80">
        <v>1</v>
      </c>
      <c r="U24" t="s" s="79">
        <v>122</v>
      </c>
      <c r="V24" s="80">
        <v>37</v>
      </c>
      <c r="W24" s="81">
        <v>5.91</v>
      </c>
      <c r="X24" s="81">
        <v>6.39</v>
      </c>
      <c r="Y24" s="80">
        <v>7</v>
      </c>
      <c r="Z24" s="80">
        <v>1</v>
      </c>
      <c r="AA24" t="s" s="79">
        <v>1027</v>
      </c>
      <c r="AB24" t="s" s="79">
        <v>124</v>
      </c>
      <c r="AC24" t="s" s="79">
        <v>124</v>
      </c>
      <c r="AD24" t="s" s="82">
        <v>125</v>
      </c>
      <c r="AE24" s="67"/>
    </row>
    <row r="25" ht="15" customHeight="1">
      <c r="A25" t="s" s="83">
        <v>28</v>
      </c>
      <c r="B25" s="69">
        <v>72.2</v>
      </c>
      <c r="C25" t="b" s="70">
        <v>0</v>
      </c>
      <c r="D25" s="71"/>
      <c r="E25" t="s" s="72">
        <v>1036</v>
      </c>
      <c r="F25" t="s" s="72">
        <v>117</v>
      </c>
      <c r="G25" s="73">
        <v>54</v>
      </c>
      <c r="H25" t="s" s="72">
        <v>175</v>
      </c>
      <c r="I25" t="s" s="72">
        <v>1037</v>
      </c>
      <c r="J25" s="73">
        <v>21</v>
      </c>
      <c r="K25" t="s" s="72">
        <v>316</v>
      </c>
      <c r="L25" t="s" s="72">
        <v>121</v>
      </c>
      <c r="M25" s="71"/>
      <c r="N25" s="71"/>
      <c r="O25" s="71"/>
      <c r="P25" s="73">
        <v>2</v>
      </c>
      <c r="Q25" s="74">
        <v>6</v>
      </c>
      <c r="R25" s="74">
        <v>6</v>
      </c>
      <c r="S25" s="73">
        <v>0</v>
      </c>
      <c r="T25" s="73">
        <v>0</v>
      </c>
      <c r="U25" t="s" s="72">
        <v>122</v>
      </c>
      <c r="V25" s="73">
        <v>35</v>
      </c>
      <c r="W25" s="74">
        <v>6.04</v>
      </c>
      <c r="X25" s="74">
        <v>6.63</v>
      </c>
      <c r="Y25" s="73">
        <v>7</v>
      </c>
      <c r="Z25" s="73">
        <v>1</v>
      </c>
      <c r="AA25" t="s" s="72">
        <v>123</v>
      </c>
      <c r="AB25" t="s" s="72">
        <v>124</v>
      </c>
      <c r="AC25" t="s" s="72">
        <v>124</v>
      </c>
      <c r="AD25" t="s" s="75">
        <v>125</v>
      </c>
      <c r="AE25" s="67"/>
    </row>
    <row r="26" ht="15" customHeight="1">
      <c r="A26" t="s" s="83">
        <v>28</v>
      </c>
      <c r="B26" s="76">
        <v>71.59999999999999</v>
      </c>
      <c r="C26" t="b" s="77">
        <v>0</v>
      </c>
      <c r="D26" s="78"/>
      <c r="E26" t="s" s="79">
        <v>1038</v>
      </c>
      <c r="F26" t="s" s="79">
        <v>127</v>
      </c>
      <c r="G26" s="80">
        <v>38</v>
      </c>
      <c r="H26" t="s" s="79">
        <v>118</v>
      </c>
      <c r="I26" t="s" s="79">
        <v>695</v>
      </c>
      <c r="J26" s="80">
        <v>25</v>
      </c>
      <c r="K26" t="s" s="79">
        <v>399</v>
      </c>
      <c r="L26" t="s" s="79">
        <v>154</v>
      </c>
      <c r="M26" s="78"/>
      <c r="N26" t="s" s="79">
        <v>655</v>
      </c>
      <c r="O26" s="78"/>
      <c r="P26" s="80">
        <v>2</v>
      </c>
      <c r="Q26" s="81">
        <v>5.75</v>
      </c>
      <c r="R26" s="81">
        <v>5.75</v>
      </c>
      <c r="S26" s="80">
        <v>0</v>
      </c>
      <c r="T26" s="80">
        <v>0</v>
      </c>
      <c r="U26" t="s" s="79">
        <v>122</v>
      </c>
      <c r="V26" s="80">
        <v>31</v>
      </c>
      <c r="W26" s="81">
        <v>6.11</v>
      </c>
      <c r="X26" s="81">
        <v>6.5</v>
      </c>
      <c r="Y26" s="80">
        <v>3</v>
      </c>
      <c r="Z26" s="80">
        <v>5</v>
      </c>
      <c r="AA26" t="s" s="79">
        <v>123</v>
      </c>
      <c r="AB26" t="s" s="79">
        <v>124</v>
      </c>
      <c r="AC26" t="s" s="79">
        <v>124</v>
      </c>
      <c r="AD26" t="s" s="82">
        <v>125</v>
      </c>
      <c r="AE26" s="67"/>
    </row>
    <row r="27" ht="15" customHeight="1">
      <c r="A27" t="s" s="83">
        <v>28</v>
      </c>
      <c r="B27" s="69">
        <v>71</v>
      </c>
      <c r="C27" t="b" s="70">
        <v>0</v>
      </c>
      <c r="D27" s="71"/>
      <c r="E27" t="s" s="72">
        <v>1039</v>
      </c>
      <c r="F27" t="s" s="72">
        <v>117</v>
      </c>
      <c r="G27" s="73">
        <v>57</v>
      </c>
      <c r="H27" t="s" s="72">
        <v>1040</v>
      </c>
      <c r="I27" t="s" s="72">
        <v>1041</v>
      </c>
      <c r="J27" s="73">
        <v>23</v>
      </c>
      <c r="K27" t="s" s="72">
        <v>593</v>
      </c>
      <c r="L27" t="s" s="72">
        <v>154</v>
      </c>
      <c r="M27" s="71"/>
      <c r="N27" t="s" s="72">
        <v>311</v>
      </c>
      <c r="O27" s="71"/>
      <c r="P27" s="73">
        <v>2</v>
      </c>
      <c r="Q27" s="74">
        <v>6.25</v>
      </c>
      <c r="R27" s="74">
        <v>7.75</v>
      </c>
      <c r="S27" s="73">
        <v>1</v>
      </c>
      <c r="T27" s="73">
        <v>0</v>
      </c>
      <c r="U27" t="s" s="72">
        <v>122</v>
      </c>
      <c r="V27" s="73">
        <v>32</v>
      </c>
      <c r="W27" s="74">
        <v>6.11</v>
      </c>
      <c r="X27" s="74">
        <v>6.81</v>
      </c>
      <c r="Y27" s="73">
        <v>6</v>
      </c>
      <c r="Z27" s="73">
        <v>5</v>
      </c>
      <c r="AA27" t="s" s="72">
        <v>123</v>
      </c>
      <c r="AB27" t="s" s="72">
        <v>124</v>
      </c>
      <c r="AC27" t="s" s="72">
        <v>124</v>
      </c>
      <c r="AD27" t="s" s="75">
        <v>125</v>
      </c>
      <c r="AE27" s="67"/>
    </row>
    <row r="28" ht="15" customHeight="1">
      <c r="A28" t="s" s="83">
        <v>28</v>
      </c>
      <c r="B28" s="76">
        <v>70.5</v>
      </c>
      <c r="C28" t="b" s="77">
        <v>0</v>
      </c>
      <c r="D28" t="s" s="85">
        <v>178</v>
      </c>
      <c r="E28" t="s" s="79">
        <v>1042</v>
      </c>
      <c r="F28" t="s" s="79">
        <v>172</v>
      </c>
      <c r="G28" s="80">
        <v>39</v>
      </c>
      <c r="H28" t="s" s="79">
        <v>1043</v>
      </c>
      <c r="I28" t="s" s="79">
        <v>1044</v>
      </c>
      <c r="J28" s="80">
        <v>24</v>
      </c>
      <c r="K28" t="s" s="79">
        <v>128</v>
      </c>
      <c r="L28" t="s" s="79">
        <v>121</v>
      </c>
      <c r="M28" s="78"/>
      <c r="N28" s="78"/>
      <c r="O28" s="78"/>
      <c r="P28" s="80">
        <v>0</v>
      </c>
      <c r="Q28" s="81">
        <v>0</v>
      </c>
      <c r="R28" s="81">
        <v>0</v>
      </c>
      <c r="S28" s="80">
        <v>0</v>
      </c>
      <c r="T28" s="80">
        <v>0</v>
      </c>
      <c r="U28" t="s" s="79">
        <v>122</v>
      </c>
      <c r="V28" s="80">
        <v>36</v>
      </c>
      <c r="W28" s="81">
        <v>6.19</v>
      </c>
      <c r="X28" s="81">
        <v>6.81</v>
      </c>
      <c r="Y28" s="80">
        <v>7</v>
      </c>
      <c r="Z28" s="80">
        <v>4</v>
      </c>
      <c r="AA28" t="s" s="79">
        <v>291</v>
      </c>
      <c r="AB28" t="s" s="79">
        <v>124</v>
      </c>
      <c r="AC28" t="s" s="79">
        <v>124</v>
      </c>
      <c r="AD28" t="s" s="82">
        <v>125</v>
      </c>
      <c r="AE28" s="67"/>
    </row>
    <row r="29" ht="15" customHeight="1">
      <c r="A29" t="s" s="83">
        <v>28</v>
      </c>
      <c r="B29" s="69">
        <v>70.40000000000001</v>
      </c>
      <c r="C29" t="b" s="70">
        <v>0</v>
      </c>
      <c r="D29" t="s" s="84">
        <v>161</v>
      </c>
      <c r="E29" t="s" s="72">
        <v>1045</v>
      </c>
      <c r="F29" t="s" s="72">
        <v>170</v>
      </c>
      <c r="G29" s="73">
        <v>40</v>
      </c>
      <c r="H29" t="s" s="72">
        <v>164</v>
      </c>
      <c r="I29" t="s" s="72">
        <v>1046</v>
      </c>
      <c r="J29" s="73">
        <v>28</v>
      </c>
      <c r="K29" t="s" s="72">
        <v>1047</v>
      </c>
      <c r="L29" t="s" s="72">
        <v>121</v>
      </c>
      <c r="M29" s="71"/>
      <c r="N29" s="71"/>
      <c r="O29" s="71"/>
      <c r="P29" s="73">
        <v>0</v>
      </c>
      <c r="Q29" s="74">
        <v>0</v>
      </c>
      <c r="R29" s="74">
        <v>0</v>
      </c>
      <c r="S29" s="73">
        <v>0</v>
      </c>
      <c r="T29" s="73">
        <v>0</v>
      </c>
      <c r="U29" t="s" s="72">
        <v>122</v>
      </c>
      <c r="V29" s="71"/>
      <c r="W29" s="71"/>
      <c r="X29" s="71"/>
      <c r="Y29" s="71"/>
      <c r="Z29" s="71"/>
      <c r="AA29" s="71"/>
      <c r="AB29" t="s" s="72">
        <v>124</v>
      </c>
      <c r="AC29" t="s" s="72">
        <v>124</v>
      </c>
      <c r="AD29" t="s" s="75">
        <v>125</v>
      </c>
      <c r="AE29" s="67"/>
    </row>
    <row r="30" ht="15" customHeight="1">
      <c r="A30" t="s" s="83">
        <v>28</v>
      </c>
      <c r="B30" s="76">
        <v>69</v>
      </c>
      <c r="C30" t="b" s="77">
        <v>0</v>
      </c>
      <c r="D30" s="78"/>
      <c r="E30" t="s" s="79">
        <v>1048</v>
      </c>
      <c r="F30" t="s" s="79">
        <v>127</v>
      </c>
      <c r="G30" s="80">
        <v>39</v>
      </c>
      <c r="H30" t="s" s="79">
        <v>1049</v>
      </c>
      <c r="I30" t="s" s="79">
        <v>1049</v>
      </c>
      <c r="J30" s="80">
        <v>23</v>
      </c>
      <c r="K30" t="s" s="79">
        <v>304</v>
      </c>
      <c r="L30" t="s" s="79">
        <v>121</v>
      </c>
      <c r="M30" s="78"/>
      <c r="N30" s="78"/>
      <c r="O30" s="78"/>
      <c r="P30" s="80">
        <v>1</v>
      </c>
      <c r="Q30" s="81">
        <v>5.5</v>
      </c>
      <c r="R30" s="81">
        <v>5.5</v>
      </c>
      <c r="S30" s="80">
        <v>0</v>
      </c>
      <c r="T30" s="80">
        <v>0</v>
      </c>
      <c r="U30" t="s" s="79">
        <v>122</v>
      </c>
      <c r="V30" s="80">
        <v>28</v>
      </c>
      <c r="W30" s="81">
        <v>6.09</v>
      </c>
      <c r="X30" s="81">
        <v>6.48</v>
      </c>
      <c r="Y30" s="80">
        <v>3</v>
      </c>
      <c r="Z30" s="80">
        <v>3</v>
      </c>
      <c r="AA30" t="s" s="79">
        <v>123</v>
      </c>
      <c r="AB30" t="s" s="79">
        <v>124</v>
      </c>
      <c r="AC30" t="s" s="79">
        <v>124</v>
      </c>
      <c r="AD30" t="s" s="82">
        <v>125</v>
      </c>
      <c r="AE30" s="67"/>
    </row>
    <row r="31" ht="15" customHeight="1">
      <c r="A31" t="s" s="83">
        <v>28</v>
      </c>
      <c r="B31" s="69">
        <v>68</v>
      </c>
      <c r="C31" t="b" s="70">
        <v>0</v>
      </c>
      <c r="D31" t="s" s="84">
        <v>161</v>
      </c>
      <c r="E31" t="s" s="72">
        <v>1050</v>
      </c>
      <c r="F31" t="s" s="72">
        <v>156</v>
      </c>
      <c r="G31" s="73">
        <v>30</v>
      </c>
      <c r="H31" t="s" s="72">
        <v>1051</v>
      </c>
      <c r="I31" t="s" s="72">
        <v>1052</v>
      </c>
      <c r="J31" s="73">
        <v>26</v>
      </c>
      <c r="K31" t="s" s="72">
        <v>325</v>
      </c>
      <c r="L31" t="s" s="72">
        <v>121</v>
      </c>
      <c r="M31" s="71"/>
      <c r="N31" t="s" s="72">
        <v>272</v>
      </c>
      <c r="O31" s="71"/>
      <c r="P31" s="73">
        <v>3</v>
      </c>
      <c r="Q31" s="74">
        <v>5.5</v>
      </c>
      <c r="R31" s="74">
        <v>5.5</v>
      </c>
      <c r="S31" s="73">
        <v>0</v>
      </c>
      <c r="T31" s="73">
        <v>0</v>
      </c>
      <c r="U31" t="s" s="72">
        <v>122</v>
      </c>
      <c r="V31" s="73">
        <v>32</v>
      </c>
      <c r="W31" s="74">
        <v>5.97</v>
      </c>
      <c r="X31" s="74">
        <v>6.39</v>
      </c>
      <c r="Y31" s="73">
        <v>5</v>
      </c>
      <c r="Z31" s="73">
        <v>1</v>
      </c>
      <c r="AA31" t="s" s="72">
        <v>123</v>
      </c>
      <c r="AB31" t="s" s="72">
        <v>124</v>
      </c>
      <c r="AC31" t="s" s="72">
        <v>124</v>
      </c>
      <c r="AD31" t="s" s="75">
        <v>125</v>
      </c>
      <c r="AE31" s="67"/>
    </row>
    <row r="32" ht="15" customHeight="1">
      <c r="A32" t="s" s="83">
        <v>28</v>
      </c>
      <c r="B32" s="76">
        <v>67.40000000000001</v>
      </c>
      <c r="C32" t="b" s="77">
        <v>0</v>
      </c>
      <c r="D32" t="s" s="85">
        <v>178</v>
      </c>
      <c r="E32" t="s" s="79">
        <v>1053</v>
      </c>
      <c r="F32" t="s" s="79">
        <v>141</v>
      </c>
      <c r="G32" s="80">
        <v>32</v>
      </c>
      <c r="H32" t="s" s="79">
        <v>118</v>
      </c>
      <c r="I32" t="s" s="79">
        <v>1054</v>
      </c>
      <c r="J32" s="80">
        <v>20</v>
      </c>
      <c r="K32" t="s" s="79">
        <v>1055</v>
      </c>
      <c r="L32" t="s" s="79">
        <v>121</v>
      </c>
      <c r="M32" s="78"/>
      <c r="N32" s="78"/>
      <c r="O32" s="78"/>
      <c r="P32" s="80">
        <v>3</v>
      </c>
      <c r="Q32" s="81">
        <v>6.67</v>
      </c>
      <c r="R32" s="81">
        <v>9</v>
      </c>
      <c r="S32" s="80">
        <v>2</v>
      </c>
      <c r="T32" s="80">
        <v>1</v>
      </c>
      <c r="U32" t="s" s="79">
        <v>122</v>
      </c>
      <c r="V32" s="80">
        <v>16</v>
      </c>
      <c r="W32" s="81">
        <v>5.94</v>
      </c>
      <c r="X32" s="81">
        <v>6.31</v>
      </c>
      <c r="Y32" s="80">
        <v>2</v>
      </c>
      <c r="Z32" s="80">
        <v>1</v>
      </c>
      <c r="AA32" t="s" s="79">
        <v>123</v>
      </c>
      <c r="AB32" t="s" s="79">
        <v>124</v>
      </c>
      <c r="AC32" t="s" s="79">
        <v>124</v>
      </c>
      <c r="AD32" t="s" s="82">
        <v>125</v>
      </c>
      <c r="AE32" s="67"/>
    </row>
    <row r="33" ht="15" customHeight="1">
      <c r="A33" t="s" s="83">
        <v>28</v>
      </c>
      <c r="B33" s="69">
        <v>67.3</v>
      </c>
      <c r="C33" t="b" s="70">
        <v>0</v>
      </c>
      <c r="D33" t="s" s="84">
        <v>161</v>
      </c>
      <c r="E33" t="s" s="72">
        <v>1056</v>
      </c>
      <c r="F33" t="s" s="72">
        <v>134</v>
      </c>
      <c r="G33" s="73">
        <v>45</v>
      </c>
      <c r="H33" t="s" s="72">
        <v>175</v>
      </c>
      <c r="I33" t="s" s="72">
        <v>1057</v>
      </c>
      <c r="J33" s="73">
        <v>21</v>
      </c>
      <c r="K33" t="s" s="72">
        <v>128</v>
      </c>
      <c r="L33" t="s" s="72">
        <v>121</v>
      </c>
      <c r="M33" s="71"/>
      <c r="N33" s="71"/>
      <c r="O33" s="71"/>
      <c r="P33" s="73">
        <v>2</v>
      </c>
      <c r="Q33" s="74">
        <v>6.75</v>
      </c>
      <c r="R33" s="74">
        <v>8.75</v>
      </c>
      <c r="S33" s="73">
        <v>1</v>
      </c>
      <c r="T33" s="73">
        <v>1</v>
      </c>
      <c r="U33" t="s" s="72">
        <v>122</v>
      </c>
      <c r="V33" s="73">
        <v>32</v>
      </c>
      <c r="W33" s="74">
        <v>6.27</v>
      </c>
      <c r="X33" s="74">
        <v>7</v>
      </c>
      <c r="Y33" s="73">
        <v>7</v>
      </c>
      <c r="Z33" s="73">
        <v>3</v>
      </c>
      <c r="AA33" t="s" s="72">
        <v>123</v>
      </c>
      <c r="AB33" t="s" s="72">
        <v>124</v>
      </c>
      <c r="AC33" t="s" s="72">
        <v>124</v>
      </c>
      <c r="AD33" t="s" s="75">
        <v>125</v>
      </c>
      <c r="AE33" s="67"/>
    </row>
    <row r="34" ht="15" customHeight="1">
      <c r="A34" t="s" s="83">
        <v>28</v>
      </c>
      <c r="B34" s="76">
        <v>66.5</v>
      </c>
      <c r="C34" t="b" s="77">
        <v>0</v>
      </c>
      <c r="D34" t="s" s="85">
        <v>161</v>
      </c>
      <c r="E34" t="s" s="79">
        <v>1058</v>
      </c>
      <c r="F34" t="s" s="79">
        <v>170</v>
      </c>
      <c r="G34" s="80">
        <v>44</v>
      </c>
      <c r="H34" t="s" s="79">
        <v>175</v>
      </c>
      <c r="I34" t="s" s="79">
        <v>218</v>
      </c>
      <c r="J34" s="80">
        <v>24</v>
      </c>
      <c r="K34" t="s" s="79">
        <v>659</v>
      </c>
      <c r="L34" t="s" s="79">
        <v>154</v>
      </c>
      <c r="M34" s="78"/>
      <c r="N34" s="78"/>
      <c r="O34" s="78"/>
      <c r="P34" s="80">
        <v>2</v>
      </c>
      <c r="Q34" s="81">
        <v>4.75</v>
      </c>
      <c r="R34" s="81">
        <v>4.5</v>
      </c>
      <c r="S34" s="80">
        <v>0</v>
      </c>
      <c r="T34" s="80">
        <v>0</v>
      </c>
      <c r="U34" t="s" s="79">
        <v>122</v>
      </c>
      <c r="V34" s="80">
        <v>37</v>
      </c>
      <c r="W34" s="81">
        <v>5.85</v>
      </c>
      <c r="X34" s="81">
        <v>6.51</v>
      </c>
      <c r="Y34" s="80">
        <v>9</v>
      </c>
      <c r="Z34" s="80">
        <v>0</v>
      </c>
      <c r="AA34" t="s" s="79">
        <v>291</v>
      </c>
      <c r="AB34" t="s" s="79">
        <v>124</v>
      </c>
      <c r="AC34" t="s" s="79">
        <v>124</v>
      </c>
      <c r="AD34" t="s" s="82">
        <v>125</v>
      </c>
      <c r="AE34" s="67"/>
    </row>
    <row r="35" ht="15" customHeight="1">
      <c r="A35" t="s" s="86">
        <v>30</v>
      </c>
      <c r="B35" s="69">
        <v>65.5</v>
      </c>
      <c r="C35" t="b" s="70">
        <v>0</v>
      </c>
      <c r="D35" s="71"/>
      <c r="E35" t="s" s="72">
        <v>1059</v>
      </c>
      <c r="F35" t="s" s="72">
        <v>149</v>
      </c>
      <c r="G35" s="73">
        <v>26</v>
      </c>
      <c r="H35" t="s" s="72">
        <v>1060</v>
      </c>
      <c r="I35" t="s" s="72">
        <v>1061</v>
      </c>
      <c r="J35" s="73">
        <v>25</v>
      </c>
      <c r="K35" t="s" s="72">
        <v>206</v>
      </c>
      <c r="L35" t="s" s="72">
        <v>328</v>
      </c>
      <c r="M35" s="71"/>
      <c r="N35" s="71"/>
      <c r="O35" s="71"/>
      <c r="P35" s="73">
        <v>2</v>
      </c>
      <c r="Q35" s="74">
        <v>6</v>
      </c>
      <c r="R35" s="74">
        <v>6</v>
      </c>
      <c r="S35" s="73">
        <v>0</v>
      </c>
      <c r="T35" s="73">
        <v>0</v>
      </c>
      <c r="U35" t="s" s="72">
        <v>122</v>
      </c>
      <c r="V35" s="73">
        <v>27</v>
      </c>
      <c r="W35" s="74">
        <v>5.96</v>
      </c>
      <c r="X35" s="74">
        <v>6.56</v>
      </c>
      <c r="Y35" s="73">
        <v>5</v>
      </c>
      <c r="Z35" s="73">
        <v>1</v>
      </c>
      <c r="AA35" t="s" s="72">
        <v>123</v>
      </c>
      <c r="AB35" t="s" s="72">
        <v>124</v>
      </c>
      <c r="AC35" t="s" s="72">
        <v>124</v>
      </c>
      <c r="AD35" t="s" s="75">
        <v>125</v>
      </c>
      <c r="AE35" s="67"/>
    </row>
    <row r="36" ht="15" customHeight="1">
      <c r="A36" t="s" s="86">
        <v>30</v>
      </c>
      <c r="B36" s="76">
        <v>64.90000000000001</v>
      </c>
      <c r="C36" t="b" s="77">
        <v>0</v>
      </c>
      <c r="D36" t="s" s="85">
        <v>161</v>
      </c>
      <c r="E36" t="s" s="79">
        <v>1062</v>
      </c>
      <c r="F36" t="s" s="79">
        <v>180</v>
      </c>
      <c r="G36" s="80">
        <v>30</v>
      </c>
      <c r="H36" t="s" s="79">
        <v>118</v>
      </c>
      <c r="I36" t="s" s="79">
        <v>867</v>
      </c>
      <c r="J36" s="80">
        <v>22</v>
      </c>
      <c r="K36" t="s" s="79">
        <v>128</v>
      </c>
      <c r="L36" t="s" s="79">
        <v>154</v>
      </c>
      <c r="M36" s="78"/>
      <c r="N36" s="78"/>
      <c r="O36" s="78"/>
      <c r="P36" s="80">
        <v>2</v>
      </c>
      <c r="Q36" s="81">
        <v>6.75</v>
      </c>
      <c r="R36" s="81">
        <v>9.5</v>
      </c>
      <c r="S36" s="80">
        <v>2</v>
      </c>
      <c r="T36" s="80">
        <v>0</v>
      </c>
      <c r="U36" t="s" s="79">
        <v>122</v>
      </c>
      <c r="V36" s="78"/>
      <c r="W36" s="78"/>
      <c r="X36" s="78"/>
      <c r="Y36" s="78"/>
      <c r="Z36" s="78"/>
      <c r="AA36" s="78"/>
      <c r="AB36" t="s" s="79">
        <v>124</v>
      </c>
      <c r="AC36" t="s" s="79">
        <v>124</v>
      </c>
      <c r="AD36" t="s" s="82">
        <v>125</v>
      </c>
      <c r="AE36" s="67"/>
    </row>
    <row r="37" ht="15" customHeight="1">
      <c r="A37" t="s" s="86">
        <v>30</v>
      </c>
      <c r="B37" s="69">
        <v>63.6</v>
      </c>
      <c r="C37" t="b" s="70">
        <v>0</v>
      </c>
      <c r="D37" s="71"/>
      <c r="E37" t="s" s="72">
        <v>1063</v>
      </c>
      <c r="F37" t="s" s="72">
        <v>144</v>
      </c>
      <c r="G37" s="73">
        <v>29</v>
      </c>
      <c r="H37" t="s" s="72">
        <v>118</v>
      </c>
      <c r="I37" t="s" s="72">
        <v>118</v>
      </c>
      <c r="J37" s="73">
        <v>25</v>
      </c>
      <c r="K37" t="s" s="72">
        <v>128</v>
      </c>
      <c r="L37" t="s" s="72">
        <v>121</v>
      </c>
      <c r="M37" s="71"/>
      <c r="N37" s="71"/>
      <c r="O37" s="71"/>
      <c r="P37" s="73">
        <v>2</v>
      </c>
      <c r="Q37" s="74">
        <v>6</v>
      </c>
      <c r="R37" s="74">
        <v>5.75</v>
      </c>
      <c r="S37" s="73">
        <v>0</v>
      </c>
      <c r="T37" s="73">
        <v>0</v>
      </c>
      <c r="U37" t="s" s="72">
        <v>122</v>
      </c>
      <c r="V37" s="73">
        <v>25</v>
      </c>
      <c r="W37" s="74">
        <v>5.96</v>
      </c>
      <c r="X37" s="74">
        <v>6.38</v>
      </c>
      <c r="Y37" s="73">
        <v>3</v>
      </c>
      <c r="Z37" s="73">
        <v>4</v>
      </c>
      <c r="AA37" t="s" s="72">
        <v>123</v>
      </c>
      <c r="AB37" t="s" s="72">
        <v>124</v>
      </c>
      <c r="AC37" t="s" s="72">
        <v>124</v>
      </c>
      <c r="AD37" t="s" s="75">
        <v>125</v>
      </c>
      <c r="AE37" s="67"/>
    </row>
    <row r="38" ht="15" customHeight="1">
      <c r="A38" t="s" s="86">
        <v>30</v>
      </c>
      <c r="B38" s="76">
        <v>63</v>
      </c>
      <c r="C38" t="b" s="77">
        <v>0</v>
      </c>
      <c r="D38" t="s" s="85">
        <v>161</v>
      </c>
      <c r="E38" t="s" s="79">
        <v>1064</v>
      </c>
      <c r="F38" t="s" s="79">
        <v>144</v>
      </c>
      <c r="G38" s="80">
        <v>26</v>
      </c>
      <c r="H38" t="s" s="79">
        <v>118</v>
      </c>
      <c r="I38" t="s" s="79">
        <v>432</v>
      </c>
      <c r="J38" s="80">
        <v>25</v>
      </c>
      <c r="K38" t="s" s="79">
        <v>128</v>
      </c>
      <c r="L38" t="s" s="79">
        <v>121</v>
      </c>
      <c r="M38" s="78"/>
      <c r="N38" s="78"/>
      <c r="O38" s="78"/>
      <c r="P38" s="80">
        <v>2</v>
      </c>
      <c r="Q38" s="81">
        <v>5.5</v>
      </c>
      <c r="R38" s="81">
        <v>5.5</v>
      </c>
      <c r="S38" s="80">
        <v>0</v>
      </c>
      <c r="T38" s="80">
        <v>0</v>
      </c>
      <c r="U38" t="s" s="79">
        <v>122</v>
      </c>
      <c r="V38" s="80">
        <v>27</v>
      </c>
      <c r="W38" s="81">
        <v>5.7</v>
      </c>
      <c r="X38" s="81">
        <v>6.17</v>
      </c>
      <c r="Y38" s="80">
        <v>4</v>
      </c>
      <c r="Z38" s="80">
        <v>1</v>
      </c>
      <c r="AA38" t="s" s="79">
        <v>123</v>
      </c>
      <c r="AB38" t="s" s="79">
        <v>124</v>
      </c>
      <c r="AC38" t="s" s="79">
        <v>124</v>
      </c>
      <c r="AD38" t="s" s="82">
        <v>125</v>
      </c>
      <c r="AE38" s="67"/>
    </row>
    <row r="39" ht="15" customHeight="1">
      <c r="A39" t="s" s="86">
        <v>30</v>
      </c>
      <c r="B39" s="69">
        <v>62.1</v>
      </c>
      <c r="C39" t="b" s="70">
        <v>0</v>
      </c>
      <c r="D39" s="71"/>
      <c r="E39" t="s" s="72">
        <v>1065</v>
      </c>
      <c r="F39" t="s" s="72">
        <v>127</v>
      </c>
      <c r="G39" s="73">
        <v>43</v>
      </c>
      <c r="H39" t="s" s="72">
        <v>1049</v>
      </c>
      <c r="I39" t="s" s="72">
        <v>1049</v>
      </c>
      <c r="J39" s="73">
        <v>26</v>
      </c>
      <c r="K39" t="s" s="72">
        <v>128</v>
      </c>
      <c r="L39" t="s" s="72">
        <v>328</v>
      </c>
      <c r="M39" s="71"/>
      <c r="N39" s="71"/>
      <c r="O39" s="71"/>
      <c r="P39" s="73">
        <v>2</v>
      </c>
      <c r="Q39" s="74">
        <v>6.25</v>
      </c>
      <c r="R39" s="74">
        <v>7.75</v>
      </c>
      <c r="S39" s="73">
        <v>1</v>
      </c>
      <c r="T39" s="73">
        <v>0</v>
      </c>
      <c r="U39" t="s" s="72">
        <v>122</v>
      </c>
      <c r="V39" s="73">
        <v>13</v>
      </c>
      <c r="W39" s="74">
        <v>6</v>
      </c>
      <c r="X39" s="74">
        <v>6.77</v>
      </c>
      <c r="Y39" s="73">
        <v>3</v>
      </c>
      <c r="Z39" s="73">
        <v>1</v>
      </c>
      <c r="AA39" t="s" s="72">
        <v>123</v>
      </c>
      <c r="AB39" t="s" s="72">
        <v>124</v>
      </c>
      <c r="AC39" t="s" s="72">
        <v>124</v>
      </c>
      <c r="AD39" t="s" s="75">
        <v>125</v>
      </c>
      <c r="AE39" s="67"/>
    </row>
    <row r="40" ht="15" customHeight="1">
      <c r="A40" t="s" s="86">
        <v>30</v>
      </c>
      <c r="B40" s="76">
        <v>59.9</v>
      </c>
      <c r="C40" t="b" s="77">
        <v>0</v>
      </c>
      <c r="D40" t="s" s="85">
        <v>191</v>
      </c>
      <c r="E40" t="s" s="79">
        <v>1066</v>
      </c>
      <c r="F40" t="s" s="79">
        <v>183</v>
      </c>
      <c r="G40" s="80">
        <v>24</v>
      </c>
      <c r="H40" t="s" s="79">
        <v>118</v>
      </c>
      <c r="I40" t="s" s="79">
        <v>745</v>
      </c>
      <c r="J40" s="80">
        <v>26</v>
      </c>
      <c r="K40" t="s" s="79">
        <v>1067</v>
      </c>
      <c r="L40" t="s" s="79">
        <v>154</v>
      </c>
      <c r="M40" s="78"/>
      <c r="N40" t="s" s="79">
        <v>272</v>
      </c>
      <c r="O40" s="78"/>
      <c r="P40" s="80">
        <v>2</v>
      </c>
      <c r="Q40" s="81">
        <v>6.25</v>
      </c>
      <c r="R40" s="81">
        <v>6.25</v>
      </c>
      <c r="S40" s="80">
        <v>0</v>
      </c>
      <c r="T40" s="80">
        <v>0</v>
      </c>
      <c r="U40" t="s" s="79">
        <v>122</v>
      </c>
      <c r="V40" s="78"/>
      <c r="W40" s="78"/>
      <c r="X40" s="78"/>
      <c r="Y40" s="78"/>
      <c r="Z40" s="78"/>
      <c r="AA40" s="78"/>
      <c r="AB40" t="s" s="79">
        <v>124</v>
      </c>
      <c r="AC40" t="s" s="79">
        <v>124</v>
      </c>
      <c r="AD40" t="s" s="82">
        <v>125</v>
      </c>
      <c r="AE40" s="67"/>
    </row>
    <row r="41" ht="15" customHeight="1">
      <c r="A41" t="s" s="86">
        <v>30</v>
      </c>
      <c r="B41" s="69">
        <v>59.3</v>
      </c>
      <c r="C41" t="b" s="70">
        <v>0</v>
      </c>
      <c r="D41" s="71"/>
      <c r="E41" t="s" s="72">
        <v>1068</v>
      </c>
      <c r="F41" t="s" s="72">
        <v>153</v>
      </c>
      <c r="G41" s="73">
        <v>41</v>
      </c>
      <c r="H41" t="s" s="72">
        <v>175</v>
      </c>
      <c r="I41" t="s" s="72">
        <v>758</v>
      </c>
      <c r="J41" s="73">
        <v>29</v>
      </c>
      <c r="K41" t="s" s="72">
        <v>277</v>
      </c>
      <c r="L41" t="s" s="72">
        <v>154</v>
      </c>
      <c r="M41" s="71"/>
      <c r="N41" t="s" s="72">
        <v>311</v>
      </c>
      <c r="O41" s="71"/>
      <c r="P41" s="73">
        <v>0</v>
      </c>
      <c r="Q41" s="74">
        <v>0</v>
      </c>
      <c r="R41" s="74">
        <v>0</v>
      </c>
      <c r="S41" s="73">
        <v>0</v>
      </c>
      <c r="T41" s="73">
        <v>0</v>
      </c>
      <c r="U41" t="s" s="72">
        <v>122</v>
      </c>
      <c r="V41" s="73">
        <v>16</v>
      </c>
      <c r="W41" s="74">
        <v>6.16</v>
      </c>
      <c r="X41" s="74">
        <v>6.81</v>
      </c>
      <c r="Y41" s="73">
        <v>3</v>
      </c>
      <c r="Z41" s="73">
        <v>3</v>
      </c>
      <c r="AA41" t="s" s="72">
        <v>123</v>
      </c>
      <c r="AB41" t="s" s="72">
        <v>124</v>
      </c>
      <c r="AC41" t="s" s="72">
        <v>124</v>
      </c>
      <c r="AD41" t="s" s="75">
        <v>125</v>
      </c>
      <c r="AE41" s="67"/>
    </row>
    <row r="42" ht="15" customHeight="1">
      <c r="A42" t="s" s="86">
        <v>30</v>
      </c>
      <c r="B42" s="76">
        <v>59.3</v>
      </c>
      <c r="C42" t="b" s="77">
        <v>0</v>
      </c>
      <c r="D42" t="s" s="85">
        <v>161</v>
      </c>
      <c r="E42" t="s" s="79">
        <v>1069</v>
      </c>
      <c r="F42" t="s" s="79">
        <v>138</v>
      </c>
      <c r="G42" s="80">
        <v>34</v>
      </c>
      <c r="H42" t="s" s="79">
        <v>1070</v>
      </c>
      <c r="I42" t="s" s="79">
        <v>1071</v>
      </c>
      <c r="J42" s="80">
        <v>29</v>
      </c>
      <c r="K42" t="s" s="79">
        <v>1072</v>
      </c>
      <c r="L42" t="s" s="79">
        <v>121</v>
      </c>
      <c r="M42" s="78"/>
      <c r="N42" s="78"/>
      <c r="O42" s="78"/>
      <c r="P42" s="80">
        <v>2</v>
      </c>
      <c r="Q42" s="81">
        <v>5.5</v>
      </c>
      <c r="R42" s="81">
        <v>5.5</v>
      </c>
      <c r="S42" s="80">
        <v>0</v>
      </c>
      <c r="T42" s="80">
        <v>0</v>
      </c>
      <c r="U42" t="s" s="79">
        <v>122</v>
      </c>
      <c r="V42" s="80">
        <v>13</v>
      </c>
      <c r="W42" s="81">
        <v>6.15</v>
      </c>
      <c r="X42" s="81">
        <v>7.12</v>
      </c>
      <c r="Y42" s="80">
        <v>4</v>
      </c>
      <c r="Z42" s="80">
        <v>1</v>
      </c>
      <c r="AA42" t="s" s="79">
        <v>123</v>
      </c>
      <c r="AB42" t="s" s="79">
        <v>124</v>
      </c>
      <c r="AC42" t="s" s="79">
        <v>124</v>
      </c>
      <c r="AD42" t="s" s="82">
        <v>125</v>
      </c>
      <c r="AE42" s="67"/>
    </row>
    <row r="43" ht="15" customHeight="1">
      <c r="A43" t="s" s="86">
        <v>30</v>
      </c>
      <c r="B43" s="69">
        <v>58.8</v>
      </c>
      <c r="C43" t="b" s="70">
        <v>0</v>
      </c>
      <c r="D43" s="71"/>
      <c r="E43" t="s" s="72">
        <v>1073</v>
      </c>
      <c r="F43" t="s" s="72">
        <v>163</v>
      </c>
      <c r="G43" s="73">
        <v>42</v>
      </c>
      <c r="H43" t="s" s="72">
        <v>175</v>
      </c>
      <c r="I43" t="s" s="72">
        <v>175</v>
      </c>
      <c r="J43" s="73">
        <v>35</v>
      </c>
      <c r="K43" t="s" s="72">
        <v>230</v>
      </c>
      <c r="L43" t="s" s="72">
        <v>121</v>
      </c>
      <c r="M43" s="71"/>
      <c r="N43" s="71"/>
      <c r="O43" s="71"/>
      <c r="P43" s="73">
        <v>0</v>
      </c>
      <c r="Q43" s="74">
        <v>0</v>
      </c>
      <c r="R43" s="74">
        <v>0</v>
      </c>
      <c r="S43" s="73">
        <v>0</v>
      </c>
      <c r="T43" s="73">
        <v>0</v>
      </c>
      <c r="U43" t="s" s="72">
        <v>122</v>
      </c>
      <c r="V43" s="73">
        <v>23</v>
      </c>
      <c r="W43" s="74">
        <v>5.89</v>
      </c>
      <c r="X43" s="74">
        <v>6.2</v>
      </c>
      <c r="Y43" s="73">
        <v>3</v>
      </c>
      <c r="Z43" s="73">
        <v>1</v>
      </c>
      <c r="AA43" t="s" s="72">
        <v>670</v>
      </c>
      <c r="AB43" t="s" s="72">
        <v>124</v>
      </c>
      <c r="AC43" t="s" s="72">
        <v>124</v>
      </c>
      <c r="AD43" t="s" s="75">
        <v>125</v>
      </c>
      <c r="AE43" s="67"/>
    </row>
    <row r="44" ht="15" customHeight="1">
      <c r="A44" t="s" s="86">
        <v>30</v>
      </c>
      <c r="B44" s="76">
        <v>58.2</v>
      </c>
      <c r="C44" t="b" s="77">
        <v>0</v>
      </c>
      <c r="D44" s="78"/>
      <c r="E44" t="s" s="79">
        <v>441</v>
      </c>
      <c r="F44" t="s" s="79">
        <v>141</v>
      </c>
      <c r="G44" s="80">
        <v>38</v>
      </c>
      <c r="H44" t="s" s="79">
        <v>175</v>
      </c>
      <c r="I44" t="s" s="79">
        <v>203</v>
      </c>
      <c r="J44" s="80">
        <v>20</v>
      </c>
      <c r="K44" t="s" s="79">
        <v>136</v>
      </c>
      <c r="L44" t="s" s="79">
        <v>121</v>
      </c>
      <c r="M44" s="78"/>
      <c r="N44" s="78"/>
      <c r="O44" s="78"/>
      <c r="P44" s="80">
        <v>1</v>
      </c>
      <c r="Q44" s="81">
        <v>5</v>
      </c>
      <c r="R44" s="81">
        <v>5</v>
      </c>
      <c r="S44" s="80">
        <v>0</v>
      </c>
      <c r="T44" s="80">
        <v>0</v>
      </c>
      <c r="U44" t="s" s="79">
        <v>122</v>
      </c>
      <c r="V44" s="80">
        <v>28</v>
      </c>
      <c r="W44" s="81">
        <v>6.29</v>
      </c>
      <c r="X44" s="81">
        <v>6.7</v>
      </c>
      <c r="Y44" s="80">
        <v>2</v>
      </c>
      <c r="Z44" s="80">
        <v>8</v>
      </c>
      <c r="AA44" t="s" s="79">
        <v>123</v>
      </c>
      <c r="AB44" t="s" s="79">
        <v>124</v>
      </c>
      <c r="AC44" t="s" s="79">
        <v>124</v>
      </c>
      <c r="AD44" t="s" s="82">
        <v>125</v>
      </c>
      <c r="AE44" s="67"/>
    </row>
    <row r="45" ht="15" customHeight="1">
      <c r="A45" t="s" s="86">
        <v>30</v>
      </c>
      <c r="B45" s="69">
        <v>56.6</v>
      </c>
      <c r="C45" t="b" s="70">
        <v>0</v>
      </c>
      <c r="D45" t="s" s="84">
        <v>161</v>
      </c>
      <c r="E45" t="s" s="72">
        <v>1074</v>
      </c>
      <c r="F45" t="s" s="72">
        <v>134</v>
      </c>
      <c r="G45" s="73">
        <v>31</v>
      </c>
      <c r="H45" t="s" s="72">
        <v>175</v>
      </c>
      <c r="I45" t="s" s="72">
        <v>754</v>
      </c>
      <c r="J45" s="73">
        <v>22</v>
      </c>
      <c r="K45" t="s" s="72">
        <v>636</v>
      </c>
      <c r="L45" t="s" s="72">
        <v>121</v>
      </c>
      <c r="M45" s="71"/>
      <c r="N45" s="71"/>
      <c r="O45" s="71"/>
      <c r="P45" s="73">
        <v>1</v>
      </c>
      <c r="Q45" s="74">
        <v>6</v>
      </c>
      <c r="R45" s="74">
        <v>6</v>
      </c>
      <c r="S45" s="73">
        <v>0</v>
      </c>
      <c r="T45" s="73">
        <v>0</v>
      </c>
      <c r="U45" t="s" s="72">
        <v>122</v>
      </c>
      <c r="V45" s="73">
        <v>28</v>
      </c>
      <c r="W45" s="74">
        <v>6.09</v>
      </c>
      <c r="X45" s="74">
        <v>6.75</v>
      </c>
      <c r="Y45" s="73">
        <v>5</v>
      </c>
      <c r="Z45" s="73">
        <v>4</v>
      </c>
      <c r="AA45" t="s" s="72">
        <v>123</v>
      </c>
      <c r="AB45" t="s" s="72">
        <v>124</v>
      </c>
      <c r="AC45" t="s" s="72">
        <v>124</v>
      </c>
      <c r="AD45" t="s" s="75">
        <v>125</v>
      </c>
      <c r="AE45" s="67"/>
    </row>
    <row r="46" ht="15" customHeight="1">
      <c r="A46" t="s" s="86">
        <v>30</v>
      </c>
      <c r="B46" s="76">
        <v>56.5</v>
      </c>
      <c r="C46" t="b" s="77">
        <v>0</v>
      </c>
      <c r="D46" s="78"/>
      <c r="E46" t="s" s="79">
        <v>1075</v>
      </c>
      <c r="F46" t="s" s="79">
        <v>153</v>
      </c>
      <c r="G46" s="80">
        <v>34</v>
      </c>
      <c r="H46" t="s" s="79">
        <v>175</v>
      </c>
      <c r="I46" t="s" s="79">
        <v>175</v>
      </c>
      <c r="J46" s="80">
        <v>27</v>
      </c>
      <c r="K46" t="s" s="79">
        <v>416</v>
      </c>
      <c r="L46" t="s" s="79">
        <v>121</v>
      </c>
      <c r="M46" s="78"/>
      <c r="N46" s="78"/>
      <c r="O46" s="78"/>
      <c r="P46" s="80">
        <v>2</v>
      </c>
      <c r="Q46" s="81">
        <v>5.5</v>
      </c>
      <c r="R46" s="81">
        <v>5.5</v>
      </c>
      <c r="S46" s="80">
        <v>0</v>
      </c>
      <c r="T46" s="80">
        <v>0</v>
      </c>
      <c r="U46" t="s" s="79">
        <v>122</v>
      </c>
      <c r="V46" s="80">
        <v>14</v>
      </c>
      <c r="W46" s="81">
        <v>5.96</v>
      </c>
      <c r="X46" s="81">
        <v>6.25</v>
      </c>
      <c r="Y46" s="80">
        <v>1</v>
      </c>
      <c r="Z46" s="80">
        <v>2</v>
      </c>
      <c r="AA46" t="s" s="79">
        <v>123</v>
      </c>
      <c r="AB46" t="s" s="79">
        <v>124</v>
      </c>
      <c r="AC46" t="s" s="79">
        <v>124</v>
      </c>
      <c r="AD46" t="s" s="82">
        <v>125</v>
      </c>
      <c r="AE46" s="67"/>
    </row>
    <row r="47" ht="15" customHeight="1">
      <c r="A47" t="s" s="86">
        <v>30</v>
      </c>
      <c r="B47" s="69">
        <v>56.1</v>
      </c>
      <c r="C47" t="b" s="70">
        <v>0</v>
      </c>
      <c r="D47" s="71"/>
      <c r="E47" t="s" s="72">
        <v>1076</v>
      </c>
      <c r="F47" t="s" s="72">
        <v>168</v>
      </c>
      <c r="G47" s="73">
        <v>27</v>
      </c>
      <c r="H47" t="s" s="72">
        <v>175</v>
      </c>
      <c r="I47" t="s" s="72">
        <v>176</v>
      </c>
      <c r="J47" s="73">
        <v>24</v>
      </c>
      <c r="K47" t="s" s="72">
        <v>1077</v>
      </c>
      <c r="L47" t="s" s="72">
        <v>121</v>
      </c>
      <c r="M47" s="71"/>
      <c r="N47" s="71"/>
      <c r="O47" s="71"/>
      <c r="P47" s="73">
        <v>2</v>
      </c>
      <c r="Q47" s="74">
        <v>5.25</v>
      </c>
      <c r="R47" s="74">
        <v>5.25</v>
      </c>
      <c r="S47" s="73">
        <v>0</v>
      </c>
      <c r="T47" s="73">
        <v>0</v>
      </c>
      <c r="U47" t="s" s="72">
        <v>122</v>
      </c>
      <c r="V47" s="73">
        <v>31</v>
      </c>
      <c r="W47" s="74">
        <v>5.61</v>
      </c>
      <c r="X47" s="74">
        <v>5.98</v>
      </c>
      <c r="Y47" s="73">
        <v>4</v>
      </c>
      <c r="Z47" s="73">
        <v>0</v>
      </c>
      <c r="AA47" t="s" s="72">
        <v>291</v>
      </c>
      <c r="AB47" t="s" s="72">
        <v>124</v>
      </c>
      <c r="AC47" t="s" s="72">
        <v>124</v>
      </c>
      <c r="AD47" t="s" s="75">
        <v>125</v>
      </c>
      <c r="AE47" s="67"/>
    </row>
    <row r="48" ht="15" customHeight="1">
      <c r="A48" t="s" s="86">
        <v>30</v>
      </c>
      <c r="B48" s="76">
        <v>53.1</v>
      </c>
      <c r="C48" t="b" s="77">
        <v>0</v>
      </c>
      <c r="D48" t="s" s="85">
        <v>161</v>
      </c>
      <c r="E48" t="s" s="79">
        <v>1078</v>
      </c>
      <c r="F48" t="s" s="79">
        <v>138</v>
      </c>
      <c r="G48" s="80">
        <v>32</v>
      </c>
      <c r="H48" t="s" s="79">
        <v>1079</v>
      </c>
      <c r="I48" t="s" s="79">
        <v>1080</v>
      </c>
      <c r="J48" s="80">
        <v>18</v>
      </c>
      <c r="K48" t="s" s="79">
        <v>508</v>
      </c>
      <c r="L48" t="s" s="79">
        <v>328</v>
      </c>
      <c r="M48" s="78"/>
      <c r="N48" s="78"/>
      <c r="O48" s="78"/>
      <c r="P48" s="80">
        <v>1</v>
      </c>
      <c r="Q48" s="81">
        <v>5.5</v>
      </c>
      <c r="R48" s="81">
        <v>5.5</v>
      </c>
      <c r="S48" s="80">
        <v>0</v>
      </c>
      <c r="T48" s="80">
        <v>0</v>
      </c>
      <c r="U48" t="s" s="79">
        <v>122</v>
      </c>
      <c r="V48" s="78"/>
      <c r="W48" s="78"/>
      <c r="X48" s="78"/>
      <c r="Y48" s="78"/>
      <c r="Z48" s="78"/>
      <c r="AA48" s="78"/>
      <c r="AB48" t="s" s="79">
        <v>124</v>
      </c>
      <c r="AC48" t="s" s="79">
        <v>124</v>
      </c>
      <c r="AD48" t="s" s="82">
        <v>125</v>
      </c>
      <c r="AE48" s="67"/>
    </row>
    <row r="49" ht="15" customHeight="1">
      <c r="A49" t="s" s="86">
        <v>30</v>
      </c>
      <c r="B49" s="69">
        <v>51.7</v>
      </c>
      <c r="C49" t="b" s="70">
        <v>0</v>
      </c>
      <c r="D49" t="s" s="84">
        <v>161</v>
      </c>
      <c r="E49" t="s" s="72">
        <v>1081</v>
      </c>
      <c r="F49" t="s" s="72">
        <v>172</v>
      </c>
      <c r="G49" s="73">
        <v>25</v>
      </c>
      <c r="H49" t="s" s="72">
        <v>1082</v>
      </c>
      <c r="I49" t="s" s="72">
        <v>1083</v>
      </c>
      <c r="J49" s="73">
        <v>23</v>
      </c>
      <c r="K49" t="s" s="72">
        <v>484</v>
      </c>
      <c r="L49" t="s" s="72">
        <v>154</v>
      </c>
      <c r="M49" s="71"/>
      <c r="N49" s="71"/>
      <c r="O49" s="71"/>
      <c r="P49" s="73">
        <v>2</v>
      </c>
      <c r="Q49" s="74">
        <v>5.5</v>
      </c>
      <c r="R49" s="74">
        <v>5.5</v>
      </c>
      <c r="S49" s="73">
        <v>0</v>
      </c>
      <c r="T49" s="73">
        <v>0</v>
      </c>
      <c r="U49" t="s" s="72">
        <v>122</v>
      </c>
      <c r="V49" s="73">
        <v>14</v>
      </c>
      <c r="W49" s="74">
        <v>5.89</v>
      </c>
      <c r="X49" s="74">
        <v>6.71</v>
      </c>
      <c r="Y49" s="73">
        <v>4</v>
      </c>
      <c r="Z49" s="73">
        <v>0</v>
      </c>
      <c r="AA49" t="s" s="72">
        <v>123</v>
      </c>
      <c r="AB49" t="s" s="72">
        <v>124</v>
      </c>
      <c r="AC49" t="s" s="72">
        <v>124</v>
      </c>
      <c r="AD49" t="s" s="75">
        <v>125</v>
      </c>
      <c r="AE49" s="67"/>
    </row>
    <row r="50" ht="15" customHeight="1">
      <c r="A50" t="s" s="86">
        <v>30</v>
      </c>
      <c r="B50" s="76">
        <v>51.2</v>
      </c>
      <c r="C50" t="b" s="77">
        <v>0</v>
      </c>
      <c r="D50" s="78"/>
      <c r="E50" t="s" s="79">
        <v>1084</v>
      </c>
      <c r="F50" t="s" s="79">
        <v>187</v>
      </c>
      <c r="G50" s="80">
        <v>24</v>
      </c>
      <c r="H50" t="s" s="79">
        <v>175</v>
      </c>
      <c r="I50" t="s" s="79">
        <v>176</v>
      </c>
      <c r="J50" s="80">
        <v>28</v>
      </c>
      <c r="K50" t="s" s="79">
        <v>128</v>
      </c>
      <c r="L50" t="s" s="79">
        <v>121</v>
      </c>
      <c r="M50" s="78"/>
      <c r="N50" s="78"/>
      <c r="O50" s="78"/>
      <c r="P50" s="80">
        <v>2</v>
      </c>
      <c r="Q50" s="81">
        <v>6</v>
      </c>
      <c r="R50" s="81">
        <v>6</v>
      </c>
      <c r="S50" s="80">
        <v>0</v>
      </c>
      <c r="T50" s="80">
        <v>0</v>
      </c>
      <c r="U50" t="s" s="79">
        <v>122</v>
      </c>
      <c r="V50" s="80">
        <v>15</v>
      </c>
      <c r="W50" s="81">
        <v>5.73</v>
      </c>
      <c r="X50" s="81">
        <v>5.93</v>
      </c>
      <c r="Y50" s="80">
        <v>1</v>
      </c>
      <c r="Z50" s="80">
        <v>0</v>
      </c>
      <c r="AA50" t="s" s="79">
        <v>123</v>
      </c>
      <c r="AB50" t="s" s="79">
        <v>124</v>
      </c>
      <c r="AC50" t="s" s="79">
        <v>124</v>
      </c>
      <c r="AD50" t="s" s="82">
        <v>125</v>
      </c>
      <c r="AE50" s="67"/>
    </row>
    <row r="51" ht="15" customHeight="1">
      <c r="A51" t="s" s="86">
        <v>30</v>
      </c>
      <c r="B51" s="69">
        <v>50</v>
      </c>
      <c r="C51" t="b" s="70">
        <v>0</v>
      </c>
      <c r="D51" t="s" s="84">
        <v>161</v>
      </c>
      <c r="E51" t="s" s="72">
        <v>1085</v>
      </c>
      <c r="F51" t="s" s="72">
        <v>187</v>
      </c>
      <c r="G51" s="73">
        <v>22</v>
      </c>
      <c r="H51" t="s" s="72">
        <v>164</v>
      </c>
      <c r="I51" t="s" s="72">
        <v>1086</v>
      </c>
      <c r="J51" s="73">
        <v>21</v>
      </c>
      <c r="K51" t="s" s="72">
        <v>325</v>
      </c>
      <c r="L51" t="s" s="72">
        <v>121</v>
      </c>
      <c r="M51" s="71"/>
      <c r="N51" s="71"/>
      <c r="O51" t="s" s="88">
        <v>268</v>
      </c>
      <c r="P51" s="73">
        <v>2</v>
      </c>
      <c r="Q51" s="74">
        <v>7</v>
      </c>
      <c r="R51" s="74">
        <v>10</v>
      </c>
      <c r="S51" s="73">
        <v>2</v>
      </c>
      <c r="T51" s="73">
        <v>0</v>
      </c>
      <c r="U51" t="s" s="72">
        <v>122</v>
      </c>
      <c r="V51" s="71"/>
      <c r="W51" s="71"/>
      <c r="X51" s="71"/>
      <c r="Y51" s="71"/>
      <c r="Z51" s="71"/>
      <c r="AA51" s="71"/>
      <c r="AB51" t="s" s="72">
        <v>124</v>
      </c>
      <c r="AC51" t="s" s="72">
        <v>124</v>
      </c>
      <c r="AD51" t="s" s="75">
        <v>125</v>
      </c>
      <c r="AE51" s="67"/>
    </row>
    <row r="52" ht="15" customHeight="1">
      <c r="A52" t="s" s="86">
        <v>30</v>
      </c>
      <c r="B52" s="76">
        <v>49.9</v>
      </c>
      <c r="C52" t="b" s="77">
        <v>0</v>
      </c>
      <c r="D52" t="s" s="85">
        <v>161</v>
      </c>
      <c r="E52" t="s" s="79">
        <v>1087</v>
      </c>
      <c r="F52" t="s" s="79">
        <v>170</v>
      </c>
      <c r="G52" s="80">
        <v>21</v>
      </c>
      <c r="H52" t="s" s="79">
        <v>1088</v>
      </c>
      <c r="I52" t="s" s="79">
        <v>1089</v>
      </c>
      <c r="J52" s="80">
        <v>21</v>
      </c>
      <c r="K52" t="s" s="79">
        <v>1090</v>
      </c>
      <c r="L52" t="s" s="79">
        <v>121</v>
      </c>
      <c r="M52" s="78"/>
      <c r="N52" s="78"/>
      <c r="O52" s="78"/>
      <c r="P52" s="80">
        <v>1</v>
      </c>
      <c r="Q52" s="81">
        <v>7</v>
      </c>
      <c r="R52" s="81">
        <v>7</v>
      </c>
      <c r="S52" s="80">
        <v>0</v>
      </c>
      <c r="T52" s="80">
        <v>0</v>
      </c>
      <c r="U52" t="s" s="79">
        <v>122</v>
      </c>
      <c r="V52" s="80">
        <v>11</v>
      </c>
      <c r="W52" s="81">
        <v>5.86</v>
      </c>
      <c r="X52" s="81">
        <v>6.18</v>
      </c>
      <c r="Y52" s="80">
        <v>1</v>
      </c>
      <c r="Z52" s="80">
        <v>1</v>
      </c>
      <c r="AA52" t="s" s="79">
        <v>123</v>
      </c>
      <c r="AB52" t="s" s="79">
        <v>124</v>
      </c>
      <c r="AC52" t="s" s="79">
        <v>124</v>
      </c>
      <c r="AD52" t="s" s="82">
        <v>125</v>
      </c>
      <c r="AE52" s="67"/>
    </row>
    <row r="53" ht="15" customHeight="1">
      <c r="A53" t="s" s="86">
        <v>30</v>
      </c>
      <c r="B53" s="69">
        <v>49.3</v>
      </c>
      <c r="C53" t="b" s="70">
        <v>0</v>
      </c>
      <c r="D53" s="71"/>
      <c r="E53" t="s" s="72">
        <v>1091</v>
      </c>
      <c r="F53" t="s" s="72">
        <v>153</v>
      </c>
      <c r="G53" s="73">
        <v>28</v>
      </c>
      <c r="H53" t="s" s="72">
        <v>175</v>
      </c>
      <c r="I53" t="s" s="72">
        <v>175</v>
      </c>
      <c r="J53" s="73">
        <v>25</v>
      </c>
      <c r="K53" t="s" s="72">
        <v>128</v>
      </c>
      <c r="L53" t="s" s="72">
        <v>121</v>
      </c>
      <c r="M53" s="71"/>
      <c r="N53" s="71"/>
      <c r="O53" s="71"/>
      <c r="P53" s="73">
        <v>1</v>
      </c>
      <c r="Q53" s="74">
        <v>6.5</v>
      </c>
      <c r="R53" s="74">
        <v>6.5</v>
      </c>
      <c r="S53" s="73">
        <v>0</v>
      </c>
      <c r="T53" s="73">
        <v>0</v>
      </c>
      <c r="U53" t="s" s="72">
        <v>122</v>
      </c>
      <c r="V53" s="73">
        <v>9</v>
      </c>
      <c r="W53" s="74">
        <v>5.61</v>
      </c>
      <c r="X53" s="74">
        <v>5.89</v>
      </c>
      <c r="Y53" s="73">
        <v>1</v>
      </c>
      <c r="Z53" s="73">
        <v>0</v>
      </c>
      <c r="AA53" t="s" s="72">
        <v>123</v>
      </c>
      <c r="AB53" t="s" s="72">
        <v>124</v>
      </c>
      <c r="AC53" t="s" s="72">
        <v>124</v>
      </c>
      <c r="AD53" t="s" s="75">
        <v>125</v>
      </c>
      <c r="AE53" s="67"/>
    </row>
    <row r="54" ht="15" customHeight="1">
      <c r="A54" t="s" s="86">
        <v>30</v>
      </c>
      <c r="B54" s="76">
        <v>47.4</v>
      </c>
      <c r="C54" t="b" s="77">
        <v>0</v>
      </c>
      <c r="D54" s="78"/>
      <c r="E54" t="s" s="79">
        <v>1092</v>
      </c>
      <c r="F54" t="s" s="79">
        <v>147</v>
      </c>
      <c r="G54" s="80">
        <v>24</v>
      </c>
      <c r="H54" t="s" s="79">
        <v>175</v>
      </c>
      <c r="I54" t="s" s="79">
        <v>175</v>
      </c>
      <c r="J54" s="80">
        <v>26</v>
      </c>
      <c r="K54" t="s" s="79">
        <v>128</v>
      </c>
      <c r="L54" t="s" s="79">
        <v>121</v>
      </c>
      <c r="M54" s="78"/>
      <c r="N54" s="78"/>
      <c r="O54" s="78"/>
      <c r="P54" s="80">
        <v>1</v>
      </c>
      <c r="Q54" s="81">
        <v>6</v>
      </c>
      <c r="R54" s="81">
        <v>6</v>
      </c>
      <c r="S54" s="80">
        <v>0</v>
      </c>
      <c r="T54" s="80">
        <v>0</v>
      </c>
      <c r="U54" t="s" s="79">
        <v>122</v>
      </c>
      <c r="V54" s="80">
        <v>26</v>
      </c>
      <c r="W54" s="81">
        <v>5.94</v>
      </c>
      <c r="X54" s="81">
        <v>6.48</v>
      </c>
      <c r="Y54" s="80">
        <v>5</v>
      </c>
      <c r="Z54" s="80">
        <v>1</v>
      </c>
      <c r="AA54" t="s" s="79">
        <v>123</v>
      </c>
      <c r="AB54" t="s" s="79">
        <v>124</v>
      </c>
      <c r="AC54" t="s" s="79">
        <v>124</v>
      </c>
      <c r="AD54" t="s" s="82">
        <v>125</v>
      </c>
      <c r="AE54" s="67"/>
    </row>
    <row r="55" ht="15" customHeight="1">
      <c r="A55" t="s" s="86">
        <v>30</v>
      </c>
      <c r="B55" s="69">
        <v>46.9</v>
      </c>
      <c r="C55" t="b" s="70">
        <v>0</v>
      </c>
      <c r="D55" t="s" s="84">
        <v>191</v>
      </c>
      <c r="E55" t="s" s="72">
        <v>1093</v>
      </c>
      <c r="F55" t="s" s="72">
        <v>180</v>
      </c>
      <c r="G55" s="73">
        <v>24</v>
      </c>
      <c r="H55" t="s" s="72">
        <v>1094</v>
      </c>
      <c r="I55" t="s" s="72">
        <v>1095</v>
      </c>
      <c r="J55" s="73">
        <v>23</v>
      </c>
      <c r="K55" t="s" s="72">
        <v>1096</v>
      </c>
      <c r="L55" t="s" s="72">
        <v>154</v>
      </c>
      <c r="M55" s="71"/>
      <c r="N55" t="s" s="72">
        <v>311</v>
      </c>
      <c r="O55" s="71"/>
      <c r="P55" s="73">
        <v>0</v>
      </c>
      <c r="Q55" s="74">
        <v>0</v>
      </c>
      <c r="R55" s="74">
        <v>0</v>
      </c>
      <c r="S55" s="73">
        <v>0</v>
      </c>
      <c r="T55" s="73">
        <v>0</v>
      </c>
      <c r="U55" t="s" s="72">
        <v>122</v>
      </c>
      <c r="V55" s="71"/>
      <c r="W55" s="71"/>
      <c r="X55" s="71"/>
      <c r="Y55" s="71"/>
      <c r="Z55" s="71"/>
      <c r="AA55" s="71"/>
      <c r="AB55" t="s" s="72">
        <v>124</v>
      </c>
      <c r="AC55" t="s" s="72">
        <v>124</v>
      </c>
      <c r="AD55" t="s" s="75">
        <v>125</v>
      </c>
      <c r="AE55" s="67"/>
    </row>
    <row r="56" ht="15" customHeight="1">
      <c r="A56" t="s" s="86">
        <v>30</v>
      </c>
      <c r="B56" s="76">
        <v>46.8</v>
      </c>
      <c r="C56" t="b" s="77">
        <v>0</v>
      </c>
      <c r="D56" s="78"/>
      <c r="E56" t="s" s="79">
        <v>1097</v>
      </c>
      <c r="F56" t="s" s="79">
        <v>170</v>
      </c>
      <c r="G56" s="80">
        <v>29</v>
      </c>
      <c r="H56" t="s" s="79">
        <v>1098</v>
      </c>
      <c r="I56" t="s" s="79">
        <v>1099</v>
      </c>
      <c r="J56" s="80">
        <v>22</v>
      </c>
      <c r="K56" t="s" s="79">
        <v>597</v>
      </c>
      <c r="L56" t="s" s="79">
        <v>121</v>
      </c>
      <c r="M56" s="78"/>
      <c r="N56" s="78"/>
      <c r="O56" s="78"/>
      <c r="P56" s="80">
        <v>0</v>
      </c>
      <c r="Q56" s="81">
        <v>0</v>
      </c>
      <c r="R56" s="81">
        <v>0</v>
      </c>
      <c r="S56" s="80">
        <v>0</v>
      </c>
      <c r="T56" s="80">
        <v>0</v>
      </c>
      <c r="U56" t="s" s="79">
        <v>122</v>
      </c>
      <c r="V56" s="78"/>
      <c r="W56" s="78"/>
      <c r="X56" s="78"/>
      <c r="Y56" s="78"/>
      <c r="Z56" s="78"/>
      <c r="AA56" s="78"/>
      <c r="AB56" t="s" s="79">
        <v>124</v>
      </c>
      <c r="AC56" t="s" s="79">
        <v>124</v>
      </c>
      <c r="AD56" t="s" s="82">
        <v>125</v>
      </c>
      <c r="AE56" s="67"/>
    </row>
    <row r="57" ht="15" customHeight="1">
      <c r="A57" t="s" s="86">
        <v>30</v>
      </c>
      <c r="B57" s="69">
        <v>46.4</v>
      </c>
      <c r="C57" t="b" s="70">
        <v>0</v>
      </c>
      <c r="D57" t="s" s="84">
        <v>178</v>
      </c>
      <c r="E57" t="s" s="72">
        <v>1100</v>
      </c>
      <c r="F57" t="s" s="72">
        <v>193</v>
      </c>
      <c r="G57" s="73">
        <v>19</v>
      </c>
      <c r="H57" t="s" s="72">
        <v>164</v>
      </c>
      <c r="I57" t="s" s="72">
        <v>165</v>
      </c>
      <c r="J57" s="73">
        <v>23</v>
      </c>
      <c r="K57" t="s" s="72">
        <v>316</v>
      </c>
      <c r="L57" t="s" s="72">
        <v>121</v>
      </c>
      <c r="M57" s="71"/>
      <c r="N57" s="71"/>
      <c r="O57" s="71"/>
      <c r="P57" s="73">
        <v>1</v>
      </c>
      <c r="Q57" s="74">
        <v>6.5</v>
      </c>
      <c r="R57" s="74">
        <v>6.5</v>
      </c>
      <c r="S57" s="73">
        <v>0</v>
      </c>
      <c r="T57" s="73">
        <v>0</v>
      </c>
      <c r="U57" t="s" s="72">
        <v>122</v>
      </c>
      <c r="V57" s="71"/>
      <c r="W57" s="71"/>
      <c r="X57" s="71"/>
      <c r="Y57" s="71"/>
      <c r="Z57" s="71"/>
      <c r="AA57" s="71"/>
      <c r="AB57" t="s" s="72">
        <v>124</v>
      </c>
      <c r="AC57" t="s" s="72">
        <v>124</v>
      </c>
      <c r="AD57" t="s" s="75">
        <v>125</v>
      </c>
      <c r="AE57" s="67"/>
    </row>
    <row r="58" ht="15" customHeight="1">
      <c r="A58" t="s" s="86">
        <v>30</v>
      </c>
      <c r="B58" s="76">
        <v>43.6</v>
      </c>
      <c r="C58" t="b" s="77">
        <v>0</v>
      </c>
      <c r="D58" t="s" s="85">
        <v>161</v>
      </c>
      <c r="E58" t="s" s="79">
        <v>1101</v>
      </c>
      <c r="F58" t="s" s="79">
        <v>183</v>
      </c>
      <c r="G58" s="80">
        <v>17</v>
      </c>
      <c r="H58" t="s" s="79">
        <v>118</v>
      </c>
      <c r="I58" t="s" s="79">
        <v>468</v>
      </c>
      <c r="J58" s="80">
        <v>26</v>
      </c>
      <c r="K58" t="s" s="79">
        <v>738</v>
      </c>
      <c r="L58" t="s" s="79">
        <v>121</v>
      </c>
      <c r="M58" s="78"/>
      <c r="N58" s="78"/>
      <c r="O58" s="78"/>
      <c r="P58" s="80">
        <v>2</v>
      </c>
      <c r="Q58" s="81">
        <v>5.5</v>
      </c>
      <c r="R58" s="81">
        <v>5.5</v>
      </c>
      <c r="S58" s="80">
        <v>0</v>
      </c>
      <c r="T58" s="80">
        <v>0</v>
      </c>
      <c r="U58" t="s" s="79">
        <v>122</v>
      </c>
      <c r="V58" s="78"/>
      <c r="W58" s="78"/>
      <c r="X58" s="78"/>
      <c r="Y58" s="78"/>
      <c r="Z58" s="78"/>
      <c r="AA58" s="78"/>
      <c r="AB58" t="s" s="79">
        <v>124</v>
      </c>
      <c r="AC58" t="s" s="79">
        <v>124</v>
      </c>
      <c r="AD58" t="s" s="82">
        <v>125</v>
      </c>
      <c r="AE58" s="67"/>
    </row>
    <row r="59" ht="15" customHeight="1">
      <c r="A59" t="s" s="86">
        <v>30</v>
      </c>
      <c r="B59" s="69">
        <v>43.2</v>
      </c>
      <c r="C59" t="b" s="70">
        <v>0</v>
      </c>
      <c r="D59" s="71"/>
      <c r="E59" t="s" s="72">
        <v>1102</v>
      </c>
      <c r="F59" t="s" s="72">
        <v>149</v>
      </c>
      <c r="G59" s="73">
        <v>23</v>
      </c>
      <c r="H59" t="s" s="72">
        <v>175</v>
      </c>
      <c r="I59" t="s" s="72">
        <v>175</v>
      </c>
      <c r="J59" s="73">
        <v>27</v>
      </c>
      <c r="K59" t="s" s="72">
        <v>157</v>
      </c>
      <c r="L59" t="s" s="72">
        <v>121</v>
      </c>
      <c r="M59" s="71"/>
      <c r="N59" s="71"/>
      <c r="O59" s="71"/>
      <c r="P59" s="73">
        <v>0</v>
      </c>
      <c r="Q59" s="74">
        <v>0</v>
      </c>
      <c r="R59" s="74">
        <v>0</v>
      </c>
      <c r="S59" s="73">
        <v>0</v>
      </c>
      <c r="T59" s="73">
        <v>0</v>
      </c>
      <c r="U59" t="s" s="72">
        <v>122</v>
      </c>
      <c r="V59" s="73">
        <v>23</v>
      </c>
      <c r="W59" s="74">
        <v>6.02</v>
      </c>
      <c r="X59" s="74">
        <v>6.5</v>
      </c>
      <c r="Y59" s="73">
        <v>4</v>
      </c>
      <c r="Z59" s="73">
        <v>2</v>
      </c>
      <c r="AA59" t="s" s="72">
        <v>123</v>
      </c>
      <c r="AB59" t="s" s="72">
        <v>124</v>
      </c>
      <c r="AC59" t="s" s="72">
        <v>124</v>
      </c>
      <c r="AD59" t="s" s="75">
        <v>125</v>
      </c>
      <c r="AE59" s="67"/>
    </row>
    <row r="60" ht="15" customHeight="1">
      <c r="A60" t="s" s="86">
        <v>30</v>
      </c>
      <c r="B60" s="76">
        <v>42.7</v>
      </c>
      <c r="C60" t="b" s="77">
        <v>0</v>
      </c>
      <c r="D60" s="78"/>
      <c r="E60" t="s" s="79">
        <v>1103</v>
      </c>
      <c r="F60" t="s" s="79">
        <v>144</v>
      </c>
      <c r="G60" s="80">
        <v>19</v>
      </c>
      <c r="H60" t="s" s="79">
        <v>175</v>
      </c>
      <c r="I60" t="s" s="79">
        <v>176</v>
      </c>
      <c r="J60" s="80">
        <v>29</v>
      </c>
      <c r="K60" t="s" s="79">
        <v>1104</v>
      </c>
      <c r="L60" t="s" s="79">
        <v>154</v>
      </c>
      <c r="M60" s="78"/>
      <c r="N60" s="78"/>
      <c r="O60" s="78"/>
      <c r="P60" s="80">
        <v>2</v>
      </c>
      <c r="Q60" s="81">
        <v>5.25</v>
      </c>
      <c r="R60" s="81">
        <v>5.25</v>
      </c>
      <c r="S60" s="80">
        <v>0</v>
      </c>
      <c r="T60" s="80">
        <v>0</v>
      </c>
      <c r="U60" t="s" s="79">
        <v>122</v>
      </c>
      <c r="V60" s="80">
        <v>12</v>
      </c>
      <c r="W60" s="81">
        <v>5.92</v>
      </c>
      <c r="X60" s="81">
        <v>6.75</v>
      </c>
      <c r="Y60" s="80">
        <v>3</v>
      </c>
      <c r="Z60" s="80">
        <v>1</v>
      </c>
      <c r="AA60" t="s" s="79">
        <v>123</v>
      </c>
      <c r="AB60" t="s" s="79">
        <v>124</v>
      </c>
      <c r="AC60" t="s" s="79">
        <v>124</v>
      </c>
      <c r="AD60" t="s" s="82">
        <v>125</v>
      </c>
      <c r="AE60" s="67"/>
    </row>
    <row r="61" ht="15" customHeight="1">
      <c r="A61" t="s" s="86">
        <v>30</v>
      </c>
      <c r="B61" s="69">
        <v>42.7</v>
      </c>
      <c r="C61" t="b" s="70">
        <v>0</v>
      </c>
      <c r="D61" t="s" s="84">
        <v>191</v>
      </c>
      <c r="E61" t="s" s="72">
        <v>1105</v>
      </c>
      <c r="F61" t="s" s="72">
        <v>193</v>
      </c>
      <c r="G61" s="73">
        <v>22</v>
      </c>
      <c r="H61" t="s" s="72">
        <v>175</v>
      </c>
      <c r="I61" t="s" s="72">
        <v>218</v>
      </c>
      <c r="J61" s="73">
        <v>25</v>
      </c>
      <c r="K61" t="s" s="72">
        <v>285</v>
      </c>
      <c r="L61" t="s" s="72">
        <v>154</v>
      </c>
      <c r="M61" s="71"/>
      <c r="N61" s="71"/>
      <c r="O61" s="71"/>
      <c r="P61" s="73">
        <v>0</v>
      </c>
      <c r="Q61" s="74">
        <v>0</v>
      </c>
      <c r="R61" s="74">
        <v>0</v>
      </c>
      <c r="S61" s="73">
        <v>0</v>
      </c>
      <c r="T61" s="73">
        <v>0</v>
      </c>
      <c r="U61" t="s" s="72">
        <v>122</v>
      </c>
      <c r="V61" s="73">
        <v>8</v>
      </c>
      <c r="W61" s="74">
        <v>6.12</v>
      </c>
      <c r="X61" s="74">
        <v>7</v>
      </c>
      <c r="Y61" s="73">
        <v>2</v>
      </c>
      <c r="Z61" s="73">
        <v>1</v>
      </c>
      <c r="AA61" t="s" s="72">
        <v>123</v>
      </c>
      <c r="AB61" t="s" s="72">
        <v>124</v>
      </c>
      <c r="AC61" t="s" s="72">
        <v>124</v>
      </c>
      <c r="AD61" t="s" s="75">
        <v>125</v>
      </c>
      <c r="AE61" s="67"/>
    </row>
    <row r="62" ht="15" customHeight="1">
      <c r="A62" t="s" s="86">
        <v>30</v>
      </c>
      <c r="B62" s="76">
        <v>41.3</v>
      </c>
      <c r="C62" t="b" s="77">
        <v>0</v>
      </c>
      <c r="D62" t="s" s="85">
        <v>161</v>
      </c>
      <c r="E62" t="s" s="79">
        <v>1106</v>
      </c>
      <c r="F62" t="s" s="79">
        <v>180</v>
      </c>
      <c r="G62" s="80">
        <v>21</v>
      </c>
      <c r="H62" t="s" s="79">
        <v>175</v>
      </c>
      <c r="I62" t="s" s="79">
        <v>408</v>
      </c>
      <c r="J62" s="80">
        <v>23</v>
      </c>
      <c r="K62" t="s" s="79">
        <v>523</v>
      </c>
      <c r="L62" t="s" s="79">
        <v>121</v>
      </c>
      <c r="M62" s="78"/>
      <c r="N62" s="78"/>
      <c r="O62" s="78"/>
      <c r="P62" s="80">
        <v>2</v>
      </c>
      <c r="Q62" s="81">
        <v>6.75</v>
      </c>
      <c r="R62" s="81">
        <v>7.25</v>
      </c>
      <c r="S62" s="80">
        <v>0</v>
      </c>
      <c r="T62" s="80">
        <v>1</v>
      </c>
      <c r="U62" t="s" s="79">
        <v>122</v>
      </c>
      <c r="V62" s="78"/>
      <c r="W62" s="78"/>
      <c r="X62" s="78"/>
      <c r="Y62" s="78"/>
      <c r="Z62" s="78"/>
      <c r="AA62" s="78"/>
      <c r="AB62" t="s" s="79">
        <v>124</v>
      </c>
      <c r="AC62" t="s" s="79">
        <v>124</v>
      </c>
      <c r="AD62" t="s" s="82">
        <v>125</v>
      </c>
      <c r="AE62" s="67"/>
    </row>
    <row r="63" ht="15" customHeight="1">
      <c r="A63" t="s" s="86">
        <v>30</v>
      </c>
      <c r="B63" s="69">
        <v>41.2</v>
      </c>
      <c r="C63" t="b" s="70">
        <v>0</v>
      </c>
      <c r="D63" s="71"/>
      <c r="E63" t="s" s="72">
        <v>1107</v>
      </c>
      <c r="F63" t="s" s="72">
        <v>138</v>
      </c>
      <c r="G63" s="73">
        <v>23</v>
      </c>
      <c r="H63" t="s" s="72">
        <v>175</v>
      </c>
      <c r="I63" t="s" s="72">
        <v>445</v>
      </c>
      <c r="J63" s="73">
        <v>28</v>
      </c>
      <c r="K63" t="s" s="72">
        <v>316</v>
      </c>
      <c r="L63" t="s" s="72">
        <v>154</v>
      </c>
      <c r="M63" s="71"/>
      <c r="N63" s="71"/>
      <c r="O63" s="71"/>
      <c r="P63" s="73">
        <v>1</v>
      </c>
      <c r="Q63" s="74">
        <v>7.5</v>
      </c>
      <c r="R63" s="74">
        <v>10.5</v>
      </c>
      <c r="S63" s="73">
        <v>1</v>
      </c>
      <c r="T63" s="73">
        <v>0</v>
      </c>
      <c r="U63" t="s" s="72">
        <v>122</v>
      </c>
      <c r="V63" s="73">
        <v>0</v>
      </c>
      <c r="W63" s="74">
        <v>0</v>
      </c>
      <c r="X63" s="74">
        <v>0</v>
      </c>
      <c r="Y63" s="73">
        <v>0</v>
      </c>
      <c r="Z63" s="73">
        <v>0</v>
      </c>
      <c r="AA63" t="s" s="72">
        <v>123</v>
      </c>
      <c r="AB63" t="s" s="72">
        <v>124</v>
      </c>
      <c r="AC63" t="s" s="72">
        <v>124</v>
      </c>
      <c r="AD63" t="s" s="75">
        <v>125</v>
      </c>
      <c r="AE63" s="67"/>
    </row>
    <row r="64" ht="15" customHeight="1">
      <c r="A64" t="s" s="86">
        <v>30</v>
      </c>
      <c r="B64" s="76">
        <v>41.1</v>
      </c>
      <c r="C64" t="b" s="77">
        <v>0</v>
      </c>
      <c r="D64" s="78"/>
      <c r="E64" t="s" s="79">
        <v>1108</v>
      </c>
      <c r="F64" t="s" s="79">
        <v>153</v>
      </c>
      <c r="G64" s="80">
        <v>24</v>
      </c>
      <c r="H64" t="s" s="79">
        <v>175</v>
      </c>
      <c r="I64" t="s" s="79">
        <v>1109</v>
      </c>
      <c r="J64" s="80">
        <v>22</v>
      </c>
      <c r="K64" t="s" s="79">
        <v>277</v>
      </c>
      <c r="L64" t="s" s="79">
        <v>154</v>
      </c>
      <c r="M64" s="78"/>
      <c r="N64" s="78"/>
      <c r="O64" t="s" s="88">
        <v>380</v>
      </c>
      <c r="P64" s="80">
        <v>0</v>
      </c>
      <c r="Q64" s="81">
        <v>0</v>
      </c>
      <c r="R64" s="81">
        <v>0</v>
      </c>
      <c r="S64" s="80">
        <v>0</v>
      </c>
      <c r="T64" s="80">
        <v>0</v>
      </c>
      <c r="U64" t="s" s="79">
        <v>122</v>
      </c>
      <c r="V64" s="80">
        <v>31</v>
      </c>
      <c r="W64" s="81">
        <v>5.94</v>
      </c>
      <c r="X64" s="81">
        <v>6.39</v>
      </c>
      <c r="Y64" s="80">
        <v>3</v>
      </c>
      <c r="Z64" s="80">
        <v>6</v>
      </c>
      <c r="AA64" t="s" s="79">
        <v>123</v>
      </c>
      <c r="AB64" t="s" s="79">
        <v>124</v>
      </c>
      <c r="AC64" t="s" s="79">
        <v>124</v>
      </c>
      <c r="AD64" t="s" s="82">
        <v>125</v>
      </c>
      <c r="AE64" s="67"/>
    </row>
    <row r="65" ht="15" customHeight="1">
      <c r="A65" t="s" s="87">
        <v>32</v>
      </c>
      <c r="B65" s="69">
        <v>41.1</v>
      </c>
      <c r="C65" t="b" s="70">
        <v>0</v>
      </c>
      <c r="D65" s="71"/>
      <c r="E65" t="s" s="72">
        <v>1110</v>
      </c>
      <c r="F65" t="s" s="72">
        <v>187</v>
      </c>
      <c r="G65" s="73">
        <v>17</v>
      </c>
      <c r="H65" t="s" s="72">
        <v>164</v>
      </c>
      <c r="I65" t="s" s="72">
        <v>164</v>
      </c>
      <c r="J65" s="73">
        <v>26</v>
      </c>
      <c r="K65" t="s" s="72">
        <v>435</v>
      </c>
      <c r="L65" t="s" s="72">
        <v>154</v>
      </c>
      <c r="M65" s="71"/>
      <c r="N65" s="71"/>
      <c r="O65" s="71"/>
      <c r="P65" s="73">
        <v>0</v>
      </c>
      <c r="Q65" s="74">
        <v>0</v>
      </c>
      <c r="R65" s="74">
        <v>0</v>
      </c>
      <c r="S65" s="73">
        <v>0</v>
      </c>
      <c r="T65" s="73">
        <v>0</v>
      </c>
      <c r="U65" t="s" s="72">
        <v>122</v>
      </c>
      <c r="V65" s="73">
        <v>17</v>
      </c>
      <c r="W65" s="74">
        <v>5.88</v>
      </c>
      <c r="X65" s="74">
        <v>6.06</v>
      </c>
      <c r="Y65" s="73">
        <v>1</v>
      </c>
      <c r="Z65" s="73">
        <v>1</v>
      </c>
      <c r="AA65" t="s" s="72">
        <v>123</v>
      </c>
      <c r="AB65" t="s" s="72">
        <v>124</v>
      </c>
      <c r="AC65" t="s" s="72">
        <v>124</v>
      </c>
      <c r="AD65" t="s" s="75">
        <v>125</v>
      </c>
      <c r="AE65" s="67"/>
    </row>
    <row r="66" ht="15" customHeight="1">
      <c r="A66" t="s" s="87">
        <v>32</v>
      </c>
      <c r="B66" s="76">
        <v>40.7</v>
      </c>
      <c r="C66" t="b" s="77">
        <v>0</v>
      </c>
      <c r="D66" t="s" s="85">
        <v>191</v>
      </c>
      <c r="E66" t="s" s="79">
        <v>1111</v>
      </c>
      <c r="F66" t="s" s="79">
        <v>183</v>
      </c>
      <c r="G66" s="80">
        <v>23</v>
      </c>
      <c r="H66" t="s" s="79">
        <v>175</v>
      </c>
      <c r="I66" t="s" s="79">
        <v>1112</v>
      </c>
      <c r="J66" s="80">
        <v>26</v>
      </c>
      <c r="K66" t="s" s="79">
        <v>128</v>
      </c>
      <c r="L66" t="s" s="79">
        <v>121</v>
      </c>
      <c r="M66" s="78"/>
      <c r="N66" s="78"/>
      <c r="O66" t="s" s="88">
        <v>380</v>
      </c>
      <c r="P66" s="80">
        <v>0</v>
      </c>
      <c r="Q66" s="81">
        <v>0</v>
      </c>
      <c r="R66" s="81">
        <v>0</v>
      </c>
      <c r="S66" s="80">
        <v>0</v>
      </c>
      <c r="T66" s="80">
        <v>0</v>
      </c>
      <c r="U66" t="s" s="79">
        <v>122</v>
      </c>
      <c r="V66" s="78"/>
      <c r="W66" s="78"/>
      <c r="X66" s="78"/>
      <c r="Y66" s="78"/>
      <c r="Z66" s="78"/>
      <c r="AA66" s="78"/>
      <c r="AB66" t="s" s="79">
        <v>124</v>
      </c>
      <c r="AC66" t="s" s="79">
        <v>124</v>
      </c>
      <c r="AD66" t="s" s="82">
        <v>125</v>
      </c>
      <c r="AE66" s="67"/>
    </row>
    <row r="67" ht="15" customHeight="1">
      <c r="A67" t="s" s="87">
        <v>32</v>
      </c>
      <c r="B67" s="69">
        <v>39.9</v>
      </c>
      <c r="C67" t="b" s="70">
        <v>0</v>
      </c>
      <c r="D67" t="s" s="84">
        <v>178</v>
      </c>
      <c r="E67" t="s" s="72">
        <v>1113</v>
      </c>
      <c r="F67" t="s" s="72">
        <v>193</v>
      </c>
      <c r="G67" s="73">
        <v>14</v>
      </c>
      <c r="H67" t="s" s="72">
        <v>1114</v>
      </c>
      <c r="I67" t="s" s="72">
        <v>1115</v>
      </c>
      <c r="J67" s="73">
        <v>24</v>
      </c>
      <c r="K67" t="s" s="72">
        <v>1116</v>
      </c>
      <c r="L67" t="s" s="72">
        <v>328</v>
      </c>
      <c r="M67" s="71"/>
      <c r="N67" s="71"/>
      <c r="O67" s="71"/>
      <c r="P67" s="73">
        <v>2</v>
      </c>
      <c r="Q67" s="74">
        <v>5.5</v>
      </c>
      <c r="R67" s="74">
        <v>5.5</v>
      </c>
      <c r="S67" s="73">
        <v>0</v>
      </c>
      <c r="T67" s="73">
        <v>0</v>
      </c>
      <c r="U67" t="s" s="72">
        <v>122</v>
      </c>
      <c r="V67" s="73">
        <v>0</v>
      </c>
      <c r="W67" s="74">
        <v>0</v>
      </c>
      <c r="X67" s="74">
        <v>0</v>
      </c>
      <c r="Y67" s="73">
        <v>0</v>
      </c>
      <c r="Z67" s="73">
        <v>0</v>
      </c>
      <c r="AA67" t="s" s="72">
        <v>123</v>
      </c>
      <c r="AB67" t="s" s="72">
        <v>124</v>
      </c>
      <c r="AC67" t="s" s="72">
        <v>124</v>
      </c>
      <c r="AD67" t="s" s="75">
        <v>125</v>
      </c>
      <c r="AE67" s="67"/>
    </row>
    <row r="68" ht="15" customHeight="1">
      <c r="A68" t="s" s="87">
        <v>32</v>
      </c>
      <c r="B68" s="76">
        <v>39.6</v>
      </c>
      <c r="C68" t="b" s="77">
        <v>0</v>
      </c>
      <c r="D68" s="78"/>
      <c r="E68" t="s" s="79">
        <v>1117</v>
      </c>
      <c r="F68" t="s" s="79">
        <v>149</v>
      </c>
      <c r="G68" s="80">
        <v>19</v>
      </c>
      <c r="H68" t="s" s="79">
        <v>1118</v>
      </c>
      <c r="I68" t="s" s="79">
        <v>1118</v>
      </c>
      <c r="J68" s="80">
        <v>24</v>
      </c>
      <c r="K68" t="s" s="79">
        <v>128</v>
      </c>
      <c r="L68" t="s" s="79">
        <v>154</v>
      </c>
      <c r="M68" s="78"/>
      <c r="N68" s="78"/>
      <c r="O68" s="78"/>
      <c r="P68" s="80">
        <v>2</v>
      </c>
      <c r="Q68" s="81">
        <v>5.75</v>
      </c>
      <c r="R68" s="81">
        <v>5.5</v>
      </c>
      <c r="S68" s="80">
        <v>0</v>
      </c>
      <c r="T68" s="80">
        <v>0</v>
      </c>
      <c r="U68" t="s" s="79">
        <v>122</v>
      </c>
      <c r="V68" s="80">
        <v>28</v>
      </c>
      <c r="W68" s="81">
        <v>5.82</v>
      </c>
      <c r="X68" s="81">
        <v>6.18</v>
      </c>
      <c r="Y68" s="80">
        <v>4</v>
      </c>
      <c r="Z68" s="80">
        <v>1</v>
      </c>
      <c r="AA68" t="s" s="79">
        <v>123</v>
      </c>
      <c r="AB68" t="s" s="79">
        <v>124</v>
      </c>
      <c r="AC68" t="s" s="79">
        <v>124</v>
      </c>
      <c r="AD68" t="s" s="82">
        <v>125</v>
      </c>
      <c r="AE68" s="67"/>
    </row>
    <row r="69" ht="15" customHeight="1">
      <c r="A69" t="s" s="87">
        <v>32</v>
      </c>
      <c r="B69" s="69">
        <v>37.9</v>
      </c>
      <c r="C69" t="b" s="70">
        <v>0</v>
      </c>
      <c r="D69" t="s" s="84">
        <v>191</v>
      </c>
      <c r="E69" t="s" s="72">
        <v>1119</v>
      </c>
      <c r="F69" t="s" s="72">
        <v>187</v>
      </c>
      <c r="G69" s="73">
        <v>19</v>
      </c>
      <c r="H69" t="s" s="72">
        <v>175</v>
      </c>
      <c r="I69" t="s" s="72">
        <v>836</v>
      </c>
      <c r="J69" s="73">
        <v>28</v>
      </c>
      <c r="K69" t="s" s="72">
        <v>1120</v>
      </c>
      <c r="L69" t="s" s="72">
        <v>121</v>
      </c>
      <c r="M69" s="71"/>
      <c r="N69" t="s" s="72">
        <v>311</v>
      </c>
      <c r="O69" s="71"/>
      <c r="P69" s="73">
        <v>0</v>
      </c>
      <c r="Q69" s="74">
        <v>0</v>
      </c>
      <c r="R69" s="74">
        <v>0</v>
      </c>
      <c r="S69" s="73">
        <v>0</v>
      </c>
      <c r="T69" s="73">
        <v>0</v>
      </c>
      <c r="U69" t="s" s="72">
        <v>122</v>
      </c>
      <c r="V69" s="71"/>
      <c r="W69" s="71"/>
      <c r="X69" s="71"/>
      <c r="Y69" s="71"/>
      <c r="Z69" s="71"/>
      <c r="AA69" s="71"/>
      <c r="AB69" t="s" s="72">
        <v>124</v>
      </c>
      <c r="AC69" t="s" s="72">
        <v>124</v>
      </c>
      <c r="AD69" t="s" s="75">
        <v>125</v>
      </c>
      <c r="AE69" s="67"/>
    </row>
    <row r="70" ht="15" customHeight="1">
      <c r="A70" t="s" s="87">
        <v>32</v>
      </c>
      <c r="B70" s="76">
        <v>36.5</v>
      </c>
      <c r="C70" t="b" s="77">
        <v>0</v>
      </c>
      <c r="D70" s="78"/>
      <c r="E70" t="s" s="79">
        <v>1121</v>
      </c>
      <c r="F70" t="s" s="79">
        <v>147</v>
      </c>
      <c r="G70" s="80">
        <v>19</v>
      </c>
      <c r="H70" t="s" s="79">
        <v>175</v>
      </c>
      <c r="I70" t="s" s="79">
        <v>175</v>
      </c>
      <c r="J70" s="80">
        <v>30</v>
      </c>
      <c r="K70" t="s" s="79">
        <v>1122</v>
      </c>
      <c r="L70" t="s" s="79">
        <v>154</v>
      </c>
      <c r="M70" s="78"/>
      <c r="N70" s="78"/>
      <c r="O70" s="78"/>
      <c r="P70" s="80">
        <v>0</v>
      </c>
      <c r="Q70" s="81">
        <v>0</v>
      </c>
      <c r="R70" s="81">
        <v>0</v>
      </c>
      <c r="S70" s="80">
        <v>0</v>
      </c>
      <c r="T70" s="80">
        <v>0</v>
      </c>
      <c r="U70" t="s" s="79">
        <v>122</v>
      </c>
      <c r="V70" s="80">
        <v>28</v>
      </c>
      <c r="W70" s="81">
        <v>5.86</v>
      </c>
      <c r="X70" s="81">
        <v>6.14</v>
      </c>
      <c r="Y70" s="80">
        <v>4</v>
      </c>
      <c r="Z70" s="80">
        <v>1</v>
      </c>
      <c r="AA70" t="s" s="79">
        <v>972</v>
      </c>
      <c r="AB70" t="s" s="79">
        <v>124</v>
      </c>
      <c r="AC70" t="s" s="79">
        <v>124</v>
      </c>
      <c r="AD70" t="s" s="82">
        <v>125</v>
      </c>
      <c r="AE70" s="67"/>
    </row>
    <row r="71" ht="15" customHeight="1">
      <c r="A71" t="s" s="87">
        <v>32</v>
      </c>
      <c r="B71" s="69">
        <v>36.4</v>
      </c>
      <c r="C71" t="b" s="70">
        <v>0</v>
      </c>
      <c r="D71" t="s" s="84">
        <v>161</v>
      </c>
      <c r="E71" t="s" s="72">
        <v>1123</v>
      </c>
      <c r="F71" t="s" s="72">
        <v>168</v>
      </c>
      <c r="G71" s="73">
        <v>15</v>
      </c>
      <c r="H71" t="s" s="72">
        <v>164</v>
      </c>
      <c r="I71" t="s" s="72">
        <v>1124</v>
      </c>
      <c r="J71" s="73">
        <v>25</v>
      </c>
      <c r="K71" t="s" s="72">
        <v>1125</v>
      </c>
      <c r="L71" t="s" s="72">
        <v>121</v>
      </c>
      <c r="M71" s="71"/>
      <c r="N71" s="71"/>
      <c r="O71" t="s" s="88">
        <v>268</v>
      </c>
      <c r="P71" s="73">
        <v>2</v>
      </c>
      <c r="Q71" s="74">
        <v>5.25</v>
      </c>
      <c r="R71" s="74">
        <v>5.25</v>
      </c>
      <c r="S71" s="73">
        <v>0</v>
      </c>
      <c r="T71" s="73">
        <v>0</v>
      </c>
      <c r="U71" t="s" s="72">
        <v>122</v>
      </c>
      <c r="V71" s="71"/>
      <c r="W71" s="71"/>
      <c r="X71" s="71"/>
      <c r="Y71" s="71"/>
      <c r="Z71" s="71"/>
      <c r="AA71" s="71"/>
      <c r="AB71" t="s" s="72">
        <v>124</v>
      </c>
      <c r="AC71" t="s" s="72">
        <v>124</v>
      </c>
      <c r="AD71" t="s" s="75">
        <v>125</v>
      </c>
      <c r="AE71" s="67"/>
    </row>
    <row r="72" ht="15" customHeight="1">
      <c r="A72" t="s" s="87">
        <v>32</v>
      </c>
      <c r="B72" s="76">
        <v>36.3</v>
      </c>
      <c r="C72" t="b" s="77">
        <v>0</v>
      </c>
      <c r="D72" s="78"/>
      <c r="E72" t="s" s="79">
        <v>1126</v>
      </c>
      <c r="F72" t="s" s="79">
        <v>180</v>
      </c>
      <c r="G72" s="80">
        <v>21</v>
      </c>
      <c r="H72" t="s" s="79">
        <v>175</v>
      </c>
      <c r="I72" t="s" s="79">
        <v>445</v>
      </c>
      <c r="J72" s="80">
        <v>24</v>
      </c>
      <c r="K72" t="s" s="79">
        <v>406</v>
      </c>
      <c r="L72" t="s" s="79">
        <v>121</v>
      </c>
      <c r="M72" s="78"/>
      <c r="N72" s="78"/>
      <c r="O72" s="78"/>
      <c r="P72" s="80">
        <v>0</v>
      </c>
      <c r="Q72" s="81">
        <v>0</v>
      </c>
      <c r="R72" s="81">
        <v>0</v>
      </c>
      <c r="S72" s="80">
        <v>0</v>
      </c>
      <c r="T72" s="80">
        <v>0</v>
      </c>
      <c r="U72" t="s" s="79">
        <v>122</v>
      </c>
      <c r="V72" s="78"/>
      <c r="W72" s="78"/>
      <c r="X72" s="78"/>
      <c r="Y72" s="78"/>
      <c r="Z72" s="78"/>
      <c r="AA72" s="78"/>
      <c r="AB72" t="s" s="79">
        <v>124</v>
      </c>
      <c r="AC72" t="s" s="79">
        <v>124</v>
      </c>
      <c r="AD72" t="s" s="82">
        <v>125</v>
      </c>
      <c r="AE72" s="67"/>
    </row>
    <row r="73" ht="15" customHeight="1">
      <c r="A73" t="s" s="87">
        <v>32</v>
      </c>
      <c r="B73" s="69">
        <v>35.9</v>
      </c>
      <c r="C73" t="b" s="70">
        <v>0</v>
      </c>
      <c r="D73" s="71"/>
      <c r="E73" t="s" s="72">
        <v>1127</v>
      </c>
      <c r="F73" t="s" s="72">
        <v>127</v>
      </c>
      <c r="G73" s="73">
        <v>22</v>
      </c>
      <c r="H73" t="s" s="72">
        <v>175</v>
      </c>
      <c r="I73" t="s" s="72">
        <v>266</v>
      </c>
      <c r="J73" s="73">
        <v>24</v>
      </c>
      <c r="K73" t="s" s="72">
        <v>621</v>
      </c>
      <c r="L73" t="s" s="72">
        <v>121</v>
      </c>
      <c r="M73" s="71"/>
      <c r="N73" s="71"/>
      <c r="O73" t="s" s="88">
        <v>380</v>
      </c>
      <c r="P73" s="73">
        <v>0</v>
      </c>
      <c r="Q73" s="74">
        <v>0</v>
      </c>
      <c r="R73" s="74">
        <v>0</v>
      </c>
      <c r="S73" s="73">
        <v>0</v>
      </c>
      <c r="T73" s="73">
        <v>0</v>
      </c>
      <c r="U73" t="s" s="72">
        <v>122</v>
      </c>
      <c r="V73" s="73">
        <v>20</v>
      </c>
      <c r="W73" s="74">
        <v>5.92</v>
      </c>
      <c r="X73" s="74">
        <v>6.18</v>
      </c>
      <c r="Y73" s="73">
        <v>2</v>
      </c>
      <c r="Z73" s="73">
        <v>1</v>
      </c>
      <c r="AA73" t="s" s="72">
        <v>123</v>
      </c>
      <c r="AB73" t="s" s="72">
        <v>124</v>
      </c>
      <c r="AC73" t="s" s="72">
        <v>124</v>
      </c>
      <c r="AD73" t="s" s="75">
        <v>125</v>
      </c>
      <c r="AE73" s="67"/>
    </row>
    <row r="74" ht="15" customHeight="1">
      <c r="A74" t="s" s="87">
        <v>32</v>
      </c>
      <c r="B74" s="76">
        <v>35.9</v>
      </c>
      <c r="C74" t="b" s="77">
        <v>0</v>
      </c>
      <c r="D74" t="s" s="85">
        <v>161</v>
      </c>
      <c r="E74" t="s" s="79">
        <v>1128</v>
      </c>
      <c r="F74" t="s" s="79">
        <v>147</v>
      </c>
      <c r="G74" s="80">
        <v>12</v>
      </c>
      <c r="H74" t="s" s="79">
        <v>164</v>
      </c>
      <c r="I74" t="s" s="79">
        <v>165</v>
      </c>
      <c r="J74" s="80">
        <v>25</v>
      </c>
      <c r="K74" t="s" s="79">
        <v>1129</v>
      </c>
      <c r="L74" t="s" s="79">
        <v>121</v>
      </c>
      <c r="M74" s="78"/>
      <c r="N74" s="78"/>
      <c r="O74" s="78"/>
      <c r="P74" s="80">
        <v>1</v>
      </c>
      <c r="Q74" s="81">
        <v>5.5</v>
      </c>
      <c r="R74" s="81">
        <v>5</v>
      </c>
      <c r="S74" s="80">
        <v>0</v>
      </c>
      <c r="T74" s="80">
        <v>0</v>
      </c>
      <c r="U74" t="s" s="79">
        <v>122</v>
      </c>
      <c r="V74" s="78"/>
      <c r="W74" s="78"/>
      <c r="X74" s="78"/>
      <c r="Y74" s="78"/>
      <c r="Z74" s="78"/>
      <c r="AA74" s="78"/>
      <c r="AB74" t="s" s="79">
        <v>124</v>
      </c>
      <c r="AC74" t="s" s="79">
        <v>124</v>
      </c>
      <c r="AD74" t="s" s="82">
        <v>125</v>
      </c>
      <c r="AE74" s="67"/>
    </row>
    <row r="75" ht="15" customHeight="1">
      <c r="A75" t="s" s="87">
        <v>32</v>
      </c>
      <c r="B75" s="69">
        <v>35.8</v>
      </c>
      <c r="C75" t="b" s="70">
        <v>0</v>
      </c>
      <c r="D75" s="71"/>
      <c r="E75" t="s" s="72">
        <v>1130</v>
      </c>
      <c r="F75" t="s" s="72">
        <v>172</v>
      </c>
      <c r="G75" s="73">
        <v>18</v>
      </c>
      <c r="H75" t="s" s="72">
        <v>175</v>
      </c>
      <c r="I75" t="s" s="72">
        <v>203</v>
      </c>
      <c r="J75" s="73">
        <v>22</v>
      </c>
      <c r="K75" t="s" s="72">
        <v>316</v>
      </c>
      <c r="L75" t="s" s="72">
        <v>121</v>
      </c>
      <c r="M75" s="71"/>
      <c r="N75" s="71"/>
      <c r="O75" s="71"/>
      <c r="P75" s="73">
        <v>2</v>
      </c>
      <c r="Q75" s="74">
        <v>5.75</v>
      </c>
      <c r="R75" s="74">
        <v>5.75</v>
      </c>
      <c r="S75" s="73">
        <v>0</v>
      </c>
      <c r="T75" s="73">
        <v>0</v>
      </c>
      <c r="U75" t="s" s="72">
        <v>122</v>
      </c>
      <c r="V75" s="73">
        <v>13</v>
      </c>
      <c r="W75" s="74">
        <v>5.81</v>
      </c>
      <c r="X75" s="74">
        <v>6</v>
      </c>
      <c r="Y75" s="73">
        <v>0</v>
      </c>
      <c r="Z75" s="73">
        <v>3</v>
      </c>
      <c r="AA75" t="s" s="72">
        <v>123</v>
      </c>
      <c r="AB75" t="s" s="72">
        <v>124</v>
      </c>
      <c r="AC75" t="s" s="72">
        <v>124</v>
      </c>
      <c r="AD75" t="s" s="75">
        <v>125</v>
      </c>
      <c r="AE75" s="67"/>
    </row>
    <row r="76" ht="15" customHeight="1">
      <c r="A76" t="s" s="87">
        <v>32</v>
      </c>
      <c r="B76" s="76">
        <v>34.3</v>
      </c>
      <c r="C76" t="b" s="77">
        <v>0</v>
      </c>
      <c r="D76" s="78"/>
      <c r="E76" t="s" s="79">
        <v>1131</v>
      </c>
      <c r="F76" t="s" s="79">
        <v>168</v>
      </c>
      <c r="G76" s="80">
        <v>17</v>
      </c>
      <c r="H76" t="s" s="79">
        <v>175</v>
      </c>
      <c r="I76" t="s" s="79">
        <v>175</v>
      </c>
      <c r="J76" s="80">
        <v>25</v>
      </c>
      <c r="K76" t="s" s="79">
        <v>1132</v>
      </c>
      <c r="L76" t="s" s="79">
        <v>154</v>
      </c>
      <c r="M76" s="78"/>
      <c r="N76" s="78"/>
      <c r="O76" s="78"/>
      <c r="P76" s="80">
        <v>2</v>
      </c>
      <c r="Q76" s="81">
        <v>5.75</v>
      </c>
      <c r="R76" s="81">
        <v>5.75</v>
      </c>
      <c r="S76" s="80">
        <v>0</v>
      </c>
      <c r="T76" s="80">
        <v>0</v>
      </c>
      <c r="U76" t="s" s="79">
        <v>122</v>
      </c>
      <c r="V76" s="80">
        <v>17</v>
      </c>
      <c r="W76" s="81">
        <v>5.85</v>
      </c>
      <c r="X76" s="81">
        <v>6.12</v>
      </c>
      <c r="Y76" s="80">
        <v>2</v>
      </c>
      <c r="Z76" s="80">
        <v>0</v>
      </c>
      <c r="AA76" t="s" s="79">
        <v>123</v>
      </c>
      <c r="AB76" t="s" s="79">
        <v>124</v>
      </c>
      <c r="AC76" t="s" s="79">
        <v>124</v>
      </c>
      <c r="AD76" t="s" s="82">
        <v>125</v>
      </c>
      <c r="AE76" s="67"/>
    </row>
    <row r="77" ht="15" customHeight="1">
      <c r="A77" t="s" s="87">
        <v>32</v>
      </c>
      <c r="B77" s="69">
        <v>33.5</v>
      </c>
      <c r="C77" t="b" s="70">
        <v>0</v>
      </c>
      <c r="D77" s="71"/>
      <c r="E77" t="s" s="72">
        <v>1133</v>
      </c>
      <c r="F77" t="s" s="72">
        <v>163</v>
      </c>
      <c r="G77" s="73">
        <v>17</v>
      </c>
      <c r="H77" t="s" s="72">
        <v>175</v>
      </c>
      <c r="I77" t="s" s="72">
        <v>175</v>
      </c>
      <c r="J77" s="73">
        <v>26</v>
      </c>
      <c r="K77" t="s" s="72">
        <v>619</v>
      </c>
      <c r="L77" t="s" s="72">
        <v>328</v>
      </c>
      <c r="M77" s="71"/>
      <c r="N77" s="71"/>
      <c r="O77" s="71"/>
      <c r="P77" s="73">
        <v>2</v>
      </c>
      <c r="Q77" s="74">
        <v>5.5</v>
      </c>
      <c r="R77" s="74">
        <v>5.5</v>
      </c>
      <c r="S77" s="73">
        <v>0</v>
      </c>
      <c r="T77" s="73">
        <v>0</v>
      </c>
      <c r="U77" t="s" s="72">
        <v>122</v>
      </c>
      <c r="V77" s="73">
        <v>12</v>
      </c>
      <c r="W77" s="74">
        <v>5.79</v>
      </c>
      <c r="X77" s="74">
        <v>5.62</v>
      </c>
      <c r="Y77" s="73">
        <v>0</v>
      </c>
      <c r="Z77" s="73">
        <v>0</v>
      </c>
      <c r="AA77" t="s" s="72">
        <v>123</v>
      </c>
      <c r="AB77" t="s" s="72">
        <v>124</v>
      </c>
      <c r="AC77" t="s" s="72">
        <v>124</v>
      </c>
      <c r="AD77" t="s" s="75">
        <v>125</v>
      </c>
      <c r="AE77" s="67"/>
    </row>
    <row r="78" ht="15" customHeight="1">
      <c r="A78" t="s" s="87">
        <v>32</v>
      </c>
      <c r="B78" s="76">
        <v>32.4</v>
      </c>
      <c r="C78" t="b" s="77">
        <v>0</v>
      </c>
      <c r="D78" s="78"/>
      <c r="E78" t="s" s="79">
        <v>1134</v>
      </c>
      <c r="F78" t="s" s="79">
        <v>187</v>
      </c>
      <c r="G78" s="80">
        <v>12</v>
      </c>
      <c r="H78" t="s" s="79">
        <v>164</v>
      </c>
      <c r="I78" t="s" s="79">
        <v>401</v>
      </c>
      <c r="J78" s="80">
        <v>24</v>
      </c>
      <c r="K78" t="s" s="79">
        <v>316</v>
      </c>
      <c r="L78" t="s" s="79">
        <v>121</v>
      </c>
      <c r="M78" s="78"/>
      <c r="N78" s="78"/>
      <c r="O78" s="78"/>
      <c r="P78" s="80">
        <v>0</v>
      </c>
      <c r="Q78" s="81">
        <v>0</v>
      </c>
      <c r="R78" s="81">
        <v>0</v>
      </c>
      <c r="S78" s="80">
        <v>0</v>
      </c>
      <c r="T78" s="80">
        <v>0</v>
      </c>
      <c r="U78" t="s" s="79">
        <v>122</v>
      </c>
      <c r="V78" s="78"/>
      <c r="W78" s="78"/>
      <c r="X78" s="78"/>
      <c r="Y78" s="78"/>
      <c r="Z78" s="78"/>
      <c r="AA78" s="78"/>
      <c r="AB78" t="s" s="79">
        <v>124</v>
      </c>
      <c r="AC78" t="s" s="79">
        <v>124</v>
      </c>
      <c r="AD78" t="s" s="82">
        <v>125</v>
      </c>
      <c r="AE78" s="67"/>
    </row>
    <row r="79" ht="15" customHeight="1">
      <c r="A79" t="s" s="87">
        <v>32</v>
      </c>
      <c r="B79" s="69">
        <v>32.1</v>
      </c>
      <c r="C79" t="b" s="70">
        <v>0</v>
      </c>
      <c r="D79" t="s" s="84">
        <v>161</v>
      </c>
      <c r="E79" t="s" s="72">
        <v>1135</v>
      </c>
      <c r="F79" t="s" s="72">
        <v>159</v>
      </c>
      <c r="G79" s="73">
        <v>14</v>
      </c>
      <c r="H79" t="s" s="72">
        <v>175</v>
      </c>
      <c r="I79" t="s" s="72">
        <v>754</v>
      </c>
      <c r="J79" s="73">
        <v>19</v>
      </c>
      <c r="K79" t="s" s="72">
        <v>190</v>
      </c>
      <c r="L79" t="s" s="72">
        <v>121</v>
      </c>
      <c r="M79" s="71"/>
      <c r="N79" s="71"/>
      <c r="O79" s="71"/>
      <c r="P79" s="73">
        <v>2</v>
      </c>
      <c r="Q79" s="74">
        <v>5.5</v>
      </c>
      <c r="R79" s="74">
        <v>5.5</v>
      </c>
      <c r="S79" s="73">
        <v>0</v>
      </c>
      <c r="T79" s="73">
        <v>0</v>
      </c>
      <c r="U79" t="s" s="72">
        <v>122</v>
      </c>
      <c r="V79" s="73">
        <v>15</v>
      </c>
      <c r="W79" s="74">
        <v>5.77</v>
      </c>
      <c r="X79" s="74">
        <v>5.9</v>
      </c>
      <c r="Y79" s="73">
        <v>1</v>
      </c>
      <c r="Z79" s="73">
        <v>0</v>
      </c>
      <c r="AA79" t="s" s="72">
        <v>123</v>
      </c>
      <c r="AB79" t="s" s="72">
        <v>124</v>
      </c>
      <c r="AC79" t="s" s="72">
        <v>124</v>
      </c>
      <c r="AD79" t="s" s="75">
        <v>125</v>
      </c>
      <c r="AE79" s="67"/>
    </row>
    <row r="80" ht="15" customHeight="1">
      <c r="A80" t="s" s="87">
        <v>32</v>
      </c>
      <c r="B80" s="76">
        <v>31.9</v>
      </c>
      <c r="C80" t="b" s="77">
        <v>0</v>
      </c>
      <c r="D80" s="78"/>
      <c r="E80" t="s" s="79">
        <v>1136</v>
      </c>
      <c r="F80" t="s" s="79">
        <v>163</v>
      </c>
      <c r="G80" s="80">
        <v>17</v>
      </c>
      <c r="H80" t="s" s="79">
        <v>175</v>
      </c>
      <c r="I80" t="s" s="79">
        <v>175</v>
      </c>
      <c r="J80" s="80">
        <v>26</v>
      </c>
      <c r="K80" t="s" s="79">
        <v>395</v>
      </c>
      <c r="L80" t="s" s="79">
        <v>121</v>
      </c>
      <c r="M80" s="78"/>
      <c r="N80" s="78"/>
      <c r="O80" s="78"/>
      <c r="P80" s="80">
        <v>1</v>
      </c>
      <c r="Q80" s="81">
        <v>5.5</v>
      </c>
      <c r="R80" s="81">
        <v>5.5</v>
      </c>
      <c r="S80" s="80">
        <v>0</v>
      </c>
      <c r="T80" s="80">
        <v>0</v>
      </c>
      <c r="U80" t="s" s="79">
        <v>122</v>
      </c>
      <c r="V80" s="80">
        <v>7</v>
      </c>
      <c r="W80" s="81">
        <v>5.64</v>
      </c>
      <c r="X80" s="81">
        <v>5.71</v>
      </c>
      <c r="Y80" s="80">
        <v>0</v>
      </c>
      <c r="Z80" s="80">
        <v>1</v>
      </c>
      <c r="AA80" t="s" s="79">
        <v>123</v>
      </c>
      <c r="AB80" t="s" s="79">
        <v>124</v>
      </c>
      <c r="AC80" t="s" s="79">
        <v>124</v>
      </c>
      <c r="AD80" t="s" s="82">
        <v>125</v>
      </c>
      <c r="AE80" s="67"/>
    </row>
    <row r="81" ht="15" customHeight="1">
      <c r="A81" t="s" s="87">
        <v>32</v>
      </c>
      <c r="B81" s="69">
        <v>31.8</v>
      </c>
      <c r="C81" t="b" s="70">
        <v>0</v>
      </c>
      <c r="D81" t="s" s="84">
        <v>161</v>
      </c>
      <c r="E81" t="s" s="72">
        <v>1137</v>
      </c>
      <c r="F81" t="s" s="72">
        <v>193</v>
      </c>
      <c r="G81" s="73">
        <v>15</v>
      </c>
      <c r="H81" t="s" s="72">
        <v>175</v>
      </c>
      <c r="I81" t="s" s="72">
        <v>218</v>
      </c>
      <c r="J81" s="73">
        <v>27</v>
      </c>
      <c r="K81" t="s" s="72">
        <v>197</v>
      </c>
      <c r="L81" t="s" s="72">
        <v>154</v>
      </c>
      <c r="M81" s="71"/>
      <c r="N81" s="71"/>
      <c r="O81" s="71"/>
      <c r="P81" s="73">
        <v>1</v>
      </c>
      <c r="Q81" s="74">
        <v>5.5</v>
      </c>
      <c r="R81" s="74">
        <v>5.5</v>
      </c>
      <c r="S81" s="73">
        <v>0</v>
      </c>
      <c r="T81" s="73">
        <v>0</v>
      </c>
      <c r="U81" t="s" s="72">
        <v>122</v>
      </c>
      <c r="V81" s="73">
        <v>10</v>
      </c>
      <c r="W81" s="74">
        <v>5.9</v>
      </c>
      <c r="X81" s="74">
        <v>6</v>
      </c>
      <c r="Y81" s="73">
        <v>0</v>
      </c>
      <c r="Z81" s="73">
        <v>1</v>
      </c>
      <c r="AA81" t="s" s="72">
        <v>123</v>
      </c>
      <c r="AB81" t="s" s="72">
        <v>124</v>
      </c>
      <c r="AC81" t="s" s="72">
        <v>124</v>
      </c>
      <c r="AD81" t="s" s="75">
        <v>125</v>
      </c>
      <c r="AE81" s="67"/>
    </row>
    <row r="82" ht="15" customHeight="1">
      <c r="A82" t="s" s="87">
        <v>32</v>
      </c>
      <c r="B82" s="76">
        <v>30.6</v>
      </c>
      <c r="C82" t="b" s="77">
        <v>0</v>
      </c>
      <c r="D82" s="78"/>
      <c r="E82" t="s" s="79">
        <v>1138</v>
      </c>
      <c r="F82" t="s" s="79">
        <v>141</v>
      </c>
      <c r="G82" s="80">
        <v>19</v>
      </c>
      <c r="H82" t="s" s="79">
        <v>175</v>
      </c>
      <c r="I82" t="s" s="79">
        <v>559</v>
      </c>
      <c r="J82" s="80">
        <v>21</v>
      </c>
      <c r="K82" t="s" s="79">
        <v>1139</v>
      </c>
      <c r="L82" t="s" s="79">
        <v>154</v>
      </c>
      <c r="M82" s="78"/>
      <c r="N82" s="78"/>
      <c r="O82" t="s" s="88">
        <v>380</v>
      </c>
      <c r="P82" s="80">
        <v>0</v>
      </c>
      <c r="Q82" s="81">
        <v>0</v>
      </c>
      <c r="R82" s="81">
        <v>0</v>
      </c>
      <c r="S82" s="80">
        <v>0</v>
      </c>
      <c r="T82" s="80">
        <v>0</v>
      </c>
      <c r="U82" t="s" s="79">
        <v>122</v>
      </c>
      <c r="V82" s="80">
        <v>12</v>
      </c>
      <c r="W82" s="81">
        <v>6</v>
      </c>
      <c r="X82" s="81">
        <v>6.58</v>
      </c>
      <c r="Y82" s="80">
        <v>3</v>
      </c>
      <c r="Z82" s="80">
        <v>0</v>
      </c>
      <c r="AA82" t="s" s="79">
        <v>123</v>
      </c>
      <c r="AB82" t="s" s="79">
        <v>124</v>
      </c>
      <c r="AC82" t="s" s="79">
        <v>124</v>
      </c>
      <c r="AD82" t="s" s="82">
        <v>125</v>
      </c>
      <c r="AE82" s="67"/>
    </row>
    <row r="83" ht="15" customHeight="1">
      <c r="A83" t="s" s="87">
        <v>32</v>
      </c>
      <c r="B83" s="69">
        <v>30.1</v>
      </c>
      <c r="C83" t="b" s="70">
        <v>0</v>
      </c>
      <c r="D83" s="71"/>
      <c r="E83" t="s" s="72">
        <v>1140</v>
      </c>
      <c r="F83" t="s" s="72">
        <v>156</v>
      </c>
      <c r="G83" s="73">
        <v>20</v>
      </c>
      <c r="H83" t="s" s="72">
        <v>175</v>
      </c>
      <c r="I83" t="s" s="72">
        <v>569</v>
      </c>
      <c r="J83" s="73">
        <v>23</v>
      </c>
      <c r="K83" t="s" s="72">
        <v>236</v>
      </c>
      <c r="L83" t="s" s="72">
        <v>121</v>
      </c>
      <c r="M83" s="71"/>
      <c r="N83" s="71"/>
      <c r="O83" t="s" s="88">
        <v>268</v>
      </c>
      <c r="P83" s="73">
        <v>0</v>
      </c>
      <c r="Q83" s="74">
        <v>0</v>
      </c>
      <c r="R83" s="74">
        <v>0</v>
      </c>
      <c r="S83" s="73">
        <v>0</v>
      </c>
      <c r="T83" s="73">
        <v>0</v>
      </c>
      <c r="U83" t="s" s="72">
        <v>122</v>
      </c>
      <c r="V83" s="71"/>
      <c r="W83" s="71"/>
      <c r="X83" s="71"/>
      <c r="Y83" s="71"/>
      <c r="Z83" s="71"/>
      <c r="AA83" s="71"/>
      <c r="AB83" t="s" s="72">
        <v>124</v>
      </c>
      <c r="AC83" t="s" s="72">
        <v>124</v>
      </c>
      <c r="AD83" t="s" s="75">
        <v>125</v>
      </c>
      <c r="AE83" s="67"/>
    </row>
    <row r="84" ht="15" customHeight="1">
      <c r="A84" t="s" s="87">
        <v>32</v>
      </c>
      <c r="B84" s="76">
        <v>28.6</v>
      </c>
      <c r="C84" t="b" s="77">
        <v>0</v>
      </c>
      <c r="D84" s="78"/>
      <c r="E84" t="s" s="79">
        <v>1141</v>
      </c>
      <c r="F84" t="s" s="79">
        <v>180</v>
      </c>
      <c r="G84" s="80">
        <v>17</v>
      </c>
      <c r="H84" t="s" s="79">
        <v>175</v>
      </c>
      <c r="I84" t="s" s="79">
        <v>445</v>
      </c>
      <c r="J84" s="80">
        <v>26</v>
      </c>
      <c r="K84" t="s" s="79">
        <v>257</v>
      </c>
      <c r="L84" t="s" s="79">
        <v>121</v>
      </c>
      <c r="M84" s="78"/>
      <c r="N84" s="78"/>
      <c r="O84" s="78"/>
      <c r="P84" s="80">
        <v>0</v>
      </c>
      <c r="Q84" s="81">
        <v>0</v>
      </c>
      <c r="R84" s="81">
        <v>0</v>
      </c>
      <c r="S84" s="80">
        <v>0</v>
      </c>
      <c r="T84" s="80">
        <v>0</v>
      </c>
      <c r="U84" t="s" s="79">
        <v>122</v>
      </c>
      <c r="V84" s="78"/>
      <c r="W84" s="78"/>
      <c r="X84" s="78"/>
      <c r="Y84" s="78"/>
      <c r="Z84" s="78"/>
      <c r="AA84" s="78"/>
      <c r="AB84" t="s" s="79">
        <v>124</v>
      </c>
      <c r="AC84" t="s" s="79">
        <v>124</v>
      </c>
      <c r="AD84" t="s" s="82">
        <v>125</v>
      </c>
      <c r="AE84" s="67"/>
    </row>
    <row r="85" ht="15" customHeight="1">
      <c r="A85" t="s" s="87">
        <v>32</v>
      </c>
      <c r="B85" s="69">
        <v>27.9</v>
      </c>
      <c r="C85" t="b" s="70">
        <v>0</v>
      </c>
      <c r="D85" s="71"/>
      <c r="E85" t="s" s="72">
        <v>1142</v>
      </c>
      <c r="F85" t="s" s="72">
        <v>156</v>
      </c>
      <c r="G85" s="73">
        <v>14</v>
      </c>
      <c r="H85" t="s" s="72">
        <v>1143</v>
      </c>
      <c r="I85" t="s" s="72">
        <v>1144</v>
      </c>
      <c r="J85" s="73">
        <v>27</v>
      </c>
      <c r="K85" t="s" s="72">
        <v>873</v>
      </c>
      <c r="L85" t="s" s="72">
        <v>121</v>
      </c>
      <c r="M85" s="71"/>
      <c r="N85" s="71"/>
      <c r="O85" s="71"/>
      <c r="P85" s="73">
        <v>2</v>
      </c>
      <c r="Q85" s="74">
        <v>6</v>
      </c>
      <c r="R85" s="74">
        <v>7.5</v>
      </c>
      <c r="S85" s="73">
        <v>1</v>
      </c>
      <c r="T85" s="73">
        <v>0</v>
      </c>
      <c r="U85" t="s" s="72">
        <v>122</v>
      </c>
      <c r="V85" s="71"/>
      <c r="W85" s="71"/>
      <c r="X85" s="71"/>
      <c r="Y85" s="71"/>
      <c r="Z85" s="71"/>
      <c r="AA85" s="71"/>
      <c r="AB85" t="s" s="72">
        <v>124</v>
      </c>
      <c r="AC85" t="s" s="72">
        <v>124</v>
      </c>
      <c r="AD85" t="s" s="75">
        <v>125</v>
      </c>
      <c r="AE85" s="67"/>
    </row>
    <row r="86" ht="15" customHeight="1">
      <c r="A86" t="s" s="87">
        <v>32</v>
      </c>
      <c r="B86" s="76">
        <v>27.4</v>
      </c>
      <c r="C86" t="b" s="77">
        <v>0</v>
      </c>
      <c r="D86" s="78"/>
      <c r="E86" t="s" s="79">
        <v>1145</v>
      </c>
      <c r="F86" t="s" s="79">
        <v>159</v>
      </c>
      <c r="G86" s="80">
        <v>13</v>
      </c>
      <c r="H86" t="s" s="79">
        <v>175</v>
      </c>
      <c r="I86" t="s" s="79">
        <v>175</v>
      </c>
      <c r="J86" s="80">
        <v>29</v>
      </c>
      <c r="K86" t="s" s="79">
        <v>466</v>
      </c>
      <c r="L86" t="s" s="79">
        <v>121</v>
      </c>
      <c r="M86" s="78"/>
      <c r="N86" s="78"/>
      <c r="O86" s="78"/>
      <c r="P86" s="80">
        <v>1</v>
      </c>
      <c r="Q86" s="81">
        <v>4.5</v>
      </c>
      <c r="R86" s="81">
        <v>4.5</v>
      </c>
      <c r="S86" s="80">
        <v>0</v>
      </c>
      <c r="T86" s="80">
        <v>0</v>
      </c>
      <c r="U86" t="s" s="79">
        <v>122</v>
      </c>
      <c r="V86" s="80">
        <v>12</v>
      </c>
      <c r="W86" s="81">
        <v>5.75</v>
      </c>
      <c r="X86" s="81">
        <v>5.83</v>
      </c>
      <c r="Y86" s="80">
        <v>0</v>
      </c>
      <c r="Z86" s="80">
        <v>1</v>
      </c>
      <c r="AA86" t="s" s="79">
        <v>123</v>
      </c>
      <c r="AB86" t="s" s="79">
        <v>124</v>
      </c>
      <c r="AC86" t="s" s="79">
        <v>124</v>
      </c>
      <c r="AD86" t="s" s="82">
        <v>125</v>
      </c>
      <c r="AE86" s="67"/>
    </row>
    <row r="87" ht="15" customHeight="1">
      <c r="A87" t="s" s="87">
        <v>32</v>
      </c>
      <c r="B87" s="69">
        <v>27.3</v>
      </c>
      <c r="C87" t="b" s="70">
        <v>0</v>
      </c>
      <c r="D87" s="71"/>
      <c r="E87" t="s" s="72">
        <v>1146</v>
      </c>
      <c r="F87" t="s" s="72">
        <v>138</v>
      </c>
      <c r="G87" s="73">
        <v>19</v>
      </c>
      <c r="H87" t="s" s="72">
        <v>175</v>
      </c>
      <c r="I87" t="s" s="72">
        <v>1147</v>
      </c>
      <c r="J87" s="73">
        <v>19</v>
      </c>
      <c r="K87" t="s" s="72">
        <v>437</v>
      </c>
      <c r="L87" t="s" s="72">
        <v>121</v>
      </c>
      <c r="M87" s="71"/>
      <c r="N87" s="71"/>
      <c r="O87" t="s" s="88">
        <v>889</v>
      </c>
      <c r="P87" s="73">
        <v>0</v>
      </c>
      <c r="Q87" s="74">
        <v>0</v>
      </c>
      <c r="R87" s="74">
        <v>0</v>
      </c>
      <c r="S87" s="73">
        <v>0</v>
      </c>
      <c r="T87" s="73">
        <v>0</v>
      </c>
      <c r="U87" t="s" s="72">
        <v>122</v>
      </c>
      <c r="V87" s="73">
        <v>25</v>
      </c>
      <c r="W87" s="74">
        <v>5.94</v>
      </c>
      <c r="X87" s="74">
        <v>6.26</v>
      </c>
      <c r="Y87" s="73">
        <v>3</v>
      </c>
      <c r="Z87" s="73">
        <v>0</v>
      </c>
      <c r="AA87" t="s" s="72">
        <v>123</v>
      </c>
      <c r="AB87" t="s" s="72">
        <v>124</v>
      </c>
      <c r="AC87" t="s" s="72">
        <v>124</v>
      </c>
      <c r="AD87" t="s" s="75">
        <v>125</v>
      </c>
      <c r="AE87" s="67"/>
    </row>
    <row r="88" ht="15" customHeight="1">
      <c r="A88" t="s" s="87">
        <v>32</v>
      </c>
      <c r="B88" s="76">
        <v>27.1</v>
      </c>
      <c r="C88" t="b" s="77">
        <v>0</v>
      </c>
      <c r="D88" s="78"/>
      <c r="E88" t="s" s="79">
        <v>1148</v>
      </c>
      <c r="F88" t="s" s="79">
        <v>147</v>
      </c>
      <c r="G88" s="80">
        <v>10</v>
      </c>
      <c r="H88" t="s" s="79">
        <v>175</v>
      </c>
      <c r="I88" t="s" s="79">
        <v>176</v>
      </c>
      <c r="J88" s="80">
        <v>25</v>
      </c>
      <c r="K88" t="s" s="79">
        <v>128</v>
      </c>
      <c r="L88" t="s" s="79">
        <v>121</v>
      </c>
      <c r="M88" s="78"/>
      <c r="N88" s="78"/>
      <c r="O88" s="78"/>
      <c r="P88" s="80">
        <v>1</v>
      </c>
      <c r="Q88" s="81">
        <v>6</v>
      </c>
      <c r="R88" s="81">
        <v>6</v>
      </c>
      <c r="S88" s="80">
        <v>0</v>
      </c>
      <c r="T88" s="80">
        <v>0</v>
      </c>
      <c r="U88" t="s" s="79">
        <v>122</v>
      </c>
      <c r="V88" s="80">
        <v>11</v>
      </c>
      <c r="W88" s="81">
        <v>6</v>
      </c>
      <c r="X88" s="81">
        <v>6.5</v>
      </c>
      <c r="Y88" s="80">
        <v>2</v>
      </c>
      <c r="Z88" s="80">
        <v>1</v>
      </c>
      <c r="AA88" t="s" s="79">
        <v>123</v>
      </c>
      <c r="AB88" t="s" s="79">
        <v>124</v>
      </c>
      <c r="AC88" t="s" s="79">
        <v>124</v>
      </c>
      <c r="AD88" t="s" s="82">
        <v>125</v>
      </c>
      <c r="AE88" s="67"/>
    </row>
    <row r="89" ht="15" customHeight="1">
      <c r="A89" t="s" s="87">
        <v>32</v>
      </c>
      <c r="B89" s="69">
        <v>25.5</v>
      </c>
      <c r="C89" t="b" s="70">
        <v>0</v>
      </c>
      <c r="D89" t="s" s="84">
        <v>161</v>
      </c>
      <c r="E89" t="s" s="72">
        <v>1149</v>
      </c>
      <c r="F89" t="s" s="72">
        <v>180</v>
      </c>
      <c r="G89" s="73">
        <v>10</v>
      </c>
      <c r="H89" t="s" s="72">
        <v>1150</v>
      </c>
      <c r="I89" t="s" s="72">
        <v>1151</v>
      </c>
      <c r="J89" s="73">
        <v>20</v>
      </c>
      <c r="K89" t="s" s="72">
        <v>597</v>
      </c>
      <c r="L89" t="s" s="72">
        <v>154</v>
      </c>
      <c r="M89" s="71"/>
      <c r="N89" s="71"/>
      <c r="O89" s="71"/>
      <c r="P89" s="73">
        <v>2</v>
      </c>
      <c r="Q89" s="74">
        <v>5.75</v>
      </c>
      <c r="R89" s="74">
        <v>5.75</v>
      </c>
      <c r="S89" s="73">
        <v>0</v>
      </c>
      <c r="T89" s="73">
        <v>0</v>
      </c>
      <c r="U89" t="s" s="72">
        <v>122</v>
      </c>
      <c r="V89" s="73">
        <v>1</v>
      </c>
      <c r="W89" s="74">
        <v>5.5</v>
      </c>
      <c r="X89" s="74">
        <v>5.5</v>
      </c>
      <c r="Y89" s="73">
        <v>0</v>
      </c>
      <c r="Z89" s="73">
        <v>0</v>
      </c>
      <c r="AA89" t="s" s="72">
        <v>123</v>
      </c>
      <c r="AB89" t="s" s="72">
        <v>124</v>
      </c>
      <c r="AC89" t="s" s="72">
        <v>124</v>
      </c>
      <c r="AD89" t="s" s="75">
        <v>125</v>
      </c>
      <c r="AE89" s="67"/>
    </row>
    <row r="90" ht="15" customHeight="1">
      <c r="A90" t="s" s="87">
        <v>32</v>
      </c>
      <c r="B90" s="76">
        <v>23.3</v>
      </c>
      <c r="C90" t="b" s="77">
        <v>0</v>
      </c>
      <c r="D90" t="s" s="85">
        <v>191</v>
      </c>
      <c r="E90" t="s" s="79">
        <v>1152</v>
      </c>
      <c r="F90" t="s" s="79">
        <v>130</v>
      </c>
      <c r="G90" s="80">
        <v>10</v>
      </c>
      <c r="H90" t="s" s="79">
        <v>175</v>
      </c>
      <c r="I90" t="s" s="79">
        <v>754</v>
      </c>
      <c r="J90" s="80">
        <v>18</v>
      </c>
      <c r="K90" t="s" s="79">
        <v>128</v>
      </c>
      <c r="L90" t="s" s="79">
        <v>154</v>
      </c>
      <c r="M90" s="78"/>
      <c r="N90" s="78"/>
      <c r="O90" s="78"/>
      <c r="P90" s="80">
        <v>0</v>
      </c>
      <c r="Q90" s="81">
        <v>0</v>
      </c>
      <c r="R90" s="81">
        <v>0</v>
      </c>
      <c r="S90" s="80">
        <v>0</v>
      </c>
      <c r="T90" s="80">
        <v>0</v>
      </c>
      <c r="U90" t="s" s="79">
        <v>122</v>
      </c>
      <c r="V90" s="80">
        <v>18</v>
      </c>
      <c r="W90" s="81">
        <v>5.67</v>
      </c>
      <c r="X90" s="81">
        <v>5.64</v>
      </c>
      <c r="Y90" s="80">
        <v>1</v>
      </c>
      <c r="Z90" s="80">
        <v>0</v>
      </c>
      <c r="AA90" t="s" s="79">
        <v>670</v>
      </c>
      <c r="AB90" t="s" s="79">
        <v>124</v>
      </c>
      <c r="AC90" t="s" s="79">
        <v>124</v>
      </c>
      <c r="AD90" t="s" s="82">
        <v>125</v>
      </c>
      <c r="AE90" s="67"/>
    </row>
    <row r="91" ht="15" customHeight="1">
      <c r="A91" t="s" s="87">
        <v>32</v>
      </c>
      <c r="B91" s="69">
        <v>22.4</v>
      </c>
      <c r="C91" t="b" s="70">
        <v>0</v>
      </c>
      <c r="D91" s="71"/>
      <c r="E91" t="s" s="72">
        <v>1153</v>
      </c>
      <c r="F91" t="s" s="72">
        <v>144</v>
      </c>
      <c r="G91" s="73">
        <v>12</v>
      </c>
      <c r="H91" t="s" s="72">
        <v>175</v>
      </c>
      <c r="I91" t="s" s="72">
        <v>445</v>
      </c>
      <c r="J91" s="73">
        <v>23</v>
      </c>
      <c r="K91" t="s" s="72">
        <v>1154</v>
      </c>
      <c r="L91" t="s" s="72">
        <v>121</v>
      </c>
      <c r="M91" s="71"/>
      <c r="N91" s="71"/>
      <c r="O91" s="71"/>
      <c r="P91" s="73">
        <v>0</v>
      </c>
      <c r="Q91" s="74">
        <v>0</v>
      </c>
      <c r="R91" s="74">
        <v>0</v>
      </c>
      <c r="S91" s="73">
        <v>0</v>
      </c>
      <c r="T91" s="73">
        <v>0</v>
      </c>
      <c r="U91" t="s" s="72">
        <v>122</v>
      </c>
      <c r="V91" s="71"/>
      <c r="W91" s="71"/>
      <c r="X91" s="71"/>
      <c r="Y91" s="71"/>
      <c r="Z91" s="71"/>
      <c r="AA91" s="71"/>
      <c r="AB91" t="s" s="72">
        <v>124</v>
      </c>
      <c r="AC91" t="s" s="72">
        <v>124</v>
      </c>
      <c r="AD91" t="s" s="75">
        <v>125</v>
      </c>
      <c r="AE91" s="67"/>
    </row>
    <row r="92" ht="15" customHeight="1">
      <c r="A92" t="s" s="87">
        <v>32</v>
      </c>
      <c r="B92" s="76">
        <v>22.4</v>
      </c>
      <c r="C92" t="b" s="77">
        <v>0</v>
      </c>
      <c r="D92" s="78"/>
      <c r="E92" t="s" s="79">
        <v>1155</v>
      </c>
      <c r="F92" t="s" s="79">
        <v>187</v>
      </c>
      <c r="G92" s="80">
        <v>12</v>
      </c>
      <c r="H92" t="s" s="79">
        <v>175</v>
      </c>
      <c r="I92" t="s" s="79">
        <v>445</v>
      </c>
      <c r="J92" s="80">
        <v>31</v>
      </c>
      <c r="K92" t="s" s="79">
        <v>190</v>
      </c>
      <c r="L92" s="78"/>
      <c r="M92" s="78"/>
      <c r="N92" s="78"/>
      <c r="O92" s="78"/>
      <c r="P92" s="78"/>
      <c r="Q92" s="78"/>
      <c r="R92" s="78"/>
      <c r="S92" s="78"/>
      <c r="T92" s="78"/>
      <c r="U92" s="78"/>
      <c r="V92" s="78"/>
      <c r="W92" s="78"/>
      <c r="X92" s="78"/>
      <c r="Y92" s="78"/>
      <c r="Z92" s="78"/>
      <c r="AA92" s="78"/>
      <c r="AB92" t="s" s="79">
        <v>125</v>
      </c>
      <c r="AC92" s="78"/>
      <c r="AD92" t="s" s="82">
        <v>125</v>
      </c>
      <c r="AE92" s="67"/>
    </row>
    <row r="93" ht="15" customHeight="1">
      <c r="A93" t="s" s="87">
        <v>32</v>
      </c>
      <c r="B93" s="69">
        <v>22.1</v>
      </c>
      <c r="C93" t="b" s="70">
        <v>0</v>
      </c>
      <c r="D93" s="71"/>
      <c r="E93" t="s" s="72">
        <v>326</v>
      </c>
      <c r="F93" t="s" s="72">
        <v>183</v>
      </c>
      <c r="G93" s="73">
        <v>10</v>
      </c>
      <c r="H93" t="s" s="72">
        <v>175</v>
      </c>
      <c r="I93" t="s" s="72">
        <v>175</v>
      </c>
      <c r="J93" s="73">
        <v>26</v>
      </c>
      <c r="K93" t="s" s="72">
        <v>881</v>
      </c>
      <c r="L93" t="s" s="72">
        <v>328</v>
      </c>
      <c r="M93" s="71"/>
      <c r="N93" s="71"/>
      <c r="O93" s="71"/>
      <c r="P93" s="73">
        <v>0</v>
      </c>
      <c r="Q93" s="74">
        <v>0</v>
      </c>
      <c r="R93" s="74">
        <v>0</v>
      </c>
      <c r="S93" s="73">
        <v>0</v>
      </c>
      <c r="T93" s="73">
        <v>0</v>
      </c>
      <c r="U93" t="s" s="72">
        <v>122</v>
      </c>
      <c r="V93" s="73">
        <v>21</v>
      </c>
      <c r="W93" s="74">
        <v>6.26</v>
      </c>
      <c r="X93" s="74">
        <v>6.48</v>
      </c>
      <c r="Y93" s="73">
        <v>2</v>
      </c>
      <c r="Z93" s="73">
        <v>0</v>
      </c>
      <c r="AA93" t="s" s="72">
        <v>123</v>
      </c>
      <c r="AB93" t="s" s="72">
        <v>124</v>
      </c>
      <c r="AC93" t="s" s="72">
        <v>124</v>
      </c>
      <c r="AD93" t="s" s="75">
        <v>125</v>
      </c>
      <c r="AE93" s="67"/>
    </row>
    <row r="94" ht="15" customHeight="1">
      <c r="A94" t="s" s="87">
        <v>32</v>
      </c>
      <c r="B94" s="76">
        <v>21.5</v>
      </c>
      <c r="C94" t="b" s="77">
        <v>0</v>
      </c>
      <c r="D94" t="s" s="85">
        <v>191</v>
      </c>
      <c r="E94" t="s" s="79">
        <v>1156</v>
      </c>
      <c r="F94" t="s" s="79">
        <v>193</v>
      </c>
      <c r="G94" s="80">
        <v>2</v>
      </c>
      <c r="H94" t="s" s="79">
        <v>1157</v>
      </c>
      <c r="I94" t="s" s="79">
        <v>1158</v>
      </c>
      <c r="J94" s="80">
        <v>18</v>
      </c>
      <c r="K94" t="s" s="79">
        <v>128</v>
      </c>
      <c r="L94" t="s" s="79">
        <v>121</v>
      </c>
      <c r="M94" s="78"/>
      <c r="N94" s="78"/>
      <c r="O94" s="78"/>
      <c r="P94" s="80">
        <v>2</v>
      </c>
      <c r="Q94" s="81">
        <v>6</v>
      </c>
      <c r="R94" s="81">
        <v>6</v>
      </c>
      <c r="S94" s="80">
        <v>0</v>
      </c>
      <c r="T94" s="80">
        <v>0</v>
      </c>
      <c r="U94" t="s" s="79">
        <v>122</v>
      </c>
      <c r="V94" s="78"/>
      <c r="W94" s="78"/>
      <c r="X94" s="78"/>
      <c r="Y94" s="78"/>
      <c r="Z94" s="78"/>
      <c r="AA94" s="78"/>
      <c r="AB94" t="s" s="79">
        <v>124</v>
      </c>
      <c r="AC94" t="s" s="79">
        <v>124</v>
      </c>
      <c r="AD94" t="s" s="82">
        <v>125</v>
      </c>
      <c r="AE94" s="67"/>
    </row>
    <row r="95" ht="15" customHeight="1">
      <c r="A95" t="s" s="87">
        <v>32</v>
      </c>
      <c r="B95" s="69">
        <v>20.6</v>
      </c>
      <c r="C95" t="b" s="70">
        <v>0</v>
      </c>
      <c r="D95" s="71"/>
      <c r="E95" t="s" s="72">
        <v>1159</v>
      </c>
      <c r="F95" t="s" s="72">
        <v>138</v>
      </c>
      <c r="G95" s="73">
        <v>10</v>
      </c>
      <c r="H95" t="s" s="72">
        <v>175</v>
      </c>
      <c r="I95" t="s" s="72">
        <v>175</v>
      </c>
      <c r="J95" s="73">
        <v>32</v>
      </c>
      <c r="K95" t="s" s="72">
        <v>145</v>
      </c>
      <c r="L95" t="s" s="72">
        <v>154</v>
      </c>
      <c r="M95" s="71"/>
      <c r="N95" s="71"/>
      <c r="O95" s="71"/>
      <c r="P95" s="73">
        <v>0</v>
      </c>
      <c r="Q95" s="74">
        <v>0</v>
      </c>
      <c r="R95" s="74">
        <v>0</v>
      </c>
      <c r="S95" s="73">
        <v>0</v>
      </c>
      <c r="T95" s="73">
        <v>0</v>
      </c>
      <c r="U95" t="s" s="72">
        <v>122</v>
      </c>
      <c r="V95" s="73">
        <v>2</v>
      </c>
      <c r="W95" s="74">
        <v>6</v>
      </c>
      <c r="X95" s="74">
        <v>6</v>
      </c>
      <c r="Y95" s="73">
        <v>0</v>
      </c>
      <c r="Z95" s="73">
        <v>0</v>
      </c>
      <c r="AA95" t="s" s="72">
        <v>123</v>
      </c>
      <c r="AB95" t="s" s="72">
        <v>124</v>
      </c>
      <c r="AC95" t="s" s="72">
        <v>124</v>
      </c>
      <c r="AD95" t="s" s="75">
        <v>125</v>
      </c>
      <c r="AE95" s="67"/>
    </row>
    <row r="96" ht="15" customHeight="1">
      <c r="A96" t="s" s="87">
        <v>32</v>
      </c>
      <c r="B96" s="76">
        <v>20.5</v>
      </c>
      <c r="C96" t="b" s="77">
        <v>0</v>
      </c>
      <c r="D96" s="78"/>
      <c r="E96" t="s" s="79">
        <v>1160</v>
      </c>
      <c r="F96" t="s" s="79">
        <v>168</v>
      </c>
      <c r="G96" s="80">
        <v>10</v>
      </c>
      <c r="H96" t="s" s="79">
        <v>175</v>
      </c>
      <c r="I96" t="s" s="79">
        <v>493</v>
      </c>
      <c r="J96" s="80">
        <v>22</v>
      </c>
      <c r="K96" t="s" s="79">
        <v>1161</v>
      </c>
      <c r="L96" t="s" s="79">
        <v>121</v>
      </c>
      <c r="M96" s="78"/>
      <c r="N96" s="78"/>
      <c r="O96" s="78"/>
      <c r="P96" s="80">
        <v>1</v>
      </c>
      <c r="Q96" s="81">
        <v>6</v>
      </c>
      <c r="R96" s="81">
        <v>6</v>
      </c>
      <c r="S96" s="80">
        <v>0</v>
      </c>
      <c r="T96" s="80">
        <v>0</v>
      </c>
      <c r="U96" t="s" s="79">
        <v>122</v>
      </c>
      <c r="V96" s="78"/>
      <c r="W96" s="78"/>
      <c r="X96" s="78"/>
      <c r="Y96" s="78"/>
      <c r="Z96" s="78"/>
      <c r="AA96" s="78"/>
      <c r="AB96" t="s" s="79">
        <v>124</v>
      </c>
      <c r="AC96" t="s" s="79">
        <v>124</v>
      </c>
      <c r="AD96" t="s" s="82">
        <v>125</v>
      </c>
      <c r="AE96" s="67"/>
    </row>
    <row r="97" ht="15" customHeight="1">
      <c r="A97" t="s" s="87">
        <v>32</v>
      </c>
      <c r="B97" s="69">
        <v>19.6</v>
      </c>
      <c r="C97" t="b" s="70">
        <v>0</v>
      </c>
      <c r="D97" s="71"/>
      <c r="E97" t="s" s="72">
        <v>1162</v>
      </c>
      <c r="F97" t="s" s="72">
        <v>147</v>
      </c>
      <c r="G97" s="73">
        <v>6</v>
      </c>
      <c r="H97" t="s" s="72">
        <v>175</v>
      </c>
      <c r="I97" t="s" s="72">
        <v>203</v>
      </c>
      <c r="J97" s="73">
        <v>19</v>
      </c>
      <c r="K97" t="s" s="72">
        <v>190</v>
      </c>
      <c r="L97" t="s" s="72">
        <v>154</v>
      </c>
      <c r="M97" s="71"/>
      <c r="N97" s="71"/>
      <c r="O97" s="71"/>
      <c r="P97" s="73">
        <v>2</v>
      </c>
      <c r="Q97" s="74">
        <v>5.75</v>
      </c>
      <c r="R97" s="74">
        <v>5.75</v>
      </c>
      <c r="S97" s="73">
        <v>0</v>
      </c>
      <c r="T97" s="73">
        <v>0</v>
      </c>
      <c r="U97" t="s" s="72">
        <v>122</v>
      </c>
      <c r="V97" s="73">
        <v>8</v>
      </c>
      <c r="W97" s="74">
        <v>5.94</v>
      </c>
      <c r="X97" s="74">
        <v>6.62</v>
      </c>
      <c r="Y97" s="73">
        <v>2</v>
      </c>
      <c r="Z97" s="73">
        <v>0</v>
      </c>
      <c r="AA97" t="s" s="72">
        <v>123</v>
      </c>
      <c r="AB97" t="s" s="72">
        <v>124</v>
      </c>
      <c r="AC97" t="s" s="72">
        <v>124</v>
      </c>
      <c r="AD97" t="s" s="75">
        <v>125</v>
      </c>
      <c r="AE97" s="67"/>
    </row>
    <row r="98" ht="15" customHeight="1">
      <c r="A98" t="s" s="87">
        <v>32</v>
      </c>
      <c r="B98" s="76">
        <v>19</v>
      </c>
      <c r="C98" t="b" s="77">
        <v>0</v>
      </c>
      <c r="D98" s="78"/>
      <c r="E98" t="s" s="79">
        <v>1163</v>
      </c>
      <c r="F98" t="s" s="79">
        <v>183</v>
      </c>
      <c r="G98" s="80">
        <v>10</v>
      </c>
      <c r="H98" t="s" s="79">
        <v>175</v>
      </c>
      <c r="I98" t="s" s="79">
        <v>493</v>
      </c>
      <c r="J98" s="80">
        <v>20</v>
      </c>
      <c r="K98" t="s" s="79">
        <v>145</v>
      </c>
      <c r="L98" t="s" s="79">
        <v>121</v>
      </c>
      <c r="M98" s="78"/>
      <c r="N98" s="78"/>
      <c r="O98" s="78"/>
      <c r="P98" s="80">
        <v>0</v>
      </c>
      <c r="Q98" s="81">
        <v>0</v>
      </c>
      <c r="R98" s="81">
        <v>0</v>
      </c>
      <c r="S98" s="80">
        <v>0</v>
      </c>
      <c r="T98" s="80">
        <v>0</v>
      </c>
      <c r="U98" t="s" s="79">
        <v>122</v>
      </c>
      <c r="V98" s="78"/>
      <c r="W98" s="78"/>
      <c r="X98" s="78"/>
      <c r="Y98" s="78"/>
      <c r="Z98" s="78"/>
      <c r="AA98" s="78"/>
      <c r="AB98" t="s" s="79">
        <v>124</v>
      </c>
      <c r="AC98" t="s" s="79">
        <v>124</v>
      </c>
      <c r="AD98" t="s" s="82">
        <v>125</v>
      </c>
      <c r="AE98" s="67"/>
    </row>
    <row r="99" ht="15" customHeight="1">
      <c r="A99" t="s" s="87">
        <v>32</v>
      </c>
      <c r="B99" s="69">
        <v>19</v>
      </c>
      <c r="C99" t="b" s="70">
        <v>0</v>
      </c>
      <c r="D99" s="71"/>
      <c r="E99" t="s" s="72">
        <v>1164</v>
      </c>
      <c r="F99" t="s" s="72">
        <v>193</v>
      </c>
      <c r="G99" s="73">
        <v>10</v>
      </c>
      <c r="H99" t="s" s="72">
        <v>175</v>
      </c>
      <c r="I99" t="s" s="72">
        <v>445</v>
      </c>
      <c r="J99" s="73">
        <v>23</v>
      </c>
      <c r="K99" t="s" s="72">
        <v>395</v>
      </c>
      <c r="L99" t="s" s="72">
        <v>154</v>
      </c>
      <c r="M99" s="71"/>
      <c r="N99" s="71"/>
      <c r="O99" s="71"/>
      <c r="P99" s="73">
        <v>0</v>
      </c>
      <c r="Q99" s="74">
        <v>0</v>
      </c>
      <c r="R99" s="74">
        <v>0</v>
      </c>
      <c r="S99" s="73">
        <v>0</v>
      </c>
      <c r="T99" s="73">
        <v>0</v>
      </c>
      <c r="U99" t="s" s="72">
        <v>122</v>
      </c>
      <c r="V99" s="73">
        <v>0</v>
      </c>
      <c r="W99" s="74">
        <v>0</v>
      </c>
      <c r="X99" s="74">
        <v>0</v>
      </c>
      <c r="Y99" s="73">
        <v>0</v>
      </c>
      <c r="Z99" s="73">
        <v>0</v>
      </c>
      <c r="AA99" t="s" s="72">
        <v>123</v>
      </c>
      <c r="AB99" t="s" s="72">
        <v>124</v>
      </c>
      <c r="AC99" t="s" s="72">
        <v>124</v>
      </c>
      <c r="AD99" t="s" s="75">
        <v>125</v>
      </c>
      <c r="AE99" s="67"/>
    </row>
    <row r="100" ht="15" customHeight="1">
      <c r="A100" t="s" s="87">
        <v>32</v>
      </c>
      <c r="B100" s="76">
        <v>16.2</v>
      </c>
      <c r="C100" t="b" s="77">
        <v>0</v>
      </c>
      <c r="D100" s="78"/>
      <c r="E100" t="s" s="79">
        <v>1165</v>
      </c>
      <c r="F100" t="s" s="79">
        <v>187</v>
      </c>
      <c r="G100" s="80">
        <v>9</v>
      </c>
      <c r="H100" t="s" s="79">
        <v>175</v>
      </c>
      <c r="I100" t="s" s="79">
        <v>493</v>
      </c>
      <c r="J100" s="80">
        <v>19</v>
      </c>
      <c r="K100" t="s" s="79">
        <v>304</v>
      </c>
      <c r="L100" t="s" s="79">
        <v>121</v>
      </c>
      <c r="M100" s="78"/>
      <c r="N100" s="78"/>
      <c r="O100" s="78"/>
      <c r="P100" s="80">
        <v>0</v>
      </c>
      <c r="Q100" s="81">
        <v>0</v>
      </c>
      <c r="R100" s="81">
        <v>0</v>
      </c>
      <c r="S100" s="80">
        <v>0</v>
      </c>
      <c r="T100" s="80">
        <v>0</v>
      </c>
      <c r="U100" t="s" s="79">
        <v>122</v>
      </c>
      <c r="V100" s="78"/>
      <c r="W100" s="78"/>
      <c r="X100" s="78"/>
      <c r="Y100" s="78"/>
      <c r="Z100" s="78"/>
      <c r="AA100" s="78"/>
      <c r="AB100" t="s" s="79">
        <v>124</v>
      </c>
      <c r="AC100" t="s" s="79">
        <v>124</v>
      </c>
      <c r="AD100" t="s" s="82">
        <v>125</v>
      </c>
      <c r="AE100" s="67"/>
    </row>
    <row r="101" ht="15" customHeight="1">
      <c r="A101" t="s" s="87">
        <v>32</v>
      </c>
      <c r="B101" s="69">
        <v>16.2</v>
      </c>
      <c r="C101" t="b" s="70">
        <v>0</v>
      </c>
      <c r="D101" s="71"/>
      <c r="E101" t="s" s="72">
        <v>1166</v>
      </c>
      <c r="F101" t="s" s="72">
        <v>144</v>
      </c>
      <c r="G101" s="73">
        <v>9</v>
      </c>
      <c r="H101" t="s" s="72">
        <v>175</v>
      </c>
      <c r="I101" t="s" s="72">
        <v>445</v>
      </c>
      <c r="J101" s="73">
        <v>28</v>
      </c>
      <c r="K101" t="s" s="72">
        <v>197</v>
      </c>
      <c r="L101" t="s" s="72">
        <v>121</v>
      </c>
      <c r="M101" s="71"/>
      <c r="N101" s="71"/>
      <c r="O101" s="71"/>
      <c r="P101" s="71"/>
      <c r="Q101" s="71"/>
      <c r="R101" s="71"/>
      <c r="S101" s="71"/>
      <c r="T101" s="71"/>
      <c r="U101" s="71"/>
      <c r="V101" s="73">
        <v>0</v>
      </c>
      <c r="W101" s="74">
        <v>0</v>
      </c>
      <c r="X101" s="74">
        <v>0</v>
      </c>
      <c r="Y101" s="73">
        <v>0</v>
      </c>
      <c r="Z101" s="73">
        <v>0</v>
      </c>
      <c r="AA101" t="s" s="72">
        <v>123</v>
      </c>
      <c r="AB101" t="s" s="72">
        <v>125</v>
      </c>
      <c r="AC101" s="71"/>
      <c r="AD101" t="s" s="75">
        <v>125</v>
      </c>
      <c r="AE101" s="67"/>
    </row>
    <row r="102" ht="15" customHeight="1">
      <c r="A102" t="s" s="87">
        <v>32</v>
      </c>
      <c r="B102" s="76">
        <v>15.3</v>
      </c>
      <c r="C102" t="b" s="77">
        <v>0</v>
      </c>
      <c r="D102" s="78"/>
      <c r="E102" t="s" s="79">
        <v>1167</v>
      </c>
      <c r="F102" t="s" s="79">
        <v>156</v>
      </c>
      <c r="G102" s="80">
        <v>8</v>
      </c>
      <c r="H102" t="s" s="79">
        <v>175</v>
      </c>
      <c r="I102" t="s" s="79">
        <v>445</v>
      </c>
      <c r="J102" s="78"/>
      <c r="K102" s="78"/>
      <c r="L102" s="78"/>
      <c r="M102" s="78"/>
      <c r="N102" s="78"/>
      <c r="O102" s="78"/>
      <c r="P102" s="78"/>
      <c r="Q102" s="78"/>
      <c r="R102" s="78"/>
      <c r="S102" s="78"/>
      <c r="T102" s="78"/>
      <c r="U102" s="78"/>
      <c r="V102" s="78"/>
      <c r="W102" s="78"/>
      <c r="X102" s="78"/>
      <c r="Y102" s="78"/>
      <c r="Z102" s="78"/>
      <c r="AA102" s="78"/>
      <c r="AB102" t="s" s="79">
        <v>125</v>
      </c>
      <c r="AC102" s="78"/>
      <c r="AD102" t="s" s="82">
        <v>125</v>
      </c>
      <c r="AE102" s="67"/>
    </row>
    <row r="103" ht="15" customHeight="1">
      <c r="A103" t="s" s="87">
        <v>32</v>
      </c>
      <c r="B103" s="69">
        <v>15.3</v>
      </c>
      <c r="C103" t="b" s="70">
        <v>0</v>
      </c>
      <c r="D103" s="71"/>
      <c r="E103" t="s" s="72">
        <v>1168</v>
      </c>
      <c r="F103" t="s" s="72">
        <v>193</v>
      </c>
      <c r="G103" s="73">
        <v>3</v>
      </c>
      <c r="H103" t="s" s="72">
        <v>175</v>
      </c>
      <c r="I103" t="s" s="72">
        <v>203</v>
      </c>
      <c r="J103" s="73">
        <v>19</v>
      </c>
      <c r="K103" t="s" s="72">
        <v>1055</v>
      </c>
      <c r="L103" t="s" s="72">
        <v>121</v>
      </c>
      <c r="M103" s="71"/>
      <c r="N103" s="71"/>
      <c r="O103" s="71"/>
      <c r="P103" s="73">
        <v>1</v>
      </c>
      <c r="Q103" s="74">
        <v>5.5</v>
      </c>
      <c r="R103" s="74">
        <v>5.5</v>
      </c>
      <c r="S103" s="73">
        <v>0</v>
      </c>
      <c r="T103" s="73">
        <v>0</v>
      </c>
      <c r="U103" t="s" s="72">
        <v>122</v>
      </c>
      <c r="V103" s="73">
        <v>25</v>
      </c>
      <c r="W103" s="74">
        <v>5.66</v>
      </c>
      <c r="X103" s="74">
        <v>5.84</v>
      </c>
      <c r="Y103" s="73">
        <v>1</v>
      </c>
      <c r="Z103" s="73">
        <v>2</v>
      </c>
      <c r="AA103" t="s" s="72">
        <v>123</v>
      </c>
      <c r="AB103" t="s" s="72">
        <v>124</v>
      </c>
      <c r="AC103" t="s" s="72">
        <v>124</v>
      </c>
      <c r="AD103" t="s" s="75">
        <v>125</v>
      </c>
      <c r="AE103" s="67"/>
    </row>
    <row r="104" ht="15" customHeight="1">
      <c r="A104" t="s" s="87">
        <v>32</v>
      </c>
      <c r="B104" s="76">
        <v>14.2</v>
      </c>
      <c r="C104" t="b" s="77">
        <v>0</v>
      </c>
      <c r="D104" s="78"/>
      <c r="E104" t="s" s="79">
        <v>1169</v>
      </c>
      <c r="F104" t="s" s="79">
        <v>187</v>
      </c>
      <c r="G104" s="80">
        <v>3</v>
      </c>
      <c r="H104" t="s" s="79">
        <v>175</v>
      </c>
      <c r="I104" t="s" s="79">
        <v>203</v>
      </c>
      <c r="J104" s="80">
        <v>21</v>
      </c>
      <c r="K104" t="s" s="79">
        <v>204</v>
      </c>
      <c r="L104" s="78"/>
      <c r="M104" s="78"/>
      <c r="N104" s="78"/>
      <c r="O104" s="78"/>
      <c r="P104" s="78"/>
      <c r="Q104" s="78"/>
      <c r="R104" s="78"/>
      <c r="S104" s="78"/>
      <c r="T104" s="78"/>
      <c r="U104" s="78"/>
      <c r="V104" s="80">
        <v>29</v>
      </c>
      <c r="W104" s="81">
        <v>5.91</v>
      </c>
      <c r="X104" s="81">
        <v>6.05</v>
      </c>
      <c r="Y104" s="80">
        <v>1</v>
      </c>
      <c r="Z104" s="80">
        <v>5</v>
      </c>
      <c r="AA104" t="s" s="79">
        <v>670</v>
      </c>
      <c r="AB104" t="s" s="79">
        <v>125</v>
      </c>
      <c r="AC104" s="78"/>
      <c r="AD104" t="s" s="82">
        <v>125</v>
      </c>
      <c r="AE104" s="67"/>
    </row>
    <row r="105" ht="15" customHeight="1">
      <c r="A105" t="s" s="87">
        <v>32</v>
      </c>
      <c r="B105" s="69">
        <v>14.2</v>
      </c>
      <c r="C105" t="b" s="70">
        <v>0</v>
      </c>
      <c r="D105" s="71"/>
      <c r="E105" t="s" s="72">
        <v>1170</v>
      </c>
      <c r="F105" t="s" s="72">
        <v>183</v>
      </c>
      <c r="G105" s="73">
        <v>6</v>
      </c>
      <c r="H105" t="s" s="72">
        <v>175</v>
      </c>
      <c r="I105" t="s" s="72">
        <v>445</v>
      </c>
      <c r="J105" s="73">
        <v>28</v>
      </c>
      <c r="K105" t="s" s="72">
        <v>356</v>
      </c>
      <c r="L105" t="s" s="72">
        <v>154</v>
      </c>
      <c r="M105" s="71"/>
      <c r="N105" s="71"/>
      <c r="O105" s="71"/>
      <c r="P105" s="73">
        <v>0</v>
      </c>
      <c r="Q105" s="74">
        <v>0</v>
      </c>
      <c r="R105" s="74">
        <v>0</v>
      </c>
      <c r="S105" s="73">
        <v>0</v>
      </c>
      <c r="T105" s="73">
        <v>0</v>
      </c>
      <c r="U105" t="s" s="72">
        <v>122</v>
      </c>
      <c r="V105" s="71"/>
      <c r="W105" s="71"/>
      <c r="X105" s="71"/>
      <c r="Y105" s="71"/>
      <c r="Z105" s="71"/>
      <c r="AA105" s="71"/>
      <c r="AB105" t="s" s="72">
        <v>124</v>
      </c>
      <c r="AC105" t="s" s="72">
        <v>124</v>
      </c>
      <c r="AD105" t="s" s="75">
        <v>125</v>
      </c>
      <c r="AE105" s="67"/>
    </row>
    <row r="106" ht="15" customHeight="1">
      <c r="A106" t="s" s="87">
        <v>32</v>
      </c>
      <c r="B106" s="76">
        <v>14</v>
      </c>
      <c r="C106" t="b" s="77">
        <v>0</v>
      </c>
      <c r="D106" s="78"/>
      <c r="E106" t="s" s="79">
        <v>1171</v>
      </c>
      <c r="F106" t="s" s="79">
        <v>187</v>
      </c>
      <c r="G106" s="80">
        <v>3</v>
      </c>
      <c r="H106" t="s" s="79">
        <v>175</v>
      </c>
      <c r="I106" t="s" s="79">
        <v>203</v>
      </c>
      <c r="J106" s="80">
        <v>22</v>
      </c>
      <c r="K106" t="s" s="79">
        <v>1172</v>
      </c>
      <c r="L106" t="s" s="79">
        <v>154</v>
      </c>
      <c r="M106" s="78"/>
      <c r="N106" s="78"/>
      <c r="O106" s="78"/>
      <c r="P106" s="80">
        <v>1</v>
      </c>
      <c r="Q106" s="81">
        <v>6</v>
      </c>
      <c r="R106" s="81">
        <v>6</v>
      </c>
      <c r="S106" s="80">
        <v>0</v>
      </c>
      <c r="T106" s="80">
        <v>0</v>
      </c>
      <c r="U106" t="s" s="79">
        <v>122</v>
      </c>
      <c r="V106" s="80">
        <v>10</v>
      </c>
      <c r="W106" s="81">
        <v>5.45</v>
      </c>
      <c r="X106" s="81">
        <v>5.3</v>
      </c>
      <c r="Y106" s="80">
        <v>0</v>
      </c>
      <c r="Z106" s="80">
        <v>0</v>
      </c>
      <c r="AA106" t="s" s="79">
        <v>123</v>
      </c>
      <c r="AB106" t="s" s="79">
        <v>124</v>
      </c>
      <c r="AC106" t="s" s="79">
        <v>124</v>
      </c>
      <c r="AD106" t="s" s="82">
        <v>125</v>
      </c>
      <c r="AE106" s="67"/>
    </row>
    <row r="107" ht="15" customHeight="1">
      <c r="A107" t="s" s="87">
        <v>32</v>
      </c>
      <c r="B107" s="69">
        <v>12.8</v>
      </c>
      <c r="C107" t="b" s="70">
        <v>0</v>
      </c>
      <c r="D107" s="71"/>
      <c r="E107" t="s" s="72">
        <v>1173</v>
      </c>
      <c r="F107" t="s" s="72">
        <v>193</v>
      </c>
      <c r="G107" s="73">
        <v>4</v>
      </c>
      <c r="H107" t="s" s="72">
        <v>175</v>
      </c>
      <c r="I107" t="s" s="72">
        <v>493</v>
      </c>
      <c r="J107" s="73">
        <v>18</v>
      </c>
      <c r="K107" t="s" s="72">
        <v>316</v>
      </c>
      <c r="L107" t="s" s="72">
        <v>121</v>
      </c>
      <c r="M107" s="71"/>
      <c r="N107" s="71"/>
      <c r="O107" s="71"/>
      <c r="P107" s="73">
        <v>0</v>
      </c>
      <c r="Q107" s="74">
        <v>0</v>
      </c>
      <c r="R107" s="74">
        <v>0</v>
      </c>
      <c r="S107" s="73">
        <v>0</v>
      </c>
      <c r="T107" s="73">
        <v>0</v>
      </c>
      <c r="U107" t="s" s="72">
        <v>122</v>
      </c>
      <c r="V107" s="71"/>
      <c r="W107" s="71"/>
      <c r="X107" s="71"/>
      <c r="Y107" s="71"/>
      <c r="Z107" s="71"/>
      <c r="AA107" s="71"/>
      <c r="AB107" t="s" s="72">
        <v>124</v>
      </c>
      <c r="AC107" t="s" s="72">
        <v>124</v>
      </c>
      <c r="AD107" t="s" s="75">
        <v>125</v>
      </c>
      <c r="AE107" s="67"/>
    </row>
    <row r="108" ht="15" customHeight="1">
      <c r="A108" t="s" s="87">
        <v>32</v>
      </c>
      <c r="B108" s="76">
        <v>12.3</v>
      </c>
      <c r="C108" t="b" s="77">
        <v>0</v>
      </c>
      <c r="D108" s="78"/>
      <c r="E108" t="s" s="79">
        <v>1174</v>
      </c>
      <c r="F108" t="s" s="79">
        <v>117</v>
      </c>
      <c r="G108" s="80">
        <v>3</v>
      </c>
      <c r="H108" t="s" s="79">
        <v>175</v>
      </c>
      <c r="I108" t="s" s="79">
        <v>203</v>
      </c>
      <c r="J108" s="80">
        <v>17</v>
      </c>
      <c r="K108" t="s" s="79">
        <v>204</v>
      </c>
      <c r="L108" s="78"/>
      <c r="M108" s="78"/>
      <c r="N108" s="78"/>
      <c r="O108" s="78"/>
      <c r="P108" s="78"/>
      <c r="Q108" s="78"/>
      <c r="R108" s="78"/>
      <c r="S108" s="78"/>
      <c r="T108" s="78"/>
      <c r="U108" s="78"/>
      <c r="V108" s="80">
        <v>1</v>
      </c>
      <c r="W108" s="81">
        <v>6</v>
      </c>
      <c r="X108" s="81">
        <v>6</v>
      </c>
      <c r="Y108" s="80">
        <v>0</v>
      </c>
      <c r="Z108" s="80">
        <v>0</v>
      </c>
      <c r="AA108" t="s" s="79">
        <v>123</v>
      </c>
      <c r="AB108" t="s" s="79">
        <v>125</v>
      </c>
      <c r="AC108" s="78"/>
      <c r="AD108" t="s" s="82">
        <v>125</v>
      </c>
      <c r="AE108" s="67"/>
    </row>
    <row r="109" ht="15" customHeight="1">
      <c r="A109" t="s" s="87">
        <v>32</v>
      </c>
      <c r="B109" s="69">
        <v>10.8</v>
      </c>
      <c r="C109" t="b" s="70">
        <v>0</v>
      </c>
      <c r="D109" s="71"/>
      <c r="E109" t="s" s="72">
        <v>1175</v>
      </c>
      <c r="F109" t="s" s="72">
        <v>172</v>
      </c>
      <c r="G109" s="73">
        <v>3</v>
      </c>
      <c r="H109" t="s" s="72">
        <v>175</v>
      </c>
      <c r="I109" t="s" s="72">
        <v>175</v>
      </c>
      <c r="J109" s="73">
        <v>24</v>
      </c>
      <c r="K109" t="s" s="72">
        <v>1176</v>
      </c>
      <c r="L109" s="71"/>
      <c r="M109" s="71"/>
      <c r="N109" s="71"/>
      <c r="O109" s="71"/>
      <c r="P109" s="71"/>
      <c r="Q109" s="71"/>
      <c r="R109" s="71"/>
      <c r="S109" s="71"/>
      <c r="T109" s="71"/>
      <c r="U109" s="71"/>
      <c r="V109" s="73">
        <v>0</v>
      </c>
      <c r="W109" s="74">
        <v>0</v>
      </c>
      <c r="X109" s="74">
        <v>0</v>
      </c>
      <c r="Y109" s="73">
        <v>0</v>
      </c>
      <c r="Z109" s="73">
        <v>0</v>
      </c>
      <c r="AA109" t="s" s="72">
        <v>123</v>
      </c>
      <c r="AB109" t="s" s="72">
        <v>125</v>
      </c>
      <c r="AC109" s="71"/>
      <c r="AD109" t="s" s="75">
        <v>125</v>
      </c>
      <c r="AE109" s="67"/>
    </row>
    <row r="110" ht="15" customHeight="1">
      <c r="A110" t="s" s="87">
        <v>32</v>
      </c>
      <c r="B110" s="76">
        <v>10.3</v>
      </c>
      <c r="C110" t="b" s="77">
        <v>0</v>
      </c>
      <c r="D110" s="78"/>
      <c r="E110" t="s" s="79">
        <v>1177</v>
      </c>
      <c r="F110" t="s" s="79">
        <v>172</v>
      </c>
      <c r="G110" s="80">
        <v>2</v>
      </c>
      <c r="H110" t="s" s="79">
        <v>175</v>
      </c>
      <c r="I110" t="s" s="79">
        <v>175</v>
      </c>
      <c r="J110" s="80">
        <v>28</v>
      </c>
      <c r="K110" t="s" s="79">
        <v>204</v>
      </c>
      <c r="L110" s="78"/>
      <c r="M110" s="78"/>
      <c r="N110" s="78"/>
      <c r="O110" s="78"/>
      <c r="P110" s="78"/>
      <c r="Q110" s="78"/>
      <c r="R110" s="78"/>
      <c r="S110" s="78"/>
      <c r="T110" s="78"/>
      <c r="U110" s="78"/>
      <c r="V110" s="80">
        <v>5</v>
      </c>
      <c r="W110" s="81">
        <v>6</v>
      </c>
      <c r="X110" s="81">
        <v>5.9</v>
      </c>
      <c r="Y110" s="80">
        <v>0</v>
      </c>
      <c r="Z110" s="80">
        <v>0</v>
      </c>
      <c r="AA110" t="s" s="79">
        <v>123</v>
      </c>
      <c r="AB110" t="s" s="79">
        <v>125</v>
      </c>
      <c r="AC110" s="78"/>
      <c r="AD110" t="s" s="82">
        <v>125</v>
      </c>
      <c r="AE110" s="67"/>
    </row>
    <row r="111" ht="15" customHeight="1">
      <c r="A111" t="s" s="87">
        <v>32</v>
      </c>
      <c r="B111" s="69">
        <v>9.300000000000001</v>
      </c>
      <c r="C111" t="b" s="70">
        <v>0</v>
      </c>
      <c r="D111" s="71"/>
      <c r="E111" t="s" s="72">
        <v>1178</v>
      </c>
      <c r="F111" t="s" s="72">
        <v>147</v>
      </c>
      <c r="G111" s="73">
        <v>4</v>
      </c>
      <c r="H111" t="s" s="72">
        <v>175</v>
      </c>
      <c r="I111" t="s" s="72">
        <v>559</v>
      </c>
      <c r="J111" s="73">
        <v>20</v>
      </c>
      <c r="K111" t="s" s="72">
        <v>1179</v>
      </c>
      <c r="L111" t="s" s="72">
        <v>154</v>
      </c>
      <c r="M111" s="71"/>
      <c r="N111" s="71"/>
      <c r="O111" t="s" s="88">
        <v>268</v>
      </c>
      <c r="P111" s="73">
        <v>0</v>
      </c>
      <c r="Q111" s="74">
        <v>0</v>
      </c>
      <c r="R111" s="74">
        <v>0</v>
      </c>
      <c r="S111" s="73">
        <v>0</v>
      </c>
      <c r="T111" s="73">
        <v>0</v>
      </c>
      <c r="U111" t="s" s="72">
        <v>122</v>
      </c>
      <c r="V111" s="73">
        <v>4</v>
      </c>
      <c r="W111" s="74">
        <v>5.75</v>
      </c>
      <c r="X111" s="74">
        <v>5.75</v>
      </c>
      <c r="Y111" s="73">
        <v>0</v>
      </c>
      <c r="Z111" s="73">
        <v>0</v>
      </c>
      <c r="AA111" t="s" s="72">
        <v>123</v>
      </c>
      <c r="AB111" t="s" s="72">
        <v>124</v>
      </c>
      <c r="AC111" t="s" s="72">
        <v>124</v>
      </c>
      <c r="AD111" t="s" s="75">
        <v>125</v>
      </c>
      <c r="AE111" s="67"/>
    </row>
    <row r="112" ht="15" customHeight="1">
      <c r="A112" t="s" s="87">
        <v>32</v>
      </c>
      <c r="B112" s="76">
        <v>9.199999999999999</v>
      </c>
      <c r="C112" t="b" s="77">
        <v>0</v>
      </c>
      <c r="D112" s="78"/>
      <c r="E112" t="s" s="79">
        <v>1180</v>
      </c>
      <c r="F112" t="s" s="79">
        <v>163</v>
      </c>
      <c r="G112" s="80">
        <v>6</v>
      </c>
      <c r="H112" t="s" s="79">
        <v>175</v>
      </c>
      <c r="I112" t="s" s="79">
        <v>569</v>
      </c>
      <c r="J112" s="80">
        <v>25</v>
      </c>
      <c r="K112" t="s" s="79">
        <v>204</v>
      </c>
      <c r="L112" s="78"/>
      <c r="M112" s="78"/>
      <c r="N112" s="78"/>
      <c r="O112" t="s" s="88">
        <v>268</v>
      </c>
      <c r="P112" s="78"/>
      <c r="Q112" s="78"/>
      <c r="R112" s="78"/>
      <c r="S112" s="78"/>
      <c r="T112" s="78"/>
      <c r="U112" s="78"/>
      <c r="V112" s="78"/>
      <c r="W112" s="78"/>
      <c r="X112" s="78"/>
      <c r="Y112" s="78"/>
      <c r="Z112" s="78"/>
      <c r="AA112" s="78"/>
      <c r="AB112" t="s" s="79">
        <v>125</v>
      </c>
      <c r="AC112" s="78"/>
      <c r="AD112" t="s" s="82">
        <v>125</v>
      </c>
      <c r="AE112" s="67"/>
    </row>
    <row r="113" ht="15" customHeight="1">
      <c r="A113" t="s" s="87">
        <v>32</v>
      </c>
      <c r="B113" s="69">
        <v>8.5</v>
      </c>
      <c r="C113" t="b" s="70">
        <v>0</v>
      </c>
      <c r="D113" s="71"/>
      <c r="E113" t="s" s="72">
        <v>1181</v>
      </c>
      <c r="F113" t="s" s="72">
        <v>180</v>
      </c>
      <c r="G113" s="73">
        <v>2</v>
      </c>
      <c r="H113" t="s" s="72">
        <v>175</v>
      </c>
      <c r="I113" t="s" s="72">
        <v>203</v>
      </c>
      <c r="J113" s="73">
        <v>20</v>
      </c>
      <c r="K113" t="s" s="72">
        <v>1182</v>
      </c>
      <c r="L113" s="71"/>
      <c r="M113" s="71"/>
      <c r="N113" s="71"/>
      <c r="O113" s="71"/>
      <c r="P113" s="71"/>
      <c r="Q113" s="71"/>
      <c r="R113" s="71"/>
      <c r="S113" s="71"/>
      <c r="T113" s="71"/>
      <c r="U113" s="71"/>
      <c r="V113" s="71"/>
      <c r="W113" s="71"/>
      <c r="X113" s="71"/>
      <c r="Y113" s="71"/>
      <c r="Z113" s="71"/>
      <c r="AA113" s="71"/>
      <c r="AB113" t="s" s="72">
        <v>125</v>
      </c>
      <c r="AC113" s="71"/>
      <c r="AD113" t="s" s="75">
        <v>125</v>
      </c>
      <c r="AE113" s="67"/>
    </row>
    <row r="114" ht="15" customHeight="1">
      <c r="A114" t="s" s="87">
        <v>32</v>
      </c>
      <c r="B114" s="76">
        <v>7.5</v>
      </c>
      <c r="C114" t="b" s="77">
        <v>0</v>
      </c>
      <c r="D114" s="78"/>
      <c r="E114" t="s" s="79">
        <v>1183</v>
      </c>
      <c r="F114" t="s" s="79">
        <v>134</v>
      </c>
      <c r="G114" s="80">
        <v>1</v>
      </c>
      <c r="H114" t="s" s="79">
        <v>175</v>
      </c>
      <c r="I114" t="s" s="79">
        <v>1184</v>
      </c>
      <c r="J114" s="80">
        <v>19</v>
      </c>
      <c r="K114" t="s" s="79">
        <v>639</v>
      </c>
      <c r="L114" t="s" s="79">
        <v>258</v>
      </c>
      <c r="M114" t="s" s="79">
        <v>272</v>
      </c>
      <c r="N114" s="78"/>
      <c r="O114" s="78"/>
      <c r="P114" s="78"/>
      <c r="Q114" s="78"/>
      <c r="R114" s="78"/>
      <c r="S114" s="78"/>
      <c r="T114" s="78"/>
      <c r="U114" s="78"/>
      <c r="V114" s="78"/>
      <c r="W114" s="78"/>
      <c r="X114" s="78"/>
      <c r="Y114" s="78"/>
      <c r="Z114" s="78"/>
      <c r="AA114" s="78"/>
      <c r="AB114" t="s" s="79">
        <v>125</v>
      </c>
      <c r="AC114" s="78"/>
      <c r="AD114" t="s" s="82">
        <v>125</v>
      </c>
      <c r="AE114" s="67"/>
    </row>
    <row r="115" ht="15" customHeight="1">
      <c r="A115" t="s" s="87">
        <v>32</v>
      </c>
      <c r="B115" s="69">
        <v>4.5</v>
      </c>
      <c r="C115" t="b" s="70">
        <v>0</v>
      </c>
      <c r="D115" s="71"/>
      <c r="E115" t="s" s="72">
        <v>1185</v>
      </c>
      <c r="F115" t="s" s="72">
        <v>156</v>
      </c>
      <c r="G115" s="73">
        <v>1</v>
      </c>
      <c r="H115" t="s" s="72">
        <v>175</v>
      </c>
      <c r="I115" t="s" s="72">
        <v>203</v>
      </c>
      <c r="J115" s="73">
        <v>18</v>
      </c>
      <c r="K115" t="s" s="72">
        <v>1186</v>
      </c>
      <c r="L115" s="71"/>
      <c r="M115" s="71"/>
      <c r="N115" s="71"/>
      <c r="O115" s="71"/>
      <c r="P115" s="71"/>
      <c r="Q115" s="71"/>
      <c r="R115" s="71"/>
      <c r="S115" s="71"/>
      <c r="T115" s="71"/>
      <c r="U115" s="71"/>
      <c r="V115" s="71"/>
      <c r="W115" s="71"/>
      <c r="X115" s="71"/>
      <c r="Y115" s="71"/>
      <c r="Z115" s="71"/>
      <c r="AA115" s="71"/>
      <c r="AB115" t="s" s="72">
        <v>125</v>
      </c>
      <c r="AC115" s="71"/>
      <c r="AD115" t="s" s="75">
        <v>125</v>
      </c>
      <c r="AE115" s="67"/>
    </row>
    <row r="116" ht="15" customHeight="1">
      <c r="A116" t="s" s="87">
        <v>32</v>
      </c>
      <c r="B116" s="76">
        <v>4.5</v>
      </c>
      <c r="C116" t="b" s="77">
        <v>0</v>
      </c>
      <c r="D116" s="78"/>
      <c r="E116" t="s" s="79">
        <v>1187</v>
      </c>
      <c r="F116" t="s" s="79">
        <v>130</v>
      </c>
      <c r="G116" s="80">
        <v>1</v>
      </c>
      <c r="H116" t="s" s="79">
        <v>175</v>
      </c>
      <c r="I116" t="s" s="79">
        <v>203</v>
      </c>
      <c r="J116" s="80">
        <v>19</v>
      </c>
      <c r="K116" t="s" s="79">
        <v>416</v>
      </c>
      <c r="L116" t="s" s="79">
        <v>154</v>
      </c>
      <c r="M116" s="78"/>
      <c r="N116" s="78"/>
      <c r="O116" s="78"/>
      <c r="P116" s="78"/>
      <c r="Q116" s="78"/>
      <c r="R116" s="78"/>
      <c r="S116" s="78"/>
      <c r="T116" s="78"/>
      <c r="U116" s="78"/>
      <c r="V116" s="80">
        <v>0</v>
      </c>
      <c r="W116" s="81">
        <v>0</v>
      </c>
      <c r="X116" s="81">
        <v>0</v>
      </c>
      <c r="Y116" s="80">
        <v>0</v>
      </c>
      <c r="Z116" s="80">
        <v>0</v>
      </c>
      <c r="AA116" t="s" s="79">
        <v>123</v>
      </c>
      <c r="AB116" t="s" s="79">
        <v>125</v>
      </c>
      <c r="AC116" s="78"/>
      <c r="AD116" t="s" s="82">
        <v>125</v>
      </c>
      <c r="AE116" s="67"/>
    </row>
    <row r="117" ht="15" customHeight="1">
      <c r="A117" t="s" s="87">
        <v>32</v>
      </c>
      <c r="B117" s="69">
        <v>4.5</v>
      </c>
      <c r="C117" t="b" s="70">
        <v>0</v>
      </c>
      <c r="D117" s="71"/>
      <c r="E117" t="s" s="72">
        <v>1188</v>
      </c>
      <c r="F117" t="s" s="72">
        <v>170</v>
      </c>
      <c r="G117" s="73">
        <v>1</v>
      </c>
      <c r="H117" t="s" s="72">
        <v>175</v>
      </c>
      <c r="I117" t="s" s="72">
        <v>203</v>
      </c>
      <c r="J117" s="73">
        <v>16</v>
      </c>
      <c r="K117" t="s" s="72">
        <v>204</v>
      </c>
      <c r="L117" s="71"/>
      <c r="M117" s="71"/>
      <c r="N117" s="71"/>
      <c r="O117" s="71"/>
      <c r="P117" s="71"/>
      <c r="Q117" s="71"/>
      <c r="R117" s="71"/>
      <c r="S117" s="71"/>
      <c r="T117" s="71"/>
      <c r="U117" s="71"/>
      <c r="V117" s="71"/>
      <c r="W117" s="71"/>
      <c r="X117" s="71"/>
      <c r="Y117" s="71"/>
      <c r="Z117" s="71"/>
      <c r="AA117" s="71"/>
      <c r="AB117" t="s" s="72">
        <v>125</v>
      </c>
      <c r="AC117" s="71"/>
      <c r="AD117" t="s" s="75">
        <v>125</v>
      </c>
      <c r="AE117" s="67"/>
    </row>
    <row r="118" ht="15" customHeight="1">
      <c r="A118" t="s" s="87">
        <v>32</v>
      </c>
      <c r="B118" s="76">
        <v>4.5</v>
      </c>
      <c r="C118" t="b" s="77">
        <v>0</v>
      </c>
      <c r="D118" s="78"/>
      <c r="E118" t="s" s="79">
        <v>1189</v>
      </c>
      <c r="F118" t="s" s="79">
        <v>172</v>
      </c>
      <c r="G118" s="80">
        <v>1</v>
      </c>
      <c r="H118" t="s" s="79">
        <v>175</v>
      </c>
      <c r="I118" t="s" s="79">
        <v>203</v>
      </c>
      <c r="J118" s="80">
        <v>18</v>
      </c>
      <c r="K118" t="s" s="79">
        <v>1190</v>
      </c>
      <c r="L118" s="78"/>
      <c r="M118" s="78"/>
      <c r="N118" s="78"/>
      <c r="O118" s="78"/>
      <c r="P118" s="78"/>
      <c r="Q118" s="78"/>
      <c r="R118" s="78"/>
      <c r="S118" s="78"/>
      <c r="T118" s="78"/>
      <c r="U118" s="78"/>
      <c r="V118" s="78"/>
      <c r="W118" s="78"/>
      <c r="X118" s="78"/>
      <c r="Y118" s="78"/>
      <c r="Z118" s="78"/>
      <c r="AA118" s="78"/>
      <c r="AB118" t="s" s="79">
        <v>125</v>
      </c>
      <c r="AC118" s="78"/>
      <c r="AD118" t="s" s="82">
        <v>125</v>
      </c>
      <c r="AE118" s="67"/>
    </row>
    <row r="119" ht="15" customHeight="1">
      <c r="A119" t="s" s="87">
        <v>32</v>
      </c>
      <c r="B119" s="69">
        <v>4.5</v>
      </c>
      <c r="C119" t="b" s="70">
        <v>0</v>
      </c>
      <c r="D119" s="71"/>
      <c r="E119" t="s" s="72">
        <v>1191</v>
      </c>
      <c r="F119" t="s" s="72">
        <v>159</v>
      </c>
      <c r="G119" s="73">
        <v>1</v>
      </c>
      <c r="H119" t="s" s="72">
        <v>175</v>
      </c>
      <c r="I119" t="s" s="72">
        <v>203</v>
      </c>
      <c r="J119" s="73">
        <v>19</v>
      </c>
      <c r="K119" t="s" s="72">
        <v>204</v>
      </c>
      <c r="L119" s="71"/>
      <c r="M119" s="71"/>
      <c r="N119" s="71"/>
      <c r="O119" s="71"/>
      <c r="P119" s="71"/>
      <c r="Q119" s="71"/>
      <c r="R119" s="71"/>
      <c r="S119" s="71"/>
      <c r="T119" s="71"/>
      <c r="U119" s="71"/>
      <c r="V119" s="71"/>
      <c r="W119" s="71"/>
      <c r="X119" s="71"/>
      <c r="Y119" s="71"/>
      <c r="Z119" s="71"/>
      <c r="AA119" s="71"/>
      <c r="AB119" t="s" s="72">
        <v>125</v>
      </c>
      <c r="AC119" s="71"/>
      <c r="AD119" t="s" s="75">
        <v>125</v>
      </c>
      <c r="AE119" s="67"/>
    </row>
    <row r="120" ht="15" customHeight="1">
      <c r="A120" t="s" s="87">
        <v>32</v>
      </c>
      <c r="B120" s="76">
        <v>4.5</v>
      </c>
      <c r="C120" t="b" s="77">
        <v>0</v>
      </c>
      <c r="D120" s="78"/>
      <c r="E120" t="s" s="79">
        <v>1192</v>
      </c>
      <c r="F120" t="s" s="79">
        <v>168</v>
      </c>
      <c r="G120" s="80">
        <v>1</v>
      </c>
      <c r="H120" t="s" s="79">
        <v>175</v>
      </c>
      <c r="I120" t="s" s="79">
        <v>203</v>
      </c>
      <c r="J120" s="80">
        <v>19</v>
      </c>
      <c r="K120" t="s" s="79">
        <v>206</v>
      </c>
      <c r="L120" t="s" s="79">
        <v>154</v>
      </c>
      <c r="M120" s="78"/>
      <c r="N120" s="78"/>
      <c r="O120" s="78"/>
      <c r="P120" s="80">
        <v>0</v>
      </c>
      <c r="Q120" s="81">
        <v>0</v>
      </c>
      <c r="R120" s="81">
        <v>0</v>
      </c>
      <c r="S120" s="80">
        <v>0</v>
      </c>
      <c r="T120" s="80">
        <v>0</v>
      </c>
      <c r="U120" t="s" s="79">
        <v>122</v>
      </c>
      <c r="V120" s="78"/>
      <c r="W120" s="78"/>
      <c r="X120" s="78"/>
      <c r="Y120" s="78"/>
      <c r="Z120" s="78"/>
      <c r="AA120" s="78"/>
      <c r="AB120" t="s" s="79">
        <v>124</v>
      </c>
      <c r="AC120" t="s" s="79">
        <v>124</v>
      </c>
      <c r="AD120" t="s" s="82">
        <v>125</v>
      </c>
      <c r="AE120" s="67"/>
    </row>
    <row r="121" ht="15" customHeight="1">
      <c r="A121" t="s" s="87">
        <v>32</v>
      </c>
      <c r="B121" s="69">
        <v>4.5</v>
      </c>
      <c r="C121" t="b" s="70">
        <v>0</v>
      </c>
      <c r="D121" s="71"/>
      <c r="E121" t="s" s="72">
        <v>1193</v>
      </c>
      <c r="F121" t="s" s="72">
        <v>134</v>
      </c>
      <c r="G121" s="73">
        <v>1</v>
      </c>
      <c r="H121" t="s" s="72">
        <v>175</v>
      </c>
      <c r="I121" t="s" s="72">
        <v>203</v>
      </c>
      <c r="J121" s="73">
        <v>19</v>
      </c>
      <c r="K121" t="s" s="72">
        <v>204</v>
      </c>
      <c r="L121" s="71"/>
      <c r="M121" s="71"/>
      <c r="N121" s="71"/>
      <c r="O121" s="71"/>
      <c r="P121" s="71"/>
      <c r="Q121" s="71"/>
      <c r="R121" s="71"/>
      <c r="S121" s="71"/>
      <c r="T121" s="71"/>
      <c r="U121" s="71"/>
      <c r="V121" s="73">
        <v>0</v>
      </c>
      <c r="W121" s="74">
        <v>0</v>
      </c>
      <c r="X121" s="74">
        <v>0</v>
      </c>
      <c r="Y121" s="73">
        <v>0</v>
      </c>
      <c r="Z121" s="73">
        <v>0</v>
      </c>
      <c r="AA121" t="s" s="72">
        <v>123</v>
      </c>
      <c r="AB121" t="s" s="72">
        <v>125</v>
      </c>
      <c r="AC121" s="71"/>
      <c r="AD121" t="s" s="75">
        <v>125</v>
      </c>
      <c r="AE121" s="67"/>
    </row>
    <row r="122" ht="15" customHeight="1">
      <c r="A122" t="s" s="87">
        <v>32</v>
      </c>
      <c r="B122" s="76">
        <v>4.5</v>
      </c>
      <c r="C122" t="b" s="77">
        <v>0</v>
      </c>
      <c r="D122" s="78"/>
      <c r="E122" t="s" s="79">
        <v>1194</v>
      </c>
      <c r="F122" t="s" s="79">
        <v>168</v>
      </c>
      <c r="G122" s="80">
        <v>1</v>
      </c>
      <c r="H122" t="s" s="79">
        <v>175</v>
      </c>
      <c r="I122" t="s" s="79">
        <v>203</v>
      </c>
      <c r="J122" s="80">
        <v>20</v>
      </c>
      <c r="K122" t="s" s="79">
        <v>184</v>
      </c>
      <c r="L122" t="s" s="79">
        <v>258</v>
      </c>
      <c r="M122" s="78"/>
      <c r="N122" s="78"/>
      <c r="O122" s="78"/>
      <c r="P122" s="78"/>
      <c r="Q122" s="78"/>
      <c r="R122" s="78"/>
      <c r="S122" s="78"/>
      <c r="T122" s="78"/>
      <c r="U122" s="78"/>
      <c r="V122" s="78"/>
      <c r="W122" s="78"/>
      <c r="X122" s="78"/>
      <c r="Y122" s="78"/>
      <c r="Z122" s="78"/>
      <c r="AA122" s="78"/>
      <c r="AB122" t="s" s="79">
        <v>125</v>
      </c>
      <c r="AC122" s="78"/>
      <c r="AD122" t="s" s="82">
        <v>125</v>
      </c>
      <c r="AE122" s="67"/>
    </row>
    <row r="123" ht="15" customHeight="1">
      <c r="A123" t="s" s="87">
        <v>32</v>
      </c>
      <c r="B123" s="69">
        <v>4.5</v>
      </c>
      <c r="C123" t="b" s="70">
        <v>0</v>
      </c>
      <c r="D123" s="71"/>
      <c r="E123" t="s" s="72">
        <v>1195</v>
      </c>
      <c r="F123" t="s" s="72">
        <v>183</v>
      </c>
      <c r="G123" s="73">
        <v>1</v>
      </c>
      <c r="H123" t="s" s="72">
        <v>175</v>
      </c>
      <c r="I123" t="s" s="72">
        <v>203</v>
      </c>
      <c r="J123" s="73">
        <v>19</v>
      </c>
      <c r="K123" t="s" s="72">
        <v>190</v>
      </c>
      <c r="L123" s="71"/>
      <c r="M123" s="71"/>
      <c r="N123" s="71"/>
      <c r="O123" s="71"/>
      <c r="P123" s="71"/>
      <c r="Q123" s="71"/>
      <c r="R123" s="71"/>
      <c r="S123" s="71"/>
      <c r="T123" s="71"/>
      <c r="U123" s="71"/>
      <c r="V123" s="71"/>
      <c r="W123" s="71"/>
      <c r="X123" s="71"/>
      <c r="Y123" s="71"/>
      <c r="Z123" s="71"/>
      <c r="AA123" s="71"/>
      <c r="AB123" t="s" s="72">
        <v>125</v>
      </c>
      <c r="AC123" s="71"/>
      <c r="AD123" t="s" s="75">
        <v>125</v>
      </c>
      <c r="AE123" s="67"/>
    </row>
    <row r="124" ht="15" customHeight="1">
      <c r="A124" t="s" s="89">
        <v>32</v>
      </c>
      <c r="B124" s="90">
        <v>0</v>
      </c>
      <c r="C124" t="b" s="91">
        <v>0</v>
      </c>
      <c r="D124" s="92"/>
      <c r="E124" t="s" s="93">
        <v>1196</v>
      </c>
      <c r="F124" t="s" s="93">
        <v>156</v>
      </c>
      <c r="G124" s="94">
        <v>1</v>
      </c>
      <c r="H124" t="s" s="93">
        <v>175</v>
      </c>
      <c r="I124" t="s" s="93">
        <v>1147</v>
      </c>
      <c r="J124" s="94">
        <v>19</v>
      </c>
      <c r="K124" t="s" s="93">
        <v>1190</v>
      </c>
      <c r="L124" s="92"/>
      <c r="M124" s="92"/>
      <c r="N124" s="92"/>
      <c r="O124" t="s" s="95">
        <v>889</v>
      </c>
      <c r="P124" s="92"/>
      <c r="Q124" s="92"/>
      <c r="R124" s="92"/>
      <c r="S124" s="92"/>
      <c r="T124" s="92"/>
      <c r="U124" s="92"/>
      <c r="V124" s="92"/>
      <c r="W124" s="92"/>
      <c r="X124" s="92"/>
      <c r="Y124" s="92"/>
      <c r="Z124" s="92"/>
      <c r="AA124" s="92"/>
      <c r="AB124" t="s" s="93">
        <v>125</v>
      </c>
      <c r="AC124" s="92"/>
      <c r="AD124" t="s" s="96">
        <v>125</v>
      </c>
      <c r="AE124" s="67"/>
    </row>
    <row r="125" ht="13.55" customHeight="1">
      <c r="A125" s="97"/>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c r="AE125" s="99"/>
    </row>
  </sheetData>
  <mergeCells count="2">
    <mergeCell ref="A2:AD2"/>
    <mergeCell ref="A1:AD1"/>
  </mergeCells>
  <hyperlinks>
    <hyperlink ref="AA5" r:id="rId1" location="" tooltip="" display="3/4"/>
    <hyperlink ref="AB5" r:id="rId2" location="" tooltip="" display="Apri"/>
    <hyperlink ref="AC5" r:id="rId3" location="" tooltip="" display="Apri"/>
    <hyperlink ref="AA6" r:id="rId4" location="" tooltip="" display="0/0"/>
    <hyperlink ref="AB6" r:id="rId5" location="" tooltip="" display="Apri"/>
    <hyperlink ref="AC6" r:id="rId6" location="" tooltip="" display="Apri"/>
    <hyperlink ref="AA7" r:id="rId7" location="" tooltip="" display="1/1"/>
    <hyperlink ref="AB7" r:id="rId8" location="" tooltip="" display="Apri"/>
    <hyperlink ref="AC7" r:id="rId9" location="" tooltip="" display="Apri"/>
    <hyperlink ref="AA8" r:id="rId10" location="" tooltip="" display="0/0"/>
    <hyperlink ref="AB8" r:id="rId11" location="" tooltip="" display="Apri"/>
    <hyperlink ref="AC8" r:id="rId12" location="" tooltip="" display="Apri"/>
    <hyperlink ref="AB9" r:id="rId13" location="" tooltip="" display="Apri"/>
    <hyperlink ref="AC9" r:id="rId14" location="" tooltip="" display="Apri"/>
    <hyperlink ref="AA10" r:id="rId15" location="" tooltip="" display="4/4"/>
    <hyperlink ref="AB10" r:id="rId16" location="" tooltip="" display="Apri"/>
    <hyperlink ref="AC10" r:id="rId17" location="" tooltip="" display="Apri"/>
    <hyperlink ref="AA11" r:id="rId18" location="" tooltip="" display="2/2"/>
    <hyperlink ref="AB11" r:id="rId19" location="" tooltip="" display="Apri"/>
    <hyperlink ref="AC11" r:id="rId20" location="" tooltip="" display="Apri"/>
    <hyperlink ref="AB12" r:id="rId21" location="" tooltip="" display="Apri"/>
    <hyperlink ref="AC12" r:id="rId22" location="" tooltip="" display="Apri"/>
    <hyperlink ref="AA13" r:id="rId23" location="" tooltip="" display="2/2"/>
    <hyperlink ref="AB13" r:id="rId24" location="" tooltip="" display="Apri"/>
    <hyperlink ref="AC13" r:id="rId25" location="" tooltip="" display="Apri"/>
    <hyperlink ref="AA14" r:id="rId26" location="" tooltip="" display="0/1"/>
    <hyperlink ref="AB14" r:id="rId27" location="" tooltip="" display="Apri"/>
    <hyperlink ref="AC14" r:id="rId28" location="" tooltip="" display="Apri"/>
    <hyperlink ref="AA15" r:id="rId29" location="" tooltip="" display="0/0"/>
    <hyperlink ref="AB15" r:id="rId30" location="" tooltip="" display="Apri"/>
    <hyperlink ref="AC15" r:id="rId31" location="" tooltip="" display="Apri"/>
    <hyperlink ref="AA16" r:id="rId32" location="" tooltip="" display="0/0"/>
    <hyperlink ref="AB16" r:id="rId33" location="" tooltip="" display="Apri"/>
    <hyperlink ref="AC16" r:id="rId34" location="" tooltip="" display="Apri"/>
    <hyperlink ref="AA17" r:id="rId35" location="" tooltip="" display="2/3"/>
    <hyperlink ref="AB17" r:id="rId36" location="" tooltip="" display="Apri"/>
    <hyperlink ref="AC17" r:id="rId37" location="" tooltip="" display="Apri"/>
    <hyperlink ref="AA18" r:id="rId38" location="" tooltip="" display="1/2"/>
    <hyperlink ref="AB18" r:id="rId39" location="" tooltip="" display="Apri"/>
    <hyperlink ref="AC18" r:id="rId40" location="" tooltip="" display="Apri"/>
    <hyperlink ref="AA19" r:id="rId41" location="" tooltip="" display="1/1"/>
    <hyperlink ref="AB19" r:id="rId42" location="" tooltip="" display="Apri"/>
    <hyperlink ref="AC19" r:id="rId43" location="" tooltip="" display="Apri"/>
    <hyperlink ref="AA20" r:id="rId44" location="" tooltip="" display="0/1"/>
    <hyperlink ref="AB20" r:id="rId45" location="" tooltip="" display="Apri"/>
    <hyperlink ref="AC20" r:id="rId46" location="" tooltip="" display="Apri"/>
    <hyperlink ref="AA21" r:id="rId47" location="" tooltip="" display="0/0"/>
    <hyperlink ref="AB21" r:id="rId48" location="" tooltip="" display="Apri"/>
    <hyperlink ref="AC21" r:id="rId49" location="" tooltip="" display="Apri"/>
    <hyperlink ref="AA22" r:id="rId50" location="" tooltip="" display="0/0"/>
    <hyperlink ref="AB22" r:id="rId51" location="" tooltip="" display="Apri"/>
    <hyperlink ref="AC22" r:id="rId52" location="" tooltip="" display="Apri"/>
    <hyperlink ref="AB23" r:id="rId53" location="" tooltip="" display="Apri"/>
    <hyperlink ref="AC23" r:id="rId54" location="" tooltip="" display="Apri"/>
    <hyperlink ref="AA24" r:id="rId55" location="" tooltip="" display="1/2"/>
    <hyperlink ref="AB24" r:id="rId56" location="" tooltip="" display="Apri"/>
    <hyperlink ref="AC24" r:id="rId57" location="" tooltip="" display="Apri"/>
    <hyperlink ref="AA25" r:id="rId58" location="" tooltip="" display="0/0"/>
    <hyperlink ref="AB25" r:id="rId59" location="" tooltip="" display="Apri"/>
    <hyperlink ref="AC25" r:id="rId60" location="" tooltip="" display="Apri"/>
    <hyperlink ref="AA26" r:id="rId61" location="" tooltip="" display="0/0"/>
    <hyperlink ref="AB26" r:id="rId62" location="" tooltip="" display="Apri"/>
    <hyperlink ref="AC26" r:id="rId63" location="" tooltip="" display="Apri"/>
    <hyperlink ref="AA27" r:id="rId64" location="" tooltip="" display="0/0"/>
    <hyperlink ref="AB27" r:id="rId65" location="" tooltip="" display="Apri"/>
    <hyperlink ref="AC27" r:id="rId66" location="" tooltip="" display="Apri"/>
    <hyperlink ref="AA28" r:id="rId67" location="" tooltip="" display="1/1"/>
    <hyperlink ref="AB28" r:id="rId68" location="" tooltip="" display="Apri"/>
    <hyperlink ref="AC28" r:id="rId69" location="" tooltip="" display="Apri"/>
    <hyperlink ref="AB29" r:id="rId70" location="" tooltip="" display="Apri"/>
    <hyperlink ref="AC29" r:id="rId71" location="" tooltip="" display="Apri"/>
    <hyperlink ref="AA30" r:id="rId72" location="" tooltip="" display="0/0"/>
    <hyperlink ref="AB30" r:id="rId73" location="" tooltip="" display="Apri"/>
    <hyperlink ref="AC30" r:id="rId74" location="" tooltip="" display="Apri"/>
    <hyperlink ref="AA31" r:id="rId75" location="" tooltip="" display="0/0"/>
    <hyperlink ref="AB31" r:id="rId76" location="" tooltip="" display="Apri"/>
    <hyperlink ref="AC31" r:id="rId77" location="" tooltip="" display="Apri"/>
    <hyperlink ref="AA32" r:id="rId78" location="" tooltip="" display="0/0"/>
    <hyperlink ref="AB32" r:id="rId79" location="" tooltip="" display="Apri"/>
    <hyperlink ref="AC32" r:id="rId80" location="" tooltip="" display="Apri"/>
    <hyperlink ref="AA33" r:id="rId81" location="" tooltip="" display="0/0"/>
    <hyperlink ref="AB33" r:id="rId82" location="" tooltip="" display="Apri"/>
    <hyperlink ref="AC33" r:id="rId83" location="" tooltip="" display="Apri"/>
    <hyperlink ref="AA34" r:id="rId84" location="" tooltip="" display="1/1"/>
    <hyperlink ref="AB34" r:id="rId85" location="" tooltip="" display="Apri"/>
    <hyperlink ref="AC34" r:id="rId86" location="" tooltip="" display="Apri"/>
    <hyperlink ref="AA35" r:id="rId87" location="" tooltip="" display="0/0"/>
    <hyperlink ref="AB35" r:id="rId88" location="" tooltip="" display="Apri"/>
    <hyperlink ref="AC35" r:id="rId89" location="" tooltip="" display="Apri"/>
    <hyperlink ref="AB36" r:id="rId90" location="" tooltip="" display="Apri"/>
    <hyperlink ref="AC36" r:id="rId91" location="" tooltip="" display="Apri"/>
    <hyperlink ref="AA37" r:id="rId92" location="" tooltip="" display="0/0"/>
    <hyperlink ref="AB37" r:id="rId93" location="" tooltip="" display="Apri"/>
    <hyperlink ref="AC37" r:id="rId94" location="" tooltip="" display="Apri"/>
    <hyperlink ref="AA38" r:id="rId95" location="" tooltip="" display="0/0"/>
    <hyperlink ref="AB38" r:id="rId96" location="" tooltip="" display="Apri"/>
    <hyperlink ref="AC38" r:id="rId97" location="" tooltip="" display="Apri"/>
    <hyperlink ref="AA39" r:id="rId98" location="" tooltip="" display="0/0"/>
    <hyperlink ref="AB39" r:id="rId99" location="" tooltip="" display="Apri"/>
    <hyperlink ref="AC39" r:id="rId100" location="" tooltip="" display="Apri"/>
    <hyperlink ref="AB40" r:id="rId101" location="" tooltip="" display="Apri"/>
    <hyperlink ref="AC40" r:id="rId102" location="" tooltip="" display="Apri"/>
    <hyperlink ref="AA41" r:id="rId103" location="" tooltip="" display="0/0"/>
    <hyperlink ref="AB41" r:id="rId104" location="" tooltip="" display="Apri"/>
    <hyperlink ref="AC41" r:id="rId105" location="" tooltip="" display="Apri"/>
    <hyperlink ref="AA42" r:id="rId106" location="" tooltip="" display="0/0"/>
    <hyperlink ref="AB42" r:id="rId107" location="" tooltip="" display="Apri"/>
    <hyperlink ref="AC42" r:id="rId108" location="" tooltip="" display="Apri"/>
    <hyperlink ref="AA43" r:id="rId109" location="" tooltip="" display="0/1"/>
    <hyperlink ref="AB43" r:id="rId110" location="" tooltip="" display="Apri"/>
    <hyperlink ref="AC43" r:id="rId111" location="" tooltip="" display="Apri"/>
    <hyperlink ref="AA44" r:id="rId112" location="" tooltip="" display="0/0"/>
    <hyperlink ref="AB44" r:id="rId113" location="" tooltip="" display="Apri"/>
    <hyperlink ref="AC44" r:id="rId114" location="" tooltip="" display="Apri"/>
    <hyperlink ref="AA45" r:id="rId115" location="" tooltip="" display="0/0"/>
    <hyperlink ref="AB45" r:id="rId116" location="" tooltip="" display="Apri"/>
    <hyperlink ref="AC45" r:id="rId117" location="" tooltip="" display="Apri"/>
    <hyperlink ref="AA46" r:id="rId118" location="" tooltip="" display="0/0"/>
    <hyperlink ref="AB46" r:id="rId119" location="" tooltip="" display="Apri"/>
    <hyperlink ref="AC46" r:id="rId120" location="" tooltip="" display="Apri"/>
    <hyperlink ref="AA47" r:id="rId121" location="" tooltip="" display="1/1"/>
    <hyperlink ref="AB47" r:id="rId122" location="" tooltip="" display="Apri"/>
    <hyperlink ref="AC47" r:id="rId123" location="" tooltip="" display="Apri"/>
    <hyperlink ref="AB48" r:id="rId124" location="" tooltip="" display="Apri"/>
    <hyperlink ref="AC48" r:id="rId125" location="" tooltip="" display="Apri"/>
    <hyperlink ref="AA49" r:id="rId126" location="" tooltip="" display="0/0"/>
    <hyperlink ref="AB49" r:id="rId127" location="" tooltip="" display="Apri"/>
    <hyperlink ref="AC49" r:id="rId128" location="" tooltip="" display="Apri"/>
    <hyperlink ref="AA50" r:id="rId129" location="" tooltip="" display="0/0"/>
    <hyperlink ref="AB50" r:id="rId130" location="" tooltip="" display="Apri"/>
    <hyperlink ref="AC50" r:id="rId131" location="" tooltip="" display="Apri"/>
    <hyperlink ref="AB51" r:id="rId132" location="" tooltip="" display="Apri"/>
    <hyperlink ref="AC51" r:id="rId133" location="" tooltip="" display="Apri"/>
    <hyperlink ref="AA52" r:id="rId134" location="" tooltip="" display="0/0"/>
    <hyperlink ref="AB52" r:id="rId135" location="" tooltip="" display="Apri"/>
    <hyperlink ref="AC52" r:id="rId136" location="" tooltip="" display="Apri"/>
    <hyperlink ref="AA53" r:id="rId137" location="" tooltip="" display="0/0"/>
    <hyperlink ref="AB53" r:id="rId138" location="" tooltip="" display="Apri"/>
    <hyperlink ref="AC53" r:id="rId139" location="" tooltip="" display="Apri"/>
    <hyperlink ref="AA54" r:id="rId140" location="" tooltip="" display="0/0"/>
    <hyperlink ref="AB54" r:id="rId141" location="" tooltip="" display="Apri"/>
    <hyperlink ref="AC54" r:id="rId142" location="" tooltip="" display="Apri"/>
    <hyperlink ref="AB55" r:id="rId143" location="" tooltip="" display="Apri"/>
    <hyperlink ref="AC55" r:id="rId144" location="" tooltip="" display="Apri"/>
    <hyperlink ref="AB56" r:id="rId145" location="" tooltip="" display="Apri"/>
    <hyperlink ref="AC56" r:id="rId146" location="" tooltip="" display="Apri"/>
    <hyperlink ref="AB57" r:id="rId147" location="" tooltip="" display="Apri"/>
    <hyperlink ref="AC57" r:id="rId148" location="" tooltip="" display="Apri"/>
    <hyperlink ref="AB58" r:id="rId149" location="" tooltip="" display="Apri"/>
    <hyperlink ref="AC58" r:id="rId150" location="" tooltip="" display="Apri"/>
    <hyperlink ref="AA59" r:id="rId151" location="" tooltip="" display="0/0"/>
    <hyperlink ref="AB59" r:id="rId152" location="" tooltip="" display="Apri"/>
    <hyperlink ref="AC59" r:id="rId153" location="" tooltip="" display="Apri"/>
    <hyperlink ref="AA60" r:id="rId154" location="" tooltip="" display="0/0"/>
    <hyperlink ref="AB60" r:id="rId155" location="" tooltip="" display="Apri"/>
    <hyperlink ref="AC60" r:id="rId156" location="" tooltip="" display="Apri"/>
    <hyperlink ref="AA61" r:id="rId157" location="" tooltip="" display="0/0"/>
    <hyperlink ref="AB61" r:id="rId158" location="" tooltip="" display="Apri"/>
    <hyperlink ref="AC61" r:id="rId159" location="" tooltip="" display="Apri"/>
    <hyperlink ref="AB62" r:id="rId160" location="" tooltip="" display="Apri"/>
    <hyperlink ref="AC62" r:id="rId161" location="" tooltip="" display="Apri"/>
    <hyperlink ref="AA63" r:id="rId162" location="" tooltip="" display="0/0"/>
    <hyperlink ref="AB63" r:id="rId163" location="" tooltip="" display="Apri"/>
    <hyperlink ref="AC63" r:id="rId164" location="" tooltip="" display="Apri"/>
    <hyperlink ref="AA64" r:id="rId165" location="" tooltip="" display="0/0"/>
    <hyperlink ref="AB64" r:id="rId166" location="" tooltip="" display="Apri"/>
    <hyperlink ref="AC64" r:id="rId167" location="" tooltip="" display="Apri"/>
    <hyperlink ref="AA65" r:id="rId168" location="" tooltip="" display="0/0"/>
    <hyperlink ref="AB65" r:id="rId169" location="" tooltip="" display="Apri"/>
    <hyperlink ref="AC65" r:id="rId170" location="" tooltip="" display="Apri"/>
    <hyperlink ref="AB66" r:id="rId171" location="" tooltip="" display="Apri"/>
    <hyperlink ref="AC66" r:id="rId172" location="" tooltip="" display="Apri"/>
    <hyperlink ref="AA67" r:id="rId173" location="" tooltip="" display="0/0"/>
    <hyperlink ref="AB67" r:id="rId174" location="" tooltip="" display="Apri"/>
    <hyperlink ref="AC67" r:id="rId175" location="" tooltip="" display="Apri"/>
    <hyperlink ref="AA68" r:id="rId176" location="" tooltip="" display="0/0"/>
    <hyperlink ref="AB68" r:id="rId177" location="" tooltip="" display="Apri"/>
    <hyperlink ref="AC68" r:id="rId178" location="" tooltip="" display="Apri"/>
    <hyperlink ref="AB69" r:id="rId179" location="" tooltip="" display="Apri"/>
    <hyperlink ref="AC69" r:id="rId180" location="" tooltip="" display="Apri"/>
    <hyperlink ref="AA70" r:id="rId181" location="" tooltip="" display="2/3"/>
    <hyperlink ref="AB70" r:id="rId182" location="" tooltip="" display="Apri"/>
    <hyperlink ref="AC70" r:id="rId183" location="" tooltip="" display="Apri"/>
    <hyperlink ref="AB71" r:id="rId184" location="" tooltip="" display="Apri"/>
    <hyperlink ref="AC71" r:id="rId185" location="" tooltip="" display="Apri"/>
    <hyperlink ref="AB72" r:id="rId186" location="" tooltip="" display="Apri"/>
    <hyperlink ref="AC72" r:id="rId187" location="" tooltip="" display="Apri"/>
    <hyperlink ref="AA73" r:id="rId188" location="" tooltip="" display="0/0"/>
    <hyperlink ref="AB73" r:id="rId189" location="" tooltip="" display="Apri"/>
    <hyperlink ref="AC73" r:id="rId190" location="" tooltip="" display="Apri"/>
    <hyperlink ref="AB74" r:id="rId191" location="" tooltip="" display="Apri"/>
    <hyperlink ref="AC74" r:id="rId192" location="" tooltip="" display="Apri"/>
    <hyperlink ref="AA75" r:id="rId193" location="" tooltip="" display="0/0"/>
    <hyperlink ref="AB75" r:id="rId194" location="" tooltip="" display="Apri"/>
    <hyperlink ref="AC75" r:id="rId195" location="" tooltip="" display="Apri"/>
    <hyperlink ref="AA76" r:id="rId196" location="" tooltip="" display="0/0"/>
    <hyperlink ref="AB76" r:id="rId197" location="" tooltip="" display="Apri"/>
    <hyperlink ref="AC76" r:id="rId198" location="" tooltip="" display="Apri"/>
    <hyperlink ref="AA77" r:id="rId199" location="" tooltip="" display="0/0"/>
    <hyperlink ref="AB77" r:id="rId200" location="" tooltip="" display="Apri"/>
    <hyperlink ref="AC77" r:id="rId201" location="" tooltip="" display="Apri"/>
    <hyperlink ref="AB78" r:id="rId202" location="" tooltip="" display="Apri"/>
    <hyperlink ref="AC78" r:id="rId203" location="" tooltip="" display="Apri"/>
    <hyperlink ref="AA79" r:id="rId204" location="" tooltip="" display="0/0"/>
    <hyperlink ref="AB79" r:id="rId205" location="" tooltip="" display="Apri"/>
    <hyperlink ref="AC79" r:id="rId206" location="" tooltip="" display="Apri"/>
    <hyperlink ref="AA80" r:id="rId207" location="" tooltip="" display="0/0"/>
    <hyperlink ref="AB80" r:id="rId208" location="" tooltip="" display="Apri"/>
    <hyperlink ref="AC80" r:id="rId209" location="" tooltip="" display="Apri"/>
    <hyperlink ref="AA81" r:id="rId210" location="" tooltip="" display="0/0"/>
    <hyperlink ref="AB81" r:id="rId211" location="" tooltip="" display="Apri"/>
    <hyperlink ref="AC81" r:id="rId212" location="" tooltip="" display="Apri"/>
    <hyperlink ref="AA82" r:id="rId213" location="" tooltip="" display="0/0"/>
    <hyperlink ref="AB82" r:id="rId214" location="" tooltip="" display="Apri"/>
    <hyperlink ref="AC82" r:id="rId215" location="" tooltip="" display="Apri"/>
    <hyperlink ref="AB83" r:id="rId216" location="" tooltip="" display="Apri"/>
    <hyperlink ref="AC83" r:id="rId217" location="" tooltip="" display="Apri"/>
    <hyperlink ref="AB84" r:id="rId218" location="" tooltip="" display="Apri"/>
    <hyperlink ref="AC84" r:id="rId219" location="" tooltip="" display="Apri"/>
    <hyperlink ref="AB85" r:id="rId220" location="" tooltip="" display="Apri"/>
    <hyperlink ref="AC85" r:id="rId221" location="" tooltip="" display="Apri"/>
    <hyperlink ref="AA86" r:id="rId222" location="" tooltip="" display="0/0"/>
    <hyperlink ref="AB86" r:id="rId223" location="" tooltip="" display="Apri"/>
    <hyperlink ref="AC86" r:id="rId224" location="" tooltip="" display="Apri"/>
    <hyperlink ref="AA87" r:id="rId225" location="" tooltip="" display="0/0"/>
    <hyperlink ref="AB87" r:id="rId226" location="" tooltip="" display="Apri"/>
    <hyperlink ref="AC87" r:id="rId227" location="" tooltip="" display="Apri"/>
    <hyperlink ref="AA88" r:id="rId228" location="" tooltip="" display="0/0"/>
    <hyperlink ref="AB88" r:id="rId229" location="" tooltip="" display="Apri"/>
    <hyperlink ref="AC88" r:id="rId230" location="" tooltip="" display="Apri"/>
    <hyperlink ref="AA89" r:id="rId231" location="" tooltip="" display="0/0"/>
    <hyperlink ref="AB89" r:id="rId232" location="" tooltip="" display="Apri"/>
    <hyperlink ref="AC89" r:id="rId233" location="" tooltip="" display="Apri"/>
    <hyperlink ref="AA90" r:id="rId234" location="" tooltip="" display="0/1"/>
    <hyperlink ref="AB90" r:id="rId235" location="" tooltip="" display="Apri"/>
    <hyperlink ref="AC90" r:id="rId236" location="" tooltip="" display="Apri"/>
    <hyperlink ref="AB91" r:id="rId237" location="" tooltip="" display="Apri"/>
    <hyperlink ref="AC91" r:id="rId238" location="" tooltip="" display="Apri"/>
    <hyperlink ref="AA93" r:id="rId239" location="" tooltip="" display="0/0"/>
    <hyperlink ref="AB93" r:id="rId240" location="" tooltip="" display="Apri"/>
    <hyperlink ref="AC93" r:id="rId241" location="" tooltip="" display="Apri"/>
    <hyperlink ref="AB94" r:id="rId242" location="" tooltip="" display="Apri"/>
    <hyperlink ref="AC94" r:id="rId243" location="" tooltip="" display="Apri"/>
    <hyperlink ref="AA95" r:id="rId244" location="" tooltip="" display="0/0"/>
    <hyperlink ref="AB95" r:id="rId245" location="" tooltip="" display="Apri"/>
    <hyperlink ref="AC95" r:id="rId246" location="" tooltip="" display="Apri"/>
    <hyperlink ref="AB96" r:id="rId247" location="" tooltip="" display="Apri"/>
    <hyperlink ref="AC96" r:id="rId248" location="" tooltip="" display="Apri"/>
    <hyperlink ref="AA97" r:id="rId249" location="" tooltip="" display="0/0"/>
    <hyperlink ref="AB97" r:id="rId250" location="" tooltip="" display="Apri"/>
    <hyperlink ref="AC97" r:id="rId251" location="" tooltip="" display="Apri"/>
    <hyperlink ref="AB98" r:id="rId252" location="" tooltip="" display="Apri"/>
    <hyperlink ref="AC98" r:id="rId253" location="" tooltip="" display="Apri"/>
    <hyperlink ref="AA99" r:id="rId254" location="" tooltip="" display="0/0"/>
    <hyperlink ref="AB99" r:id="rId255" location="" tooltip="" display="Apri"/>
    <hyperlink ref="AC99" r:id="rId256" location="" tooltip="" display="Apri"/>
    <hyperlink ref="AB100" r:id="rId257" location="" tooltip="" display="Apri"/>
    <hyperlink ref="AC100" r:id="rId258" location="" tooltip="" display="Apri"/>
    <hyperlink ref="AA101" r:id="rId259" location="" tooltip="" display="0/0"/>
    <hyperlink ref="AA103" r:id="rId260" location="" tooltip="" display="0/0"/>
    <hyperlink ref="AB103" r:id="rId261" location="" tooltip="" display="Apri"/>
    <hyperlink ref="AC103" r:id="rId262" location="" tooltip="" display="Apri"/>
    <hyperlink ref="AA104" r:id="rId263" location="" tooltip="" display="0/1"/>
    <hyperlink ref="AB105" r:id="rId264" location="" tooltip="" display="Apri"/>
    <hyperlink ref="AC105" r:id="rId265" location="" tooltip="" display="Apri"/>
    <hyperlink ref="AA106" r:id="rId266" location="" tooltip="" display="0/0"/>
    <hyperlink ref="AB106" r:id="rId267" location="" tooltip="" display="Apri"/>
    <hyperlink ref="AC106" r:id="rId268" location="" tooltip="" display="Apri"/>
    <hyperlink ref="AB107" r:id="rId269" location="" tooltip="" display="Apri"/>
    <hyperlink ref="AC107" r:id="rId270" location="" tooltip="" display="Apri"/>
    <hyperlink ref="AA108" r:id="rId271" location="" tooltip="" display="0/0"/>
    <hyperlink ref="AA109" r:id="rId272" location="" tooltip="" display="0/0"/>
    <hyperlink ref="AA110" r:id="rId273" location="" tooltip="" display="0/0"/>
    <hyperlink ref="AA111" r:id="rId274" location="" tooltip="" display="0/0"/>
    <hyperlink ref="AB111" r:id="rId275" location="" tooltip="" display="Apri"/>
    <hyperlink ref="AC111" r:id="rId276" location="" tooltip="" display="Apri"/>
    <hyperlink ref="AA116" r:id="rId277" location="" tooltip="" display="0/0"/>
    <hyperlink ref="AB120" r:id="rId278" location="" tooltip="" display="Apri"/>
    <hyperlink ref="AC120" r:id="rId279" location="" tooltip="" display="Apri"/>
    <hyperlink ref="AA121" r:id="rId280" location="" tooltip="" display="0/0"/>
  </hyperlink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drawing r:id="rId281"/>
  <legacyDrawing r:id="rId28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